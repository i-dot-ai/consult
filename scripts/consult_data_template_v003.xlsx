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Active issues" sheetId="2" r:id="rId2"/>
    <sheet name="Responses" sheetId="3" r:id="rId3"/>
    <sheet name="Demographics" sheetId="4" r:id="rId4"/>
    <sheet name="Open Questions" sheetId="5" r:id="rId5"/>
    <sheet name="Multiple Choice Questions" sheetId="6" r:id="rId6"/>
    <sheet name="Hybrid Questions" sheetId="7" r:id="rId7"/>
    <sheet name="Issues" sheetId="8" state="hidden" r:id="rId8"/>
    <sheet name="_helpers" sheetId="9" state="hidden" r:id="rId9"/>
  </sheets>
  <definedNames>
    <definedName name="_xlnm._FilterDatabase" localSheetId="7" hidden="1">Issues!$A$4:$F$3409</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The Excel column letter (A, B, ..., AA, ...) of the column on the Responses sheet that holds this demographic. Look at the Responses tab and find the column whose header matches what you want to track.</t>
        </r>
      </text>
    </comment>
    <comment ref="B1" authorId="0">
      <text>
        <r>
          <rPr>
            <sz val="8"/>
            <color indexed="81"/>
            <rFont val="Tahoma"/>
            <family val="2"/>
          </rPr>
          <t>Short, human-readable name for this demographic — e.g. 'Region', 'Age band', 'Organisation type'. Shown to analysts in the dashboard.</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free-text answers for this question. E.g. if Responses!I1 contains the question header, type 'I' here.</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as it appeared to respondents, including any context required . The text should make sense on its own — an analyst reading just this row should understand what was asked.</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The Excel column letter on the Responses sheet that holds the multiple-choice answers for this question.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wording as it appeared to respondents. Make sure it makes sense and has enough context to be understood on its own.</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Excel column letter on the Responses sheet for the FREE-TEXT part of this hybrid question (the 'why?' / 'please explain').</t>
        </r>
      </text>
    </comment>
    <comment ref="B1" authorId="0">
      <text>
        <r>
          <rPr>
            <sz val="8"/>
            <color indexed="81"/>
            <rFont val="Tahoma"/>
            <family val="2"/>
          </rPr>
          <t>A whole number ≥ 1. Must be unique across all Open, Closed and Hybrid questions. Used as the output folder name for this question's results.</t>
        </r>
      </text>
    </comment>
    <comment ref="C1" authorId="0">
      <text>
        <r>
          <rPr>
            <sz val="8"/>
            <color indexed="81"/>
            <rFont val="Tahoma"/>
            <family val="2"/>
          </rPr>
          <t>Paste the question as it appeared to respondents, and it should have enough context to make sense on its own (e.g. 'How satisfied are you with X?').</t>
        </r>
      </text>
    </comment>
    <comment ref="D1" authorId="0">
      <text>
        <r>
          <rPr>
            <sz val="8"/>
            <color indexed="81"/>
            <rFont val="Tahoma"/>
            <family val="2"/>
          </rPr>
          <t>Excel column letter on the Responses sheet for the MULTIPLE-CHOICE part of this hybrid question (the agree/disagree / yes-no answer).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<sst xmlns="http://schemas.openxmlformats.org/spreadsheetml/2006/main" count="17569" uniqueCount="2589">
  <si>
    <t>respondent_id</t>
  </si>
  <si>
    <t>Which region of the UK do you live in?</t>
  </si>
  <si>
    <t>Which age band are you in?</t>
  </si>
  <si>
    <t>What type of organisation are you responding on behalf of?</t>
  </si>
  <si>
    <t>Q1: To what extent do you support the proposal set out in chapter 3?</t>
  </si>
  <si>
    <t>Q1: Please explain the reasoning behind your level of support for the proposal.</t>
  </si>
  <si>
    <t>Q2: How important is this issue to you personally?</t>
  </si>
  <si>
    <t>Q2: Please explain why you rated the importance of this issue the way you did.</t>
  </si>
  <si>
    <t>Q3: Do you have any other suggestions or comments you would like to share with us?</t>
  </si>
  <si>
    <t>Q4: Would you recommend this approach to others working in a similar context?</t>
  </si>
  <si>
    <t>R0001</t>
  </si>
  <si>
    <t>Scotland</t>
  </si>
  <si>
    <t>65+</t>
  </si>
  <si>
    <t>Charity</t>
  </si>
  <si>
    <t>Strongly agree</t>
  </si>
  <si>
    <t>The proposal is unclear and I am not sure what it would change.</t>
  </si>
  <si>
    <t>Without ringfenced funding none of this will be deliverable.</t>
  </si>
  <si>
    <t>Yes</t>
  </si>
  <si>
    <t>R0002</t>
  </si>
  <si>
    <t>25-34</t>
  </si>
  <si>
    <t>Business</t>
  </si>
  <si>
    <t>Cost is the main concern — there should be more detail on funding.</t>
  </si>
  <si>
    <t>Medium</t>
  </si>
  <si>
    <t>No</t>
  </si>
  <si>
    <t>R0003</t>
  </si>
  <si>
    <t>Wales</t>
  </si>
  <si>
    <t>35-44</t>
  </si>
  <si>
    <t>Public sector</t>
  </si>
  <si>
    <t>Disagree</t>
  </si>
  <si>
    <t>I am worried about the impact on small businesses like mine.</t>
  </si>
  <si>
    <t>Low</t>
  </si>
  <si>
    <t>Digital-only delivery would exclude many of the people we support.</t>
  </si>
  <si>
    <t>Unsure</t>
  </si>
  <si>
    <t>R0004</t>
  </si>
  <si>
    <t>East</t>
  </si>
  <si>
    <t>Neutral</t>
  </si>
  <si>
    <t>More consultation with frontline staff is needed before deciding.</t>
  </si>
  <si>
    <t>Existing schemes already cover most of this — avoid duplication.</t>
  </si>
  <si>
    <t>Set up a feedback channel that stays open after rollout.</t>
  </si>
  <si>
    <t>R0005</t>
  </si>
  <si>
    <t>South</t>
  </si>
  <si>
    <t>I think this would help vulnerable groups in my community.</t>
  </si>
  <si>
    <t>R0006</t>
  </si>
  <si>
    <t>West</t>
  </si>
  <si>
    <t>Strongly disagree</t>
  </si>
  <si>
    <t>The timeline feels unrealistic given current resource pressures.</t>
  </si>
  <si>
    <t>Add a transitional protection period for current beneficiaries.</t>
  </si>
  <si>
    <t>R0007</t>
  </si>
  <si>
    <t>45-54</t>
  </si>
  <si>
    <t>High</t>
  </si>
  <si>
    <t>It should be piloted in two or three regions first.</t>
  </si>
  <si>
    <t>Use independent evaluators to monitor early outcomes.</t>
  </si>
  <si>
    <t>R0008</t>
  </si>
  <si>
    <t>Agree</t>
  </si>
  <si>
    <t>Publish an equality impact assessment alongside the final policy.</t>
  </si>
  <si>
    <t>R0009</t>
  </si>
  <si>
    <t>18-24</t>
  </si>
  <si>
    <t>Provide template materials in plain English and Welsh.</t>
  </si>
  <si>
    <t>R0010</t>
  </si>
  <si>
    <t>55-64</t>
  </si>
  <si>
    <t>It aligns with what other countries are doing successfully.</t>
  </si>
  <si>
    <t>R0011</t>
  </si>
  <si>
    <t>R0012</t>
  </si>
  <si>
    <t>London</t>
  </si>
  <si>
    <t>Local authorities need clearer guidance and a longer lead-in time.</t>
  </si>
  <si>
    <t>R0013</t>
  </si>
  <si>
    <t>R0014</t>
  </si>
  <si>
    <t>Clear performance metrics and public reporting would help.</t>
  </si>
  <si>
    <t>R0015</t>
  </si>
  <si>
    <t>Individual</t>
  </si>
  <si>
    <t>R0016</t>
  </si>
  <si>
    <t>North</t>
  </si>
  <si>
    <t>R0017</t>
  </si>
  <si>
    <t>R0018</t>
  </si>
  <si>
    <t>R0019</t>
  </si>
  <si>
    <t>R0020</t>
  </si>
  <si>
    <t>R0021</t>
  </si>
  <si>
    <t>R0022</t>
  </si>
  <si>
    <t>I welcome the focus on accessibility but it could go further.</t>
  </si>
  <si>
    <t>R0023</t>
  </si>
  <si>
    <t>R0024</t>
  </si>
  <si>
    <t>R0025</t>
  </si>
  <si>
    <t>R0026</t>
  </si>
  <si>
    <t>R0027</t>
  </si>
  <si>
    <t>R0028</t>
  </si>
  <si>
    <t>R0029</t>
  </si>
  <si>
    <t>R0030</t>
  </si>
  <si>
    <t>R0031</t>
  </si>
  <si>
    <t>R0032</t>
  </si>
  <si>
    <t>R0033</t>
  </si>
  <si>
    <t>R0034</t>
  </si>
  <si>
    <t>Engage charities that work directly with affected groups.</t>
  </si>
  <si>
    <t>R0035</t>
  </si>
  <si>
    <t>R0036</t>
  </si>
  <si>
    <t>R0037</t>
  </si>
  <si>
    <t>R0038</t>
  </si>
  <si>
    <t>R0039</t>
  </si>
  <si>
    <t>R0040</t>
  </si>
  <si>
    <t>Internal helpers — do not edit. Hidden by default.</t>
  </si>
  <si>
    <t>Open Q A L</t>
  </si>
  <si>
    <t>Open Q A H</t>
  </si>
  <si>
    <t>Open Q A a</t>
  </si>
  <si>
    <t>Open Q A b</t>
  </si>
  <si>
    <t>Open Q A na</t>
  </si>
  <si>
    <t>Open Q A nb</t>
  </si>
  <si>
    <t>Open Q A inter</t>
  </si>
  <si>
    <t>Open Q A sim</t>
  </si>
  <si>
    <t>Multip A L</t>
  </si>
  <si>
    <t>Multip A H</t>
  </si>
  <si>
    <t>Multip A a</t>
  </si>
  <si>
    <t>Multip A b</t>
  </si>
  <si>
    <t>Multip A na</t>
  </si>
  <si>
    <t>Multip A nb</t>
  </si>
  <si>
    <t>Multip A inter</t>
  </si>
  <si>
    <t>Multip A sim</t>
  </si>
  <si>
    <t>Hybrid A L</t>
  </si>
  <si>
    <t>Hybrid A H</t>
  </si>
  <si>
    <t>Hybrid A a</t>
  </si>
  <si>
    <t>Hybrid A b</t>
  </si>
  <si>
    <t>Hybrid A na</t>
  </si>
  <si>
    <t>Hybrid A nb</t>
  </si>
  <si>
    <t>Hybrid A inter</t>
  </si>
  <si>
    <t>Hybrid A sim</t>
  </si>
  <si>
    <t>Hybrid D L</t>
  </si>
  <si>
    <t>Hybrid D H</t>
  </si>
  <si>
    <t>Hybrid D a</t>
  </si>
  <si>
    <t>Hybrid D b</t>
  </si>
  <si>
    <t>Hybrid D na</t>
  </si>
  <si>
    <t>Hybrid D nb</t>
  </si>
  <si>
    <t>Hybrid D inter</t>
  </si>
  <si>
    <t>Hybrid D sim</t>
  </si>
  <si>
    <t>Column letter (in Responses sheet)</t>
  </si>
  <si>
    <t>Demographics label</t>
  </si>
  <si>
    <t>B</t>
  </si>
  <si>
    <t>Region</t>
  </si>
  <si>
    <t>C</t>
  </si>
  <si>
    <t>Age band</t>
  </si>
  <si>
    <t>D</t>
  </si>
  <si>
    <t>Organisation type</t>
  </si>
  <si>
    <t>Question number</t>
  </si>
  <si>
    <t>Question text (full wording shown to respondent)</t>
  </si>
  <si>
    <t>I</t>
  </si>
  <si>
    <t>Do you have any other suggestions or comments?</t>
  </si>
  <si>
    <t>J</t>
  </si>
  <si>
    <t>Would you recommend this approach to others?</t>
  </si>
  <si>
    <t>Free-text column letter (in Responses)</t>
  </si>
  <si>
    <t>Multiple-choice column letter (in Responses)</t>
  </si>
  <si>
    <t>F</t>
  </si>
  <si>
    <t>What is your level of support for the proposal, and why?</t>
  </si>
  <si>
    <t>E</t>
  </si>
  <si>
    <t>H</t>
  </si>
  <si>
    <t>How important is this issue, and please explain.</t>
  </si>
  <si>
    <t>G</t>
  </si>
  <si>
    <t>Outstanding issues</t>
  </si>
  <si>
    <t>Outstanding issues:</t>
  </si>
  <si>
    <t>Source audit log — every (sheet, row, rule) combination. The Active issues sheet pulls only the rows where the Issue column is non-empty, via FILTER(). Hidden by default; unhide via right-click on a tab → Unhide if you need to inspect raw rules.</t>
  </si>
  <si>
    <t>Sheet</t>
  </si>
  <si>
    <t>Cell</t>
  </si>
  <si>
    <t>Rule</t>
  </si>
  <si>
    <t>Severity</t>
  </si>
  <si>
    <t>Issue</t>
  </si>
  <si>
    <t>How to fix</t>
  </si>
  <si>
    <t>Demographics</t>
  </si>
  <si>
    <t>A2</t>
  </si>
  <si>
    <t>Column not in Responses</t>
  </si>
  <si>
    <t>Error</t>
  </si>
  <si>
    <t>Check for a typo in the column letter, or add a header (and the answers) into that column on Responses.</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</si>
  <si>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</si>
  <si>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</si>
  <si>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</si>
  <si>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</si>
  <si>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</si>
  <si>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</si>
  <si>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</si>
  <si>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</si>
  <si>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</si>
  <si>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</si>
  <si>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</si>
  <si>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</si>
  <si>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</si>
  <si>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</si>
  <si>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</si>
  <si>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</si>
  <si>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</si>
  <si>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</si>
  <si>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</si>
  <si>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</si>
  <si>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</si>
  <si>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</si>
  <si>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</si>
  <si>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</si>
  <si>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</si>
  <si>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</si>
  <si>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</si>
  <si>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</si>
  <si>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</si>
  <si>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</si>
  <si>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</si>
  <si>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</si>
  <si>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</si>
  <si>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</si>
  <si>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</si>
  <si>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</si>
  <si>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</si>
  <si>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</si>
  <si>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</si>
  <si>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</si>
  <si>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</si>
  <si>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</si>
  <si>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</si>
  <si>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</si>
  <si>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</si>
  <si>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</si>
  <si>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</si>
  <si>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</si>
  <si>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</si>
  <si>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Open Questions</t>
  </si>
  <si>
    <t>Double-check the column letter for typos, or paste the answers (with a header in row 1) into that column on Responses.</t>
  </si>
  <si>
    <t>Multiple Choice Questions</t>
  </si>
  <si>
    <t>B2</t>
  </si>
  <si>
    <t>Duplicate question_number</t>
  </si>
  <si>
    <t>Renumber one of the rows so every question across Open, Closed, and Hybrid has its own unique number.</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</si>
  <si>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</si>
  <si>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</si>
  <si>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</si>
  <si>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</si>
  <si>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</si>
  <si>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</si>
  <si>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</si>
  <si>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</si>
  <si>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</si>
  <si>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</si>
  <si>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</si>
  <si>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</si>
  <si>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</si>
  <si>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</si>
  <si>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</si>
  <si>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</si>
  <si>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</si>
  <si>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</si>
  <si>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</si>
  <si>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</si>
  <si>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</si>
  <si>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</si>
  <si>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</si>
  <si>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</si>
  <si>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</si>
  <si>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</si>
  <si>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</si>
  <si>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</si>
  <si>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</si>
  <si>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</si>
  <si>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</si>
  <si>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</si>
  <si>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</si>
  <si>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</si>
  <si>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</si>
  <si>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</si>
  <si>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</si>
  <si>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</si>
  <si>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</si>
  <si>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</si>
  <si>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</si>
  <si>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</si>
  <si>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</si>
  <si>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</si>
  <si>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</si>
  <si>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</si>
  <si>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</si>
  <si>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</si>
  <si>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</si>
  <si>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Hybrid Questions</t>
  </si>
  <si>
    <t>D2</t>
  </si>
  <si>
    <t>Invalid closed_column format</t>
  </si>
  <si>
    <t>Use 1-3 capital letters only (e.g. A, BF, AAC). No numbers or symbols.</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</si>
  <si>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</si>
  <si>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</si>
  <si>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</si>
  <si>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</si>
  <si>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</si>
  <si>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</si>
  <si>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</si>
  <si>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</si>
  <si>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</si>
  <si>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</si>
  <si>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</si>
  <si>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</si>
  <si>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</si>
  <si>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</si>
  <si>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</si>
  <si>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</si>
  <si>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</si>
  <si>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</si>
  <si>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</si>
  <si>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</si>
  <si>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</si>
  <si>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</si>
  <si>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</si>
  <si>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</si>
  <si>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</si>
  <si>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</si>
  <si>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</si>
  <si>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</si>
  <si>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</si>
  <si>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</si>
  <si>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</si>
  <si>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</si>
  <si>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</si>
  <si>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</si>
  <si>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</si>
  <si>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</si>
  <si>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</si>
  <si>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</si>
  <si>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</si>
  <si>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</si>
  <si>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</si>
  <si>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</si>
  <si>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</si>
  <si>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</si>
  <si>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</si>
  <si>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</si>
  <si>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</si>
  <si>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</si>
  <si>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</si>
  <si>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Invalid column ID format</t>
  </si>
  <si>
    <t>Use 1-3 capital letters only — A, B, …, Z, AA, AB, …, ZZZ. No numbers or symbols.</t>
  </si>
  <si>
    <t>Invalid open_column format</t>
  </si>
  <si>
    <t>Missing closed_column</t>
  </si>
  <si>
    <t>Type the Excel column letter from Responses that holds the multiple-choice part of this hybrid question.</t>
  </si>
  <si>
    <t>Missing column ID</t>
  </si>
  <si>
    <t>Type the Excel column letter (e.g. B, AC) from the Responses sheet that holds this demographic.</t>
  </si>
  <si>
    <t>Missing column_name</t>
  </si>
  <si>
    <t>Type the Excel column letter from the Responses sheet that holds the free-text answers for this question.</t>
  </si>
  <si>
    <t>Type the Excel column letter from the Responses sheet that holds the multiple-choice answers for this question.</t>
  </si>
  <si>
    <t>Responses</t>
  </si>
  <si>
    <t>A1</t>
  </si>
  <si>
    <t>Missing header</t>
  </si>
  <si>
    <t>Type a short header in Responses!A1 describing what this column contains (e.g. the question or demographic name), or delete the data in that column if it isn't needed.</t>
  </si>
  <si>
    <t>B1</t>
  </si>
  <si>
    <t>Type a short header in Responses!B1 describing what this column contains (e.g. the question or demographic name), or delete the data in that column if it isn't needed.</t>
  </si>
  <si>
    <t>C1</t>
  </si>
  <si>
    <t>Type a short header in Responses!C1 describing what this column contains (e.g. the question or demographic name), or delete the data in that column if it isn't needed.</t>
  </si>
  <si>
    <t>D1</t>
  </si>
  <si>
    <t>Type a short header in Responses!D1 describing what this column contains (e.g. the question or demographic name), or delete the data in that column if it isn't needed.</t>
  </si>
  <si>
    <t>E1</t>
  </si>
  <si>
    <t>Type a short header in Responses!E1 describing what this column contains (e.g. the question or demographic name), or delete the data in that column if it isn't needed.</t>
  </si>
  <si>
    <t>F1</t>
  </si>
  <si>
    <t>Type a short header in Responses!F1 describing what this column contains (e.g. the question or demographic name), or delete the data in that column if it isn't needed.</t>
  </si>
  <si>
    <t>G1</t>
  </si>
  <si>
    <t>Type a short header in Responses!G1 describing what this column contains (e.g. the question or demographic name), or delete the data in that column if it isn't needed.</t>
  </si>
  <si>
    <t>H1</t>
  </si>
  <si>
    <t>Type a short header in Responses!H1 describing what this column contains (e.g. the question or demographic name), or delete the data in that column if it isn't needed.</t>
  </si>
  <si>
    <t>I1</t>
  </si>
  <si>
    <t>Type a short header in Responses!I1 describing what this column contains (e.g. the question or demographic name), or delete the data in that column if it isn't needed.</t>
  </si>
  <si>
    <t>J1</t>
  </si>
  <si>
    <t>Type a short header in Responses!J1 describing what this column contains (e.g. the question or demographic name), or delete the data in that column if it isn't needed.</t>
  </si>
  <si>
    <t>K1</t>
  </si>
  <si>
    <t>Type a short header in Responses!K1 describing what this column contains (e.g. the question or demographic name), or delete the data in that column if it isn't needed.</t>
  </si>
  <si>
    <t>L1</t>
  </si>
  <si>
    <t>Type a short header in Responses!L1 describing what this column contains (e.g. the question or demographic name), or delete the data in that column if it isn't needed.</t>
  </si>
  <si>
    <t>M1</t>
  </si>
  <si>
    <t>Type a short header in Responses!M1 describing what this column contains (e.g. the question or demographic name), or delete the data in that column if it isn't needed.</t>
  </si>
  <si>
    <t>N1</t>
  </si>
  <si>
    <t>Type a short header in Responses!N1 describing what this column contains (e.g. the question or demographic name), or delete the data in that column if it isn't needed.</t>
  </si>
  <si>
    <t>O1</t>
  </si>
  <si>
    <t>Type a short header in Responses!O1 describing what this column contains (e.g. the question or demographic name), or delete the data in that column if it isn't needed.</t>
  </si>
  <si>
    <t>P1</t>
  </si>
  <si>
    <t>Type a short header in Responses!P1 describing what this column contains (e.g. the question or demographic name), or delete the data in that column if it isn't needed.</t>
  </si>
  <si>
    <t>Q1</t>
  </si>
  <si>
    <t>Type a short header in Responses!Q1 describing what this column contains (e.g. the question or demographic name), or delete the data in that column if it isn't needed.</t>
  </si>
  <si>
    <t>R1</t>
  </si>
  <si>
    <t>Type a short header in Responses!R1 describing what this column contains (e.g. the question or demographic name), or delete the data in that column if it isn't needed.</t>
  </si>
  <si>
    <t>S1</t>
  </si>
  <si>
    <t>Type a short header in Responses!S1 describing what this column contains (e.g. the question or demographic name), or delete the data in that column if it isn't needed.</t>
  </si>
  <si>
    <t>T1</t>
  </si>
  <si>
    <t>Type a short header in Responses!T1 describing what this column contains (e.g. the question or demographic name), or delete the data in that column if it isn't needed.</t>
  </si>
  <si>
    <t>U1</t>
  </si>
  <si>
    <t>Type a short header in Responses!U1 describing what this column contains (e.g. the question or demographic name), or delete the data in that column if it isn't needed.</t>
  </si>
  <si>
    <t>V1</t>
  </si>
  <si>
    <t>Type a short header in Responses!V1 describing what this column contains (e.g. the question or demographic name), or delete the data in that column if it isn't needed.</t>
  </si>
  <si>
    <t>W1</t>
  </si>
  <si>
    <t>Type a short header in Responses!W1 describing what this column contains (e.g. the question or demographic name), or delete the data in that column if it isn't needed.</t>
  </si>
  <si>
    <t>X1</t>
  </si>
  <si>
    <t>Type a short header in Responses!X1 describing what this column contains (e.g. the question or demographic name), or delete the data in that column if it isn't needed.</t>
  </si>
  <si>
    <t>Y1</t>
  </si>
  <si>
    <t>Type a short header in Responses!Y1 describing what this column contains (e.g. the question or demographic name), or delete the data in that column if it isn't needed.</t>
  </si>
  <si>
    <t>Z1</t>
  </si>
  <si>
    <t>Type a short header in Responses!Z1 describing what this column contains (e.g. the question or demographic name), or delete the data in that column if it isn't needed.</t>
  </si>
  <si>
    <t>AA1</t>
  </si>
  <si>
    <t>Type a short header in Responses!AA1 describing what this column contains (e.g. the question or demographic name), or delete the data in that column if it isn't needed.</t>
  </si>
  <si>
    <t>AB1</t>
  </si>
  <si>
    <t>Type a short header in Responses!AB1 describing what this column contains (e.g. the question or demographic name), or delete the data in that column if it isn't needed.</t>
  </si>
  <si>
    <t>AC1</t>
  </si>
  <si>
    <t>Type a short header in Responses!AC1 describing what this column contains (e.g. the question or demographic name), or delete the data in that column if it isn't needed.</t>
  </si>
  <si>
    <t>AD1</t>
  </si>
  <si>
    <t>Type a short header in Responses!AD1 describing what this column contains (e.g. the question or demographic name), or delete the data in that column if it isn't needed.</t>
  </si>
  <si>
    <t>AE1</t>
  </si>
  <si>
    <t>Type a short header in Responses!AE1 describing what this column contains (e.g. the question or demographic name), or delete the data in that column if it isn't needed.</t>
  </si>
  <si>
    <t>AF1</t>
  </si>
  <si>
    <t>Type a short header in Responses!AF1 describing what this column contains (e.g. the question or demographic name), or delete the data in that column if it isn't needed.</t>
  </si>
  <si>
    <t>AG1</t>
  </si>
  <si>
    <t>Type a short header in Responses!AG1 describing what this column contains (e.g. the question or demographic name), or delete the data in that column if it isn't needed.</t>
  </si>
  <si>
    <t>AH1</t>
  </si>
  <si>
    <t>Type a short header in Responses!AH1 describing what this column contains (e.g. the question or demographic name), or delete the data in that column if it isn't needed.</t>
  </si>
  <si>
    <t>AI1</t>
  </si>
  <si>
    <t>Type a short header in Responses!AI1 describing what this column contains (e.g. the question or demographic name), or delete the data in that column if it isn't needed.</t>
  </si>
  <si>
    <t>AJ1</t>
  </si>
  <si>
    <t>Type a short header in Responses!AJ1 describing what this column contains (e.g. the question or demographic name), or delete the data in that column if it isn't needed.</t>
  </si>
  <si>
    <t>AK1</t>
  </si>
  <si>
    <t>Type a short header in Responses!AK1 describing what this column contains (e.g. the question or demographic name), or delete the data in that column if it isn't needed.</t>
  </si>
  <si>
    <t>AL1</t>
  </si>
  <si>
    <t>Type a short header in Responses!AL1 describing what this column contains (e.g. the question or demographic name), or delete the data in that column if it isn't needed.</t>
  </si>
  <si>
    <t>AM1</t>
  </si>
  <si>
    <t>Type a short header in Responses!AM1 describing what this column contains (e.g. the question or demographic name), or delete the data in that column if it isn't needed.</t>
  </si>
  <si>
    <t>AN1</t>
  </si>
  <si>
    <t>Type a short header in Responses!AN1 describing what this column contains (e.g. the question or demographic name), or delete the data in that column if it isn't needed.</t>
  </si>
  <si>
    <t>AO1</t>
  </si>
  <si>
    <t>Type a short header in Responses!AO1 describing what this column contains (e.g. the question or demographic name), or delete the data in that column if it isn't needed.</t>
  </si>
  <si>
    <t>AP1</t>
  </si>
  <si>
    <t>Type a short header in Responses!AP1 describing what this column contains (e.g. the question or demographic name), or delete the data in that column if it isn't needed.</t>
  </si>
  <si>
    <t>AQ1</t>
  </si>
  <si>
    <t>Type a short header in Responses!AQ1 describing what this column contains (e.g. the question or demographic name), or delete the data in that column if it isn't needed.</t>
  </si>
  <si>
    <t>AR1</t>
  </si>
  <si>
    <t>Type a short header in Responses!AR1 describing what this column contains (e.g. the question or demographic name), or delete the data in that column if it isn't needed.</t>
  </si>
  <si>
    <t>AS1</t>
  </si>
  <si>
    <t>Type a short header in Responses!AS1 describing what this column contains (e.g. the question or demographic name), or delete the data in that column if it isn't needed.</t>
  </si>
  <si>
    <t>AT1</t>
  </si>
  <si>
    <t>Type a short header in Responses!AT1 describing what this column contains (e.g. the question or demographic name), or delete the data in that column if it isn't needed.</t>
  </si>
  <si>
    <t>AU1</t>
  </si>
  <si>
    <t>Type a short header in Responses!AU1 describing what this column contains (e.g. the question or demographic name), or delete the data in that column if it isn't needed.</t>
  </si>
  <si>
    <t>AV1</t>
  </si>
  <si>
    <t>Type a short header in Responses!AV1 describing what this column contains (e.g. the question or demographic name), or delete the data in that column if it isn't needed.</t>
  </si>
  <si>
    <t>AW1</t>
  </si>
  <si>
    <t>Type a short header in Responses!AW1 describing what this column contains (e.g. the question or demographic name), or delete the data in that column if it isn't needed.</t>
  </si>
  <si>
    <t>AX1</t>
  </si>
  <si>
    <t>Type a short header in Responses!AX1 describing what this column contains (e.g. the question or demographic name), or delete the data in that column if it isn't needed.</t>
  </si>
  <si>
    <t>AY1</t>
  </si>
  <si>
    <t>Type a short header in Responses!AY1 describing what this column contains (e.g. the question or demographic name), or delete the data in that column if it isn't needed.</t>
  </si>
  <si>
    <t>AZ1</t>
  </si>
  <si>
    <t>Type a short header in Responses!AZ1 describing what this column contains (e.g. the question or demographic name), or delete the data in that column if it isn't needed.</t>
  </si>
  <si>
    <t>BA1</t>
  </si>
  <si>
    <t>Type a short header in Responses!BA1 describing what this column contains (e.g. the question or demographic name), or delete the data in that column if it isn't needed.</t>
  </si>
  <si>
    <t>BB1</t>
  </si>
  <si>
    <t>Type a short header in Responses!BB1 describing what this column contains (e.g. the question or demographic name), or delete the data in that column if it isn't needed.</t>
  </si>
  <si>
    <t>BC1</t>
  </si>
  <si>
    <t>Type a short header in Responses!BC1 describing what this column contains (e.g. the question or demographic name), or delete the data in that column if it isn't needed.</t>
  </si>
  <si>
    <t>BD1</t>
  </si>
  <si>
    <t>Type a short header in Responses!BD1 describing what this column contains (e.g. the question or demographic name), or delete the data in that column if it isn't needed.</t>
  </si>
  <si>
    <t>BE1</t>
  </si>
  <si>
    <t>Type a short header in Responses!BE1 describing what this column contains (e.g. the question or demographic name), or delete the data in that column if it isn't needed.</t>
  </si>
  <si>
    <t>BF1</t>
  </si>
  <si>
    <t>Type a short header in Responses!BF1 describing what this column contains (e.g. the question or demographic name), or delete the data in that column if it isn't needed.</t>
  </si>
  <si>
    <t>BG1</t>
  </si>
  <si>
    <t>Type a short header in Responses!BG1 describing what this column contains (e.g. the question or demographic name), or delete the data in that column if it isn't needed.</t>
  </si>
  <si>
    <t>BH1</t>
  </si>
  <si>
    <t>Type a short header in Responses!BH1 describing what this column contains (e.g. the question or demographic name), or delete the data in that column if it isn't needed.</t>
  </si>
  <si>
    <t>BI1</t>
  </si>
  <si>
    <t>Type a short header in Responses!BI1 describing what this column contains (e.g. the question or demographic name), or delete the data in that column if it isn't needed.</t>
  </si>
  <si>
    <t>BJ1</t>
  </si>
  <si>
    <t>Type a short header in Responses!BJ1 describing what this column contains (e.g. the question or demographic name), or delete the data in that column if it isn't needed.</t>
  </si>
  <si>
    <t>BK1</t>
  </si>
  <si>
    <t>Type a short header in Responses!BK1 describing what this column contains (e.g. the question or demographic name), or delete the data in that column if it isn't needed.</t>
  </si>
  <si>
    <t>BL1</t>
  </si>
  <si>
    <t>Type a short header in Responses!BL1 describing what this column contains (e.g. the question or demographic name), or delete the data in that column if it isn't needed.</t>
  </si>
  <si>
    <t>BM1</t>
  </si>
  <si>
    <t>Type a short header in Responses!BM1 describing what this column contains (e.g. the question or demographic name), or delete the data in that column if it isn't needed.</t>
  </si>
  <si>
    <t>BN1</t>
  </si>
  <si>
    <t>Type a short header in Responses!BN1 describing what this column contains (e.g. the question or demographic name), or delete the data in that column if it isn't needed.</t>
  </si>
  <si>
    <t>BO1</t>
  </si>
  <si>
    <t>Type a short header in Responses!BO1 describing what this column contains (e.g. the question or demographic name), or delete the data in that column if it isn't needed.</t>
  </si>
  <si>
    <t>BP1</t>
  </si>
  <si>
    <t>Type a short header in Responses!BP1 describing what this column contains (e.g. the question or demographic name), or delete the data in that column if it isn't needed.</t>
  </si>
  <si>
    <t>BQ1</t>
  </si>
  <si>
    <t>Type a short header in Responses!BQ1 describing what this column contains (e.g. the question or demographic name), or delete the data in that column if it isn't needed.</t>
  </si>
  <si>
    <t>BR1</t>
  </si>
  <si>
    <t>Type a short header in Responses!BR1 describing what this column contains (e.g. the question or demographic name), or delete the data in that column if it isn't needed.</t>
  </si>
  <si>
    <t>BS1</t>
  </si>
  <si>
    <t>Type a short header in Responses!BS1 describing what this column contains (e.g. the question or demographic name), or delete the data in that column if it isn't needed.</t>
  </si>
  <si>
    <t>BT1</t>
  </si>
  <si>
    <t>Type a short header in Responses!BT1 describing what this column contains (e.g. the question or demographic name), or delete the data in that column if it isn't needed.</t>
  </si>
  <si>
    <t>BU1</t>
  </si>
  <si>
    <t>Type a short header in Responses!BU1 describing what this column contains (e.g. the question or demographic name), or delete the data in that column if it isn't needed.</t>
  </si>
  <si>
    <t>BV1</t>
  </si>
  <si>
    <t>Type a short header in Responses!BV1 describing what this column contains (e.g. the question or demographic name), or delete the data in that column if it isn't needed.</t>
  </si>
  <si>
    <t>BW1</t>
  </si>
  <si>
    <t>Type a short header in Responses!BW1 describing what this column contains (e.g. the question or demographic name), or delete the data in that column if it isn't needed.</t>
  </si>
  <si>
    <t>BX1</t>
  </si>
  <si>
    <t>Type a short header in Responses!BX1 describing what this column contains (e.g. the question or demographic name), or delete the data in that column if it isn't needed.</t>
  </si>
  <si>
    <t>BY1</t>
  </si>
  <si>
    <t>Type a short header in Responses!BY1 describing what this column contains (e.g. the question or demographic name), or delete the data in that column if it isn't needed.</t>
  </si>
  <si>
    <t>BZ1</t>
  </si>
  <si>
    <t>Type a short header in Responses!BZ1 describing what this column contains (e.g. the question or demographic name), or delete the data in that column if it isn't needed.</t>
  </si>
  <si>
    <t>CA1</t>
  </si>
  <si>
    <t>Type a short header in Responses!CA1 describing what this column contains (e.g. the question or demographic name), or delete the data in that column if it isn't needed.</t>
  </si>
  <si>
    <t>CB1</t>
  </si>
  <si>
    <t>Type a short header in Responses!CB1 describing what this column contains (e.g. the question or demographic name), or delete the data in that column if it isn't needed.</t>
  </si>
  <si>
    <t>CC1</t>
  </si>
  <si>
    <t>Type a short header in Responses!CC1 describing what this column contains (e.g. the question or demographic name), or delete the data in that column if it isn't needed.</t>
  </si>
  <si>
    <t>CD1</t>
  </si>
  <si>
    <t>Type a short header in Responses!CD1 describing what this column contains (e.g. the question or demographic name), or delete the data in that column if it isn't needed.</t>
  </si>
  <si>
    <t>CE1</t>
  </si>
  <si>
    <t>Type a short header in Responses!CE1 describing what this column contains (e.g. the question or demographic name), or delete the data in that column if it isn't needed.</t>
  </si>
  <si>
    <t>CF1</t>
  </si>
  <si>
    <t>Type a short header in Responses!CF1 describing what this column contains (e.g. the question or demographic name), or delete the data in that column if it isn't needed.</t>
  </si>
  <si>
    <t>CG1</t>
  </si>
  <si>
    <t>Type a short header in Responses!CG1 describing what this column contains (e.g. the question or demographic name), or delete the data in that column if it isn't needed.</t>
  </si>
  <si>
    <t>CH1</t>
  </si>
  <si>
    <t>Type a short header in Responses!CH1 describing what this column contains (e.g. the question or demographic name), or delete the data in that column if it isn't needed.</t>
  </si>
  <si>
    <t>CI1</t>
  </si>
  <si>
    <t>Type a short header in Responses!CI1 describing what this column contains (e.g. the question or demographic name), or delete the data in that column if it isn't needed.</t>
  </si>
  <si>
    <t>CJ1</t>
  </si>
  <si>
    <t>Type a short header in Responses!CJ1 describing what this column contains (e.g. the question or demographic name), or delete the data in that column if it isn't needed.</t>
  </si>
  <si>
    <t>CK1</t>
  </si>
  <si>
    <t>Type a short header in Responses!CK1 describing what this column contains (e.g. the question or demographic name), or delete the data in that column if it isn't needed.</t>
  </si>
  <si>
    <t>CL1</t>
  </si>
  <si>
    <t>Type a short header in Responses!CL1 describing what this column contains (e.g. the question or demographic name), or delete the data in that column if it isn't needed.</t>
  </si>
  <si>
    <t>CM1</t>
  </si>
  <si>
    <t>Type a short header in Responses!CM1 describing what this column contains (e.g. the question or demographic name), or delete the data in that column if it isn't needed.</t>
  </si>
  <si>
    <t>CN1</t>
  </si>
  <si>
    <t>Type a short header in Responses!CN1 describing what this column contains (e.g. the question or demographic name), or delete the data in that column if it isn't needed.</t>
  </si>
  <si>
    <t>CO1</t>
  </si>
  <si>
    <t>Type a short header in Responses!CO1 describing what this column contains (e.g. the question or demographic name), or delete the data in that column if it isn't needed.</t>
  </si>
  <si>
    <t>CP1</t>
  </si>
  <si>
    <t>Type a short header in Responses!CP1 describing what this column contains (e.g. the question or demographic name), or delete the data in that column if it isn't needed.</t>
  </si>
  <si>
    <t>CQ1</t>
  </si>
  <si>
    <t>Type a short header in Responses!CQ1 describing what this column contains (e.g. the question or demographic name), or delete the data in that column if it isn't needed.</t>
  </si>
  <si>
    <t>CR1</t>
  </si>
  <si>
    <t>Type a short header in Responses!CR1 describing what this column contains (e.g. the question or demographic name), or delete the data in that column if it isn't needed.</t>
  </si>
  <si>
    <t>CS1</t>
  </si>
  <si>
    <t>Type a short header in Responses!CS1 describing what this column contains (e.g. the question or demographic name), or delete the data in that column if it isn't needed.</t>
  </si>
  <si>
    <t>CT1</t>
  </si>
  <si>
    <t>Type a short header in Responses!CT1 describing what this column contains (e.g. the question or demographic name), or delete the data in that column if it isn't needed.</t>
  </si>
  <si>
    <t>CU1</t>
  </si>
  <si>
    <t>Type a short header in Responses!CU1 describing what this column contains (e.g. the question or demographic name), or delete the data in that column if it isn't needed.</t>
  </si>
  <si>
    <t>CV1</t>
  </si>
  <si>
    <t>Type a short header in Responses!CV1 describing what this column contains (e.g. the question or demographic name), or delete the data in that column if it isn't needed.</t>
  </si>
  <si>
    <t>CW1</t>
  </si>
  <si>
    <t>Type a short header in Responses!CW1 describing what this column contains (e.g. the question or demographic name), or delete the data in that column if it isn't needed.</t>
  </si>
  <si>
    <t>CX1</t>
  </si>
  <si>
    <t>Type a short header in Responses!CX1 describing what this column contains (e.g. the question or demographic name), or delete the data in that column if it isn't needed.</t>
  </si>
  <si>
    <t>CY1</t>
  </si>
  <si>
    <t>Type a short header in Responses!CY1 describing what this column contains (e.g. the question or demographic name), or delete the data in that column if it isn't needed.</t>
  </si>
  <si>
    <t>CZ1</t>
  </si>
  <si>
    <t>Type a short header in Responses!CZ1 describing what this column contains (e.g. the question or demographic name), or delete the data in that column if it isn't needed.</t>
  </si>
  <si>
    <t>DA1</t>
  </si>
  <si>
    <t>Type a short header in Responses!DA1 describing what this column contains (e.g. the question or demographic name), or delete the data in that column if it isn't needed.</t>
  </si>
  <si>
    <t>DB1</t>
  </si>
  <si>
    <t>Type a short header in Responses!DB1 describing what this column contains (e.g. the question or demographic name), or delete the data in that column if it isn't needed.</t>
  </si>
  <si>
    <t>DC1</t>
  </si>
  <si>
    <t>Type a short header in Responses!DC1 describing what this column contains (e.g. the question or demographic name), or delete the data in that column if it isn't needed.</t>
  </si>
  <si>
    <t>DD1</t>
  </si>
  <si>
    <t>Type a short header in Responses!DD1 describing what this column contains (e.g. the question or demographic name), or delete the data in that column if it isn't needed.</t>
  </si>
  <si>
    <t>DE1</t>
  </si>
  <si>
    <t>Type a short header in Responses!DE1 describing what this column contains (e.g. the question or demographic name), or delete the data in that column if it isn't needed.</t>
  </si>
  <si>
    <t>DF1</t>
  </si>
  <si>
    <t>Type a short header in Responses!DF1 describing what this column contains (e.g. the question or demographic name), or delete the data in that column if it isn't needed.</t>
  </si>
  <si>
    <t>DG1</t>
  </si>
  <si>
    <t>Type a short header in Responses!DG1 describing what this column contains (e.g. the question or demographic name), or delete the data in that column if it isn't needed.</t>
  </si>
  <si>
    <t>DH1</t>
  </si>
  <si>
    <t>Type a short header in Responses!DH1 describing what this column contains (e.g. the question or demographic name), or delete the data in that column if it isn't needed.</t>
  </si>
  <si>
    <t>DI1</t>
  </si>
  <si>
    <t>Type a short header in Responses!DI1 describing what this column contains (e.g. the question or demographic name), or delete the data in that column if it isn't needed.</t>
  </si>
  <si>
    <t>DJ1</t>
  </si>
  <si>
    <t>Type a short header in Responses!DJ1 describing what this column contains (e.g. the question or demographic name), or delete the data in that column if it isn't needed.</t>
  </si>
  <si>
    <t>DK1</t>
  </si>
  <si>
    <t>Type a short header in Responses!DK1 describing what this column contains (e.g. the question or demographic name), or delete the data in that column if it isn't needed.</t>
  </si>
  <si>
    <t>DL1</t>
  </si>
  <si>
    <t>Type a short header in Responses!DL1 describing what this column contains (e.g. the question or demographic name), or delete the data in that column if it isn't needed.</t>
  </si>
  <si>
    <t>DM1</t>
  </si>
  <si>
    <t>Type a short header in Responses!DM1 describing what this column contains (e.g. the question or demographic name), or delete the data in that column if it isn't needed.</t>
  </si>
  <si>
    <t>DN1</t>
  </si>
  <si>
    <t>Type a short header in Responses!DN1 describing what this column contains (e.g. the question or demographic name), or delete the data in that column if it isn't needed.</t>
  </si>
  <si>
    <t>DO1</t>
  </si>
  <si>
    <t>Type a short header in Responses!DO1 describing what this column contains (e.g. the question or demographic name), or delete the data in that column if it isn't needed.</t>
  </si>
  <si>
    <t>DP1</t>
  </si>
  <si>
    <t>Type a short header in Responses!DP1 describing what this column contains (e.g. the question or demographic name), or delete the data in that column if it isn't needed.</t>
  </si>
  <si>
    <t>DQ1</t>
  </si>
  <si>
    <t>Type a short header in Responses!DQ1 describing what this column contains (e.g. the question or demographic name), or delete the data in that column if it isn't needed.</t>
  </si>
  <si>
    <t>DR1</t>
  </si>
  <si>
    <t>Type a short header in Responses!DR1 describing what this column contains (e.g. the question or demographic name), or delete the data in that column if it isn't needed.</t>
  </si>
  <si>
    <t>DS1</t>
  </si>
  <si>
    <t>Type a short header in Responses!DS1 describing what this column contains (e.g. the question or demographic name), or delete the data in that column if it isn't needed.</t>
  </si>
  <si>
    <t>DT1</t>
  </si>
  <si>
    <t>Type a short header in Responses!DT1 describing what this column contains (e.g. the question or demographic name), or delete the data in that column if it isn't needed.</t>
  </si>
  <si>
    <t>DU1</t>
  </si>
  <si>
    <t>Type a short header in Responses!DU1 describing what this column contains (e.g. the question or demographic name), or delete the data in that column if it isn't needed.</t>
  </si>
  <si>
    <t>DV1</t>
  </si>
  <si>
    <t>Type a short header in Responses!DV1 describing what this column contains (e.g. the question or demographic name), or delete the data in that column if it isn't needed.</t>
  </si>
  <si>
    <t>DW1</t>
  </si>
  <si>
    <t>Type a short header in Responses!DW1 describing what this column contains (e.g. the question or demographic name), or delete the data in that column if it isn't needed.</t>
  </si>
  <si>
    <t>DX1</t>
  </si>
  <si>
    <t>Type a short header in Responses!DX1 describing what this column contains (e.g. the question or demographic name), or delete the data in that column if it isn't needed.</t>
  </si>
  <si>
    <t>DY1</t>
  </si>
  <si>
    <t>Type a short header in Responses!DY1 describing what this column contains (e.g. the question or demographic name), or delete the data in that column if it isn't needed.</t>
  </si>
  <si>
    <t>DZ1</t>
  </si>
  <si>
    <t>Type a short header in Responses!DZ1 describing what this column contains (e.g. the question or demographic name), or delete the data in that column if it isn't needed.</t>
  </si>
  <si>
    <t>EA1</t>
  </si>
  <si>
    <t>Type a short header in Responses!EA1 describing what this column contains (e.g. the question or demographic name), or delete the data in that column if it isn't needed.</t>
  </si>
  <si>
    <t>EB1</t>
  </si>
  <si>
    <t>Type a short header in Responses!EB1 describing what this column contains (e.g. the question or demographic name), or delete the data in that column if it isn't needed.</t>
  </si>
  <si>
    <t>EC1</t>
  </si>
  <si>
    <t>Type a short header in Responses!EC1 describing what this column contains (e.g. the question or demographic name), or delete the data in that column if it isn't needed.</t>
  </si>
  <si>
    <t>ED1</t>
  </si>
  <si>
    <t>Type a short header in Responses!ED1 describing what this column contains (e.g. the question or demographic name), or delete the data in that column if it isn't needed.</t>
  </si>
  <si>
    <t>EE1</t>
  </si>
  <si>
    <t>Type a short header in Responses!EE1 describing what this column contains (e.g. the question or demographic name), or delete the data in that column if it isn't needed.</t>
  </si>
  <si>
    <t>EF1</t>
  </si>
  <si>
    <t>Type a short header in Responses!EF1 describing what this column contains (e.g. the question or demographic name), or delete the data in that column if it isn't needed.</t>
  </si>
  <si>
    <t>EG1</t>
  </si>
  <si>
    <t>Type a short header in Responses!EG1 describing what this column contains (e.g. the question or demographic name), or delete the data in that column if it isn't needed.</t>
  </si>
  <si>
    <t>EH1</t>
  </si>
  <si>
    <t>Type a short header in Responses!EH1 describing what this column contains (e.g. the question or demographic name), or delete the data in that column if it isn't needed.</t>
  </si>
  <si>
    <t>EI1</t>
  </si>
  <si>
    <t>Type a short header in Responses!EI1 describing what this column contains (e.g. the question or demographic name), or delete the data in that column if it isn't needed.</t>
  </si>
  <si>
    <t>EJ1</t>
  </si>
  <si>
    <t>Type a short header in Responses!EJ1 describing what this column contains (e.g. the question or demographic name), or delete the data in that column if it isn't needed.</t>
  </si>
  <si>
    <t>EK1</t>
  </si>
  <si>
    <t>Type a short header in Responses!EK1 describing what this column contains (e.g. the question or demographic name), or delete the data in that column if it isn't needed.</t>
  </si>
  <si>
    <t>EL1</t>
  </si>
  <si>
    <t>Type a short header in Responses!EL1 describing what this column contains (e.g. the question or demographic name), or delete the data in that column if it isn't needed.</t>
  </si>
  <si>
    <t>EM1</t>
  </si>
  <si>
    <t>Type a short header in Responses!EM1 describing what this column contains (e.g. the question or demographic name), or delete the data in that column if it isn't needed.</t>
  </si>
  <si>
    <t>EN1</t>
  </si>
  <si>
    <t>Type a short header in Responses!EN1 describing what this column contains (e.g. the question or demographic name), or delete the data in that column if it isn't needed.</t>
  </si>
  <si>
    <t>EO1</t>
  </si>
  <si>
    <t>Type a short header in Responses!EO1 describing what this column contains (e.g. the question or demographic name), or delete the data in that column if it isn't needed.</t>
  </si>
  <si>
    <t>EP1</t>
  </si>
  <si>
    <t>Type a short header in Responses!EP1 describing what this column contains (e.g. the question or demographic name), or delete the data in that column if it isn't needed.</t>
  </si>
  <si>
    <t>EQ1</t>
  </si>
  <si>
    <t>Type a short header in Responses!EQ1 describing what this column contains (e.g. the question or demographic name), or delete the data in that column if it isn't needed.</t>
  </si>
  <si>
    <t>ER1</t>
  </si>
  <si>
    <t>Type a short header in Responses!ER1 describing what this column contains (e.g. the question or demographic name), or delete the data in that column if it isn't needed.</t>
  </si>
  <si>
    <t>ES1</t>
  </si>
  <si>
    <t>Type a short header in Responses!ES1 describing what this column contains (e.g. the question or demographic name), or delete the data in that column if it isn't needed.</t>
  </si>
  <si>
    <t>ET1</t>
  </si>
  <si>
    <t>Type a short header in Responses!ET1 describing what this column contains (e.g. the question or demographic name), or delete the data in that column if it isn't needed.</t>
  </si>
  <si>
    <t>EU1</t>
  </si>
  <si>
    <t>Type a short header in Responses!EU1 describing what this column contains (e.g. the question or demographic name), or delete the data in that column if it isn't needed.</t>
  </si>
  <si>
    <t>EV1</t>
  </si>
  <si>
    <t>Type a short header in Responses!EV1 describing what this column contains (e.g. the question or demographic name), or delete the data in that column if it isn't needed.</t>
  </si>
  <si>
    <t>EW1</t>
  </si>
  <si>
    <t>Type a short header in Responses!EW1 describing what this column contains (e.g. the question or demographic name), or delete the data in that column if it isn't needed.</t>
  </si>
  <si>
    <t>EX1</t>
  </si>
  <si>
    <t>Type a short header in Responses!EX1 describing what this column contains (e.g. the question or demographic name), or delete the data in that column if it isn't needed.</t>
  </si>
  <si>
    <t>EY1</t>
  </si>
  <si>
    <t>Type a short header in Responses!EY1 describing what this column contains (e.g. the question or demographic name), or delete the data in that column if it isn't needed.</t>
  </si>
  <si>
    <t>EZ1</t>
  </si>
  <si>
    <t>Type a short header in Responses!EZ1 describing what this column contains (e.g. the question or demographic name), or delete the data in that column if it isn't needed.</t>
  </si>
  <si>
    <t>FA1</t>
  </si>
  <si>
    <t>Type a short header in Responses!FA1 describing what this column contains (e.g. the question or demographic name), or delete the data in that column if it isn't needed.</t>
  </si>
  <si>
    <t>FB1</t>
  </si>
  <si>
    <t>Type a short header in Responses!FB1 describing what this column contains (e.g. the question or demographic name), or delete the data in that column if it isn't needed.</t>
  </si>
  <si>
    <t>FC1</t>
  </si>
  <si>
    <t>Type a short header in Responses!FC1 describing what this column contains (e.g. the question or demographic name), or delete the data in that column if it isn't needed.</t>
  </si>
  <si>
    <t>FD1</t>
  </si>
  <si>
    <t>Type a short header in Responses!FD1 describing what this column contains (e.g. the question or demographic name), or delete the data in that column if it isn't needed.</t>
  </si>
  <si>
    <t>FE1</t>
  </si>
  <si>
    <t>Type a short header in Responses!FE1 describing what this column contains (e.g. the question or demographic name), or delete the data in that column if it isn't needed.</t>
  </si>
  <si>
    <t>FF1</t>
  </si>
  <si>
    <t>Type a short header in Responses!FF1 describing what this column contains (e.g. the question or demographic name), or delete the data in that column if it isn't needed.</t>
  </si>
  <si>
    <t>FG1</t>
  </si>
  <si>
    <t>Type a short header in Responses!FG1 describing what this column contains (e.g. the question or demographic name), or delete the data in that column if it isn't needed.</t>
  </si>
  <si>
    <t>FH1</t>
  </si>
  <si>
    <t>Type a short header in Responses!FH1 describing what this column contains (e.g. the question or demographic name), or delete the data in that column if it isn't needed.</t>
  </si>
  <si>
    <t>FI1</t>
  </si>
  <si>
    <t>Type a short header in Responses!FI1 describing what this column contains (e.g. the question or demographic name), or delete the data in that column if it isn't needed.</t>
  </si>
  <si>
    <t>FJ1</t>
  </si>
  <si>
    <t>Type a short header in Responses!FJ1 describing what this column contains (e.g. the question or demographic name), or delete the data in that column if it isn't needed.</t>
  </si>
  <si>
    <t>FK1</t>
  </si>
  <si>
    <t>Type a short header in Responses!FK1 describing what this column contains (e.g. the question or demographic name), or delete the data in that column if it isn't needed.</t>
  </si>
  <si>
    <t>FL1</t>
  </si>
  <si>
    <t>Type a short header in Responses!FL1 describing what this column contains (e.g. the question or demographic name), or delete the data in that column if it isn't needed.</t>
  </si>
  <si>
    <t>FM1</t>
  </si>
  <si>
    <t>Type a short header in Responses!FM1 describing what this column contains (e.g. the question or demographic name), or delete the data in that column if it isn't needed.</t>
  </si>
  <si>
    <t>FN1</t>
  </si>
  <si>
    <t>Type a short header in Responses!FN1 describing what this column contains (e.g. the question or demographic name), or delete the data in that column if it isn't needed.</t>
  </si>
  <si>
    <t>FO1</t>
  </si>
  <si>
    <t>Type a short header in Responses!FO1 describing what this column contains (e.g. the question or demographic name), or delete the data in that column if it isn't needed.</t>
  </si>
  <si>
    <t>FP1</t>
  </si>
  <si>
    <t>Type a short header in Responses!FP1 describing what this column contains (e.g. the question or demographic name), or delete the data in that column if it isn't needed.</t>
  </si>
  <si>
    <t>FQ1</t>
  </si>
  <si>
    <t>Type a short header in Responses!FQ1 describing what this column contains (e.g. the question or demographic name), or delete the data in that column if it isn't needed.</t>
  </si>
  <si>
    <t>FR1</t>
  </si>
  <si>
    <t>Type a short header in Responses!FR1 describing what this column contains (e.g. the question or demographic name), or delete the data in that column if it isn't needed.</t>
  </si>
  <si>
    <t>FS1</t>
  </si>
  <si>
    <t>Type a short header in Responses!FS1 describing what this column contains (e.g. the question or demographic name), or delete the data in that column if it isn't needed.</t>
  </si>
  <si>
    <t>FT1</t>
  </si>
  <si>
    <t>Type a short header in Responses!FT1 describing what this column contains (e.g. the question or demographic name), or delete the data in that column if it isn't needed.</t>
  </si>
  <si>
    <t>FU1</t>
  </si>
  <si>
    <t>Type a short header in Responses!FU1 describing what this column contains (e.g. the question or demographic name), or delete the data in that column if it isn't needed.</t>
  </si>
  <si>
    <t>FV1</t>
  </si>
  <si>
    <t>Type a short header in Responses!FV1 describing what this column contains (e.g. the question or demographic name), or delete the data in that column if it isn't needed.</t>
  </si>
  <si>
    <t>FW1</t>
  </si>
  <si>
    <t>Type a short header in Responses!FW1 describing what this column contains (e.g. the question or demographic name), or delete the data in that column if it isn't needed.</t>
  </si>
  <si>
    <t>FX1</t>
  </si>
  <si>
    <t>Type a short header in Responses!FX1 describing what this column contains (e.g. the question or demographic name), or delete the data in that column if it isn't needed.</t>
  </si>
  <si>
    <t>FY1</t>
  </si>
  <si>
    <t>Type a short header in Responses!FY1 describing what this column contains (e.g. the question or demographic name), or delete the data in that column if it isn't needed.</t>
  </si>
  <si>
    <t>FZ1</t>
  </si>
  <si>
    <t>Type a short header in Responses!FZ1 describing what this column contains (e.g. the question or demographic name), or delete the data in that column if it isn't needed.</t>
  </si>
  <si>
    <t>GA1</t>
  </si>
  <si>
    <t>Type a short header in Responses!GA1 describing what this column contains (e.g. the question or demographic name), or delete the data in that column if it isn't needed.</t>
  </si>
  <si>
    <t>GB1</t>
  </si>
  <si>
    <t>Type a short header in Responses!GB1 describing what this column contains (e.g. the question or demographic name), or delete the data in that column if it isn't needed.</t>
  </si>
  <si>
    <t>GC1</t>
  </si>
  <si>
    <t>Type a short header in Responses!GC1 describing what this column contains (e.g. the question or demographic name), or delete the data in that column if it isn't needed.</t>
  </si>
  <si>
    <t>GD1</t>
  </si>
  <si>
    <t>Type a short header in Responses!GD1 describing what this column contains (e.g. the question or demographic name), or delete the data in that column if it isn't needed.</t>
  </si>
  <si>
    <t>GE1</t>
  </si>
  <si>
    <t>Type a short header in Responses!GE1 describing what this column contains (e.g. the question or demographic name), or delete the data in that column if it isn't needed.</t>
  </si>
  <si>
    <t>GF1</t>
  </si>
  <si>
    <t>Type a short header in Responses!GF1 describing what this column contains (e.g. the question or demographic name), or delete the data in that column if it isn't needed.</t>
  </si>
  <si>
    <t>GG1</t>
  </si>
  <si>
    <t>Type a short header in Responses!GG1 describing what this column contains (e.g. the question or demographic name), or delete the data in that column if it isn't needed.</t>
  </si>
  <si>
    <t>GH1</t>
  </si>
  <si>
    <t>Type a short header in Responses!GH1 describing what this column contains (e.g. the question or demographic name), or delete the data in that column if it isn't needed.</t>
  </si>
  <si>
    <t>GI1</t>
  </si>
  <si>
    <t>Type a short header in Responses!GI1 describing what this column contains (e.g. the question or demographic name), or delete the data in that column if it isn't needed.</t>
  </si>
  <si>
    <t>GJ1</t>
  </si>
  <si>
    <t>Type a short header in Responses!GJ1 describing what this column contains (e.g. the question or demographic name), or delete the data in that column if it isn't needed.</t>
  </si>
  <si>
    <t>GK1</t>
  </si>
  <si>
    <t>Type a short header in Responses!GK1 describing what this column contains (e.g. the question or demographic name), or delete the data in that column if it isn't needed.</t>
  </si>
  <si>
    <t>GL1</t>
  </si>
  <si>
    <t>Type a short header in Responses!GL1 describing what this column contains (e.g. the question or demographic name), or delete the data in that column if it isn't needed.</t>
  </si>
  <si>
    <t>GM1</t>
  </si>
  <si>
    <t>Type a short header in Responses!GM1 describing what this column contains (e.g. the question or demographic name), or delete the data in that column if it isn't needed.</t>
  </si>
  <si>
    <t>GN1</t>
  </si>
  <si>
    <t>Type a short header in Responses!GN1 describing what this column contains (e.g. the question or demographic name), or delete the data in that column if it isn't needed.</t>
  </si>
  <si>
    <t>GO1</t>
  </si>
  <si>
    <t>Type a short header in Responses!GO1 describing what this column contains (e.g. the question or demographic name), or delete the data in that column if it isn't needed.</t>
  </si>
  <si>
    <t>GP1</t>
  </si>
  <si>
    <t>Type a short header in Responses!GP1 describing what this column contains (e.g. the question or demographic name), or delete the data in that column if it isn't needed.</t>
  </si>
  <si>
    <t>GQ1</t>
  </si>
  <si>
    <t>Type a short header in Responses!GQ1 describing what this column contains (e.g. the question or demographic name), or delete the data in that column if it isn't needed.</t>
  </si>
  <si>
    <t>GR1</t>
  </si>
  <si>
    <t>Type a short header in Responses!GR1 describing what this column contains (e.g. the question or demographic name), or delete the data in that column if it isn't needed.</t>
  </si>
  <si>
    <t>GS1</t>
  </si>
  <si>
    <t>Type a short header in Responses!GS1 describing what this column contains (e.g. the question or demographic name), or delete the data in that column if it isn't needed.</t>
  </si>
  <si>
    <t>GT1</t>
  </si>
  <si>
    <t>Type a short header in Responses!GT1 describing what this column contains (e.g. the question or demographic name), or delete the data in that column if it isn't needed.</t>
  </si>
  <si>
    <t>GU1</t>
  </si>
  <si>
    <t>Type a short header in Responses!GU1 describing what this column contains (e.g. the question or demographic name), or delete the data in that column if it isn't needed.</t>
  </si>
  <si>
    <t>GV1</t>
  </si>
  <si>
    <t>Type a short header in Responses!GV1 describing what this column contains (e.g. the question or demographic name), or delete the data in that column if it isn't needed.</t>
  </si>
  <si>
    <t>GW1</t>
  </si>
  <si>
    <t>Type a short header in Responses!GW1 describing what this column contains (e.g. the question or demographic name), or delete the data in that column if it isn't needed.</t>
  </si>
  <si>
    <t>GX1</t>
  </si>
  <si>
    <t>Type a short header in Responses!GX1 describing what this column contains (e.g. the question or demographic name), or delete the data in that column if it isn't needed.</t>
  </si>
  <si>
    <t>GY1</t>
  </si>
  <si>
    <t>Type a short header in Responses!GY1 describing what this column contains (e.g. the question or demographic name), or delete the data in that column if it isn't needed.</t>
  </si>
  <si>
    <t>GZ1</t>
  </si>
  <si>
    <t>Type a short header in Responses!GZ1 describing what this column contains (e.g. the question or demographic name), or delete the data in that column if it isn't needed.</t>
  </si>
  <si>
    <t>HA1</t>
  </si>
  <si>
    <t>Type a short header in Responses!HA1 describing what this column contains (e.g. the question or demographic name), or delete the data in that column if it isn't needed.</t>
  </si>
  <si>
    <t>HB1</t>
  </si>
  <si>
    <t>Type a short header in Responses!HB1 describing what this column contains (e.g. the question or demographic name), or delete the data in that column if it isn't needed.</t>
  </si>
  <si>
    <t>HC1</t>
  </si>
  <si>
    <t>Type a short header in Responses!HC1 describing what this column contains (e.g. the question or demographic name), or delete the data in that column if it isn't needed.</t>
  </si>
  <si>
    <t>HD1</t>
  </si>
  <si>
    <t>Type a short header in Responses!HD1 describing what this column contains (e.g. the question or demographic name), or delete the data in that column if it isn't needed.</t>
  </si>
  <si>
    <t>HE1</t>
  </si>
  <si>
    <t>Type a short header in Responses!HE1 describing what this column contains (e.g. the question or demographic name), or delete the data in that column if it isn't needed.</t>
  </si>
  <si>
    <t>HF1</t>
  </si>
  <si>
    <t>Type a short header in Responses!HF1 describing what this column contains (e.g. the question or demographic name), or delete the data in that column if it isn't needed.</t>
  </si>
  <si>
    <t>HG1</t>
  </si>
  <si>
    <t>Type a short header in Responses!HG1 describing what this column contains (e.g. the question or demographic name), or delete the data in that column if it isn't needed.</t>
  </si>
  <si>
    <t>HH1</t>
  </si>
  <si>
    <t>Type a short header in Responses!HH1 describing what this column contains (e.g. the question or demographic name), or delete the data in that column if it isn't needed.</t>
  </si>
  <si>
    <t>HI1</t>
  </si>
  <si>
    <t>Type a short header in Responses!HI1 describing what this column contains (e.g. the question or demographic name), or delete the data in that column if it isn't needed.</t>
  </si>
  <si>
    <t>HJ1</t>
  </si>
  <si>
    <t>Type a short header in Responses!HJ1 describing what this column contains (e.g. the question or demographic name), or delete the data in that column if it isn't needed.</t>
  </si>
  <si>
    <t>HK1</t>
  </si>
  <si>
    <t>Type a short header in Responses!HK1 describing what this column contains (e.g. the question or demographic name), or delete the data in that column if it isn't needed.</t>
  </si>
  <si>
    <t>HL1</t>
  </si>
  <si>
    <t>Type a short header in Responses!HL1 describing what this column contains (e.g. the question or demographic name), or delete the data in that column if it isn't needed.</t>
  </si>
  <si>
    <t>HM1</t>
  </si>
  <si>
    <t>Type a short header in Responses!HM1 describing what this column contains (e.g. the question or demographic name), or delete the data in that column if it isn't needed.</t>
  </si>
  <si>
    <t>HN1</t>
  </si>
  <si>
    <t>Type a short header in Responses!HN1 describing what this column contains (e.g. the question or demographic name), or delete the data in that column if it isn't needed.</t>
  </si>
  <si>
    <t>HO1</t>
  </si>
  <si>
    <t>Type a short header in Responses!HO1 describing what this column contains (e.g. the question or demographic name), or delete the data in that column if it isn't needed.</t>
  </si>
  <si>
    <t>HP1</t>
  </si>
  <si>
    <t>Type a short header in Responses!HP1 describing what this column contains (e.g. the question or demographic name), or delete the data in that column if it isn't needed.</t>
  </si>
  <si>
    <t>HQ1</t>
  </si>
  <si>
    <t>Type a short header in Responses!HQ1 describing what this column contains (e.g. the question or demographic name), or delete the data in that column if it isn't needed.</t>
  </si>
  <si>
    <t>HR1</t>
  </si>
  <si>
    <t>Type a short header in Responses!HR1 describing what this column contains (e.g. the question or demographic name), or delete the data in that column if it isn't needed.</t>
  </si>
  <si>
    <t>HS1</t>
  </si>
  <si>
    <t>Type a short header in Responses!HS1 describing what this column contains (e.g. the question or demographic name), or delete the data in that column if it isn't needed.</t>
  </si>
  <si>
    <t>HT1</t>
  </si>
  <si>
    <t>Type a short header in Responses!HT1 describing what this column contains (e.g. the question or demographic name), or delete the data in that column if it isn't needed.</t>
  </si>
  <si>
    <t>HU1</t>
  </si>
  <si>
    <t>Type a short header in Responses!HU1 describing what this column contains (e.g. the question or demographic name), or delete the data in that column if it isn't needed.</t>
  </si>
  <si>
    <t>HV1</t>
  </si>
  <si>
    <t>Type a short header in Responses!HV1 describing what this column contains (e.g. the question or demographic name), or delete the data in that column if it isn't needed.</t>
  </si>
  <si>
    <t>HW1</t>
  </si>
  <si>
    <t>Type a short header in Responses!HW1 describing what this column contains (e.g. the question or demographic name), or delete the data in that column if it isn't needed.</t>
  </si>
  <si>
    <t>HX1</t>
  </si>
  <si>
    <t>Type a short header in Responses!HX1 describing what this column contains (e.g. the question or demographic name), or delete the data in that column if it isn't needed.</t>
  </si>
  <si>
    <t>HY1</t>
  </si>
  <si>
    <t>Type a short header in Responses!HY1 describing what this column contains (e.g. the question or demographic name), or delete the data in that column if it isn't needed.</t>
  </si>
  <si>
    <t>HZ1</t>
  </si>
  <si>
    <t>Type a short header in Responses!HZ1 describing what this column contains (e.g. the question or demographic name), or delete the data in that column if it isn't needed.</t>
  </si>
  <si>
    <t>IA1</t>
  </si>
  <si>
    <t>Type a short header in Responses!IA1 describing what this column contains (e.g. the question or demographic name), or delete the data in that column if it isn't needed.</t>
  </si>
  <si>
    <t>IB1</t>
  </si>
  <si>
    <t>Type a short header in Responses!IB1 describing what this column contains (e.g. the question or demographic name), or delete the data in that column if it isn't needed.</t>
  </si>
  <si>
    <t>IC1</t>
  </si>
  <si>
    <t>Type a short header in Responses!IC1 describing what this column contains (e.g. the question or demographic name), or delete the data in that column if it isn't needed.</t>
  </si>
  <si>
    <t>ID1</t>
  </si>
  <si>
    <t>Type a short header in Responses!ID1 describing what this column contains (e.g. the question or demographic name), or delete the data in that column if it isn't needed.</t>
  </si>
  <si>
    <t>IE1</t>
  </si>
  <si>
    <t>Type a short header in Responses!IE1 describing what this column contains (e.g. the question or demographic name), or delete the data in that column if it isn't needed.</t>
  </si>
  <si>
    <t>IF1</t>
  </si>
  <si>
    <t>Type a short header in Responses!IF1 describing what this column contains (e.g. the question or demographic name), or delete the data in that column if it isn't needed.</t>
  </si>
  <si>
    <t>IG1</t>
  </si>
  <si>
    <t>Type a short header in Responses!IG1 describing what this column contains (e.g. the question or demographic name), or delete the data in that column if it isn't needed.</t>
  </si>
  <si>
    <t>IH1</t>
  </si>
  <si>
    <t>Type a short header in Responses!IH1 describing what this column contains (e.g. the question or demographic name), or delete the data in that column if it isn't needed.</t>
  </si>
  <si>
    <t>II1</t>
  </si>
  <si>
    <t>Type a short header in Responses!II1 describing what this column contains (e.g. the question or demographic name), or delete the data in that column if it isn't needed.</t>
  </si>
  <si>
    <t>IJ1</t>
  </si>
  <si>
    <t>Type a short header in Responses!IJ1 describing what this column contains (e.g. the question or demographic name), or delete the data in that column if it isn't needed.</t>
  </si>
  <si>
    <t>IK1</t>
  </si>
  <si>
    <t>Type a short header in Responses!IK1 describing what this column contains (e.g. the question or demographic name), or delete the data in that column if it isn't needed.</t>
  </si>
  <si>
    <t>IL1</t>
  </si>
  <si>
    <t>Type a short header in Responses!IL1 describing what this column contains (e.g. the question or demographic name), or delete the data in that column if it isn't needed.</t>
  </si>
  <si>
    <t>IM1</t>
  </si>
  <si>
    <t>Type a short header in Responses!IM1 describing what this column contains (e.g. the question or demographic name), or delete the data in that column if it isn't needed.</t>
  </si>
  <si>
    <t>IN1</t>
  </si>
  <si>
    <t>Type a short header in Responses!IN1 describing what this column contains (e.g. the question or demographic name), or delete the data in that column if it isn't needed.</t>
  </si>
  <si>
    <t>IO1</t>
  </si>
  <si>
    <t>Type a short header in Responses!IO1 describing what this column contains (e.g. the question or demographic name), or delete the data in that column if it isn't needed.</t>
  </si>
  <si>
    <t>IP1</t>
  </si>
  <si>
    <t>Type a short header in Responses!IP1 describing what this column contains (e.g. the question or demographic name), or delete the data in that column if it isn't needed.</t>
  </si>
  <si>
    <t>IQ1</t>
  </si>
  <si>
    <t>Type a short header in Responses!IQ1 describing what this column contains (e.g. the question or demographic name), or delete the data in that column if it isn't needed.</t>
  </si>
  <si>
    <t>IR1</t>
  </si>
  <si>
    <t>Type a short header in Responses!IR1 describing what this column contains (e.g. the question or demographic name), or delete the data in that column if it isn't needed.</t>
  </si>
  <si>
    <t>IS1</t>
  </si>
  <si>
    <t>Type a short header in Responses!IS1 describing what this column contains (e.g. the question or demographic name), or delete the data in that column if it isn't needed.</t>
  </si>
  <si>
    <t>IT1</t>
  </si>
  <si>
    <t>Type a short header in Responses!IT1 describing what this column contains (e.g. the question or demographic name), or delete the data in that column if it isn't needed.</t>
  </si>
  <si>
    <t>IU1</t>
  </si>
  <si>
    <t>Type a short header in Responses!IU1 describing what this column contains (e.g. the question or demographic name), or delete the data in that column if it isn't needed.</t>
  </si>
  <si>
    <t>IV1</t>
  </si>
  <si>
    <t>Type a short header in Responses!IV1 describing what this column contains (e.g. the question or demographic name), or delete the data in that column if it isn't needed.</t>
  </si>
  <si>
    <t>IW1</t>
  </si>
  <si>
    <t>Type a short header in Responses!IW1 describing what this column contains (e.g. the question or demographic name), or delete the data in that column if it isn't needed.</t>
  </si>
  <si>
    <t>IX1</t>
  </si>
  <si>
    <t>Type a short header in Responses!IX1 describing what this column contains (e.g. the question or demographic name), or delete the data in that column if it isn't needed.</t>
  </si>
  <si>
    <t>IY1</t>
  </si>
  <si>
    <t>Type a short header in Responses!IY1 describing what this column contains (e.g. the question or demographic name), or delete the data in that column if it isn't needed.</t>
  </si>
  <si>
    <t>IZ1</t>
  </si>
  <si>
    <t>Type a short header in Responses!IZ1 describing what this column contains (e.g. the question or demographic name), or delete the data in that column if it isn't needed.</t>
  </si>
  <si>
    <t>JA1</t>
  </si>
  <si>
    <t>Type a short header in Responses!JA1 describing what this column contains (e.g. the question or demographic name), or delete the data in that column if it isn't needed.</t>
  </si>
  <si>
    <t>JB1</t>
  </si>
  <si>
    <t>Type a short header in Responses!JB1 describing what this column contains (e.g. the question or demographic name), or delete the data in that column if it isn't needed.</t>
  </si>
  <si>
    <t>JC1</t>
  </si>
  <si>
    <t>Type a short header in Responses!JC1 describing what this column contains (e.g. the question or demographic name), or delete the data in that column if it isn't needed.</t>
  </si>
  <si>
    <t>JD1</t>
  </si>
  <si>
    <t>Type a short header in Responses!JD1 describing what this column contains (e.g. the question or demographic name), or delete the data in that column if it isn't needed.</t>
  </si>
  <si>
    <t>JE1</t>
  </si>
  <si>
    <t>Type a short header in Responses!JE1 describing what this column contains (e.g. the question or demographic name), or delete the data in that column if it isn't needed.</t>
  </si>
  <si>
    <t>JF1</t>
  </si>
  <si>
    <t>Type a short header in Responses!JF1 describing what this column contains (e.g. the question or demographic name), or delete the data in that column if it isn't needed.</t>
  </si>
  <si>
    <t>JG1</t>
  </si>
  <si>
    <t>Type a short header in Responses!JG1 describing what this column contains (e.g. the question or demographic name), or delete the data in that column if it isn't needed.</t>
  </si>
  <si>
    <t>JH1</t>
  </si>
  <si>
    <t>Type a short header in Responses!JH1 describing what this column contains (e.g. the question or demographic name), or delete the data in that column if it isn't needed.</t>
  </si>
  <si>
    <t>JI1</t>
  </si>
  <si>
    <t>Type a short header in Responses!JI1 describing what this column contains (e.g. the question or demographic name), or delete the data in that column if it isn't needed.</t>
  </si>
  <si>
    <t>JJ1</t>
  </si>
  <si>
    <t>Type a short header in Responses!JJ1 describing what this column contains (e.g. the question or demographic name), or delete the data in that column if it isn't needed.</t>
  </si>
  <si>
    <t>JK1</t>
  </si>
  <si>
    <t>Type a short header in Responses!JK1 describing what this column contains (e.g. the question or demographic name), or delete the data in that column if it isn't needed.</t>
  </si>
  <si>
    <t>JL1</t>
  </si>
  <si>
    <t>Type a short header in Responses!JL1 describing what this column contains (e.g. the question or demographic name), or delete the data in that column if it isn't needed.</t>
  </si>
  <si>
    <t>JM1</t>
  </si>
  <si>
    <t>Type a short header in Responses!JM1 describing what this column contains (e.g. the question or demographic name), or delete the data in that column if it isn't needed.</t>
  </si>
  <si>
    <t>JN1</t>
  </si>
  <si>
    <t>Type a short header in Responses!JN1 describing what this column contains (e.g. the question or demographic name), or delete the data in that column if it isn't needed.</t>
  </si>
  <si>
    <t>JO1</t>
  </si>
  <si>
    <t>Type a short header in Responses!JO1 describing what this column contains (e.g. the question or demographic name), or delete the data in that column if it isn't needed.</t>
  </si>
  <si>
    <t>JP1</t>
  </si>
  <si>
    <t>Type a short header in Responses!JP1 describing what this column contains (e.g. the question or demographic name), or delete the data in that column if it isn't needed.</t>
  </si>
  <si>
    <t>JQ1</t>
  </si>
  <si>
    <t>Type a short header in Responses!JQ1 describing what this column contains (e.g. the question or demographic name), or delete the data in that column if it isn't needed.</t>
  </si>
  <si>
    <t>JR1</t>
  </si>
  <si>
    <t>Type a short header in Responses!JR1 describing what this column contains (e.g. the question or demographic name), or delete the data in that column if it isn't needed.</t>
  </si>
  <si>
    <t>JS1</t>
  </si>
  <si>
    <t>Type a short header in Responses!JS1 describing what this column contains (e.g. the question or demographic name), or delete the data in that column if it isn't needed.</t>
  </si>
  <si>
    <t>JT1</t>
  </si>
  <si>
    <t>Type a short header in Responses!JT1 describing what this column contains (e.g. the question or demographic name), or delete the data in that column if it isn't needed.</t>
  </si>
  <si>
    <t>JU1</t>
  </si>
  <si>
    <t>Type a short header in Responses!JU1 describing what this column contains (e.g. the question or demographic name), or delete the data in that column if it isn't needed.</t>
  </si>
  <si>
    <t>JV1</t>
  </si>
  <si>
    <t>Type a short header in Responses!JV1 describing what this column contains (e.g. the question or demographic name), or delete the data in that column if it isn't needed.</t>
  </si>
  <si>
    <t>JW1</t>
  </si>
  <si>
    <t>Type a short header in Responses!JW1 describing what this column contains (e.g. the question or demographic name), or delete the data in that column if it isn't needed.</t>
  </si>
  <si>
    <t>JX1</t>
  </si>
  <si>
    <t>Type a short header in Responses!JX1 describing what this column contains (e.g. the question or demographic name), or delete the data in that column if it isn't needed.</t>
  </si>
  <si>
    <t>JY1</t>
  </si>
  <si>
    <t>Type a short header in Responses!JY1 describing what this column contains (e.g. the question or demographic name), or delete the data in that column if it isn't needed.</t>
  </si>
  <si>
    <t>JZ1</t>
  </si>
  <si>
    <t>Type a short header in Responses!JZ1 describing what this column contains (e.g. the question or demographic name), or delete the data in that column if it isn't needed.</t>
  </si>
  <si>
    <t>KA1</t>
  </si>
  <si>
    <t>Type a short header in Responses!KA1 describing what this column contains (e.g. the question or demographic name), or delete the data in that column if it isn't needed.</t>
  </si>
  <si>
    <t>KB1</t>
  </si>
  <si>
    <t>Type a short header in Responses!KB1 describing what this column contains (e.g. the question or demographic name), or delete the data in that column if it isn't needed.</t>
  </si>
  <si>
    <t>KC1</t>
  </si>
  <si>
    <t>Type a short header in Responses!KC1 describing what this column contains (e.g. the question or demographic name), or delete the data in that column if it isn't needed.</t>
  </si>
  <si>
    <t>KD1</t>
  </si>
  <si>
    <t>Type a short header in Responses!KD1 describing what this column contains (e.g. the question or demographic name), or delete the data in that column if it isn't needed.</t>
  </si>
  <si>
    <t>KE1</t>
  </si>
  <si>
    <t>Type a short header in Responses!KE1 describing what this column contains (e.g. the question or demographic name), or delete the data in that column if it isn't needed.</t>
  </si>
  <si>
    <t>KF1</t>
  </si>
  <si>
    <t>Type a short header in Responses!KF1 describing what this column contains (e.g. the question or demographic name), or delete the data in that column if it isn't needed.</t>
  </si>
  <si>
    <t>KG1</t>
  </si>
  <si>
    <t>Type a short header in Responses!KG1 describing what this column contains (e.g. the question or demographic name), or delete the data in that column if it isn't needed.</t>
  </si>
  <si>
    <t>KH1</t>
  </si>
  <si>
    <t>Type a short header in Responses!KH1 describing what this column contains (e.g. the question or demographic name), or delete the data in that column if it isn't needed.</t>
  </si>
  <si>
    <t>KI1</t>
  </si>
  <si>
    <t>Type a short header in Responses!KI1 describing what this column contains (e.g. the question or demographic name), or delete the data in that column if it isn't needed.</t>
  </si>
  <si>
    <t>KJ1</t>
  </si>
  <si>
    <t>Type a short header in Responses!KJ1 describing what this column contains (e.g. the question or demographic name), or delete the data in that column if it isn't needed.</t>
  </si>
  <si>
    <t>KK1</t>
  </si>
  <si>
    <t>Type a short header in Responses!KK1 describing what this column contains (e.g. the question or demographic name), or delete the data in that column if it isn't needed.</t>
  </si>
  <si>
    <t>KL1</t>
  </si>
  <si>
    <t>Type a short header in Responses!KL1 describing what this column contains (e.g. the question or demographic name), or delete the data in that column if it isn't needed.</t>
  </si>
  <si>
    <t>KM1</t>
  </si>
  <si>
    <t>Type a short header in Responses!KM1 describing what this column contains (e.g. the question or demographic name), or delete the data in that column if it isn't needed.</t>
  </si>
  <si>
    <t>KN1</t>
  </si>
  <si>
    <t>Type a short header in Responses!KN1 describing what this column contains (e.g. the question or demographic name), or delete the data in that column if it isn't needed.</t>
  </si>
  <si>
    <t>KO1</t>
  </si>
  <si>
    <t>Type a short header in Responses!KO1 describing what this column contains (e.g. the question or demographic name), or delete the data in that column if it isn't needed.</t>
  </si>
  <si>
    <t>KP1</t>
  </si>
  <si>
    <t>Type a short header in Responses!KP1 describing what this column contains (e.g. the question or demographic name), or delete the data in that column if it isn't needed.</t>
  </si>
  <si>
    <t>KQ1</t>
  </si>
  <si>
    <t>Type a short header in Responses!KQ1 describing what this column contains (e.g. the question or demographic name), or delete the data in that column if it isn't needed.</t>
  </si>
  <si>
    <t>KR1</t>
  </si>
  <si>
    <t>Type a short header in Responses!KR1 describing what this column contains (e.g. the question or demographic name), or delete the data in that column if it isn't needed.</t>
  </si>
  <si>
    <t>KS1</t>
  </si>
  <si>
    <t>Type a short header in Responses!KS1 describing what this column contains (e.g. the question or demographic name), or delete the data in that column if it isn't needed.</t>
  </si>
  <si>
    <t>KT1</t>
  </si>
  <si>
    <t>Type a short header in Responses!KT1 describing what this column contains (e.g. the question or demographic name), or delete the data in that column if it isn't needed.</t>
  </si>
  <si>
    <t>KU1</t>
  </si>
  <si>
    <t>Type a short header in Responses!KU1 describing what this column contains (e.g. the question or demographic name), or delete the data in that column if it isn't needed.</t>
  </si>
  <si>
    <t>KV1</t>
  </si>
  <si>
    <t>Type a short header in Responses!KV1 describing what this column contains (e.g. the question or demographic name), or delete the data in that column if it isn't needed.</t>
  </si>
  <si>
    <t>KW1</t>
  </si>
  <si>
    <t>Type a short header in Responses!KW1 describing what this column contains (e.g. the question or demographic name), or delete the data in that column if it isn't needed.</t>
  </si>
  <si>
    <t>KX1</t>
  </si>
  <si>
    <t>Type a short header in Responses!KX1 describing what this column contains (e.g. the question or demographic name), or delete the data in that column if it isn't needed.</t>
  </si>
  <si>
    <t>KY1</t>
  </si>
  <si>
    <t>Type a short header in Responses!KY1 describing what this column contains (e.g. the question or demographic name), or delete the data in that column if it isn't needed.</t>
  </si>
  <si>
    <t>KZ1</t>
  </si>
  <si>
    <t>Type a short header in Responses!KZ1 describing what this column contains (e.g. the question or demographic name), or delete the data in that column if it isn't needed.</t>
  </si>
  <si>
    <t>LA1</t>
  </si>
  <si>
    <t>Type a short header in Responses!LA1 describing what this column contains (e.g. the question or demographic name), or delete the data in that column if it isn't needed.</t>
  </si>
  <si>
    <t>LB1</t>
  </si>
  <si>
    <t>Type a short header in Responses!LB1 describing what this column contains (e.g. the question or demographic name), or delete the data in that column if it isn't needed.</t>
  </si>
  <si>
    <t>LC1</t>
  </si>
  <si>
    <t>Type a short header in Responses!LC1 describing what this column contains (e.g. the question or demographic name), or delete the data in that column if it isn't needed.</t>
  </si>
  <si>
    <t>LD1</t>
  </si>
  <si>
    <t>Type a short header in Responses!LD1 describing what this column contains (e.g. the question or demographic name), or delete the data in that column if it isn't needed.</t>
  </si>
  <si>
    <t>LE1</t>
  </si>
  <si>
    <t>Type a short header in Responses!LE1 describing what this column contains (e.g. the question or demographic name), or delete the data in that column if it isn't needed.</t>
  </si>
  <si>
    <t>LF1</t>
  </si>
  <si>
    <t>Type a short header in Responses!LF1 describing what this column contains (e.g. the question or demographic name), or delete the data in that column if it isn't needed.</t>
  </si>
  <si>
    <t>LG1</t>
  </si>
  <si>
    <t>Type a short header in Responses!LG1 describing what this column contains (e.g. the question or demographic name), or delete the data in that column if it isn't needed.</t>
  </si>
  <si>
    <t>LH1</t>
  </si>
  <si>
    <t>Type a short header in Responses!LH1 describing what this column contains (e.g. the question or demographic name), or delete the data in that column if it isn't needed.</t>
  </si>
  <si>
    <t>LI1</t>
  </si>
  <si>
    <t>Type a short header in Responses!LI1 describing what this column contains (e.g. the question or demographic name), or delete the data in that column if it isn't needed.</t>
  </si>
  <si>
    <t>LJ1</t>
  </si>
  <si>
    <t>Type a short header in Responses!LJ1 describing what this column contains (e.g. the question or demographic name), or delete the data in that column if it isn't needed.</t>
  </si>
  <si>
    <t>LK1</t>
  </si>
  <si>
    <t>Type a short header in Responses!LK1 describing what this column contains (e.g. the question or demographic name), or delete the data in that column if it isn't needed.</t>
  </si>
  <si>
    <t>LL1</t>
  </si>
  <si>
    <t>Type a short header in Responses!LL1 describing what this column contains (e.g. the question or demographic name), or delete the data in that column if it isn't needed.</t>
  </si>
  <si>
    <t>LM1</t>
  </si>
  <si>
    <t>Type a short header in Responses!LM1 describing what this column contains (e.g. the question or demographic name), or delete the data in that column if it isn't needed.</t>
  </si>
  <si>
    <t>LN1</t>
  </si>
  <si>
    <t>Type a short header in Responses!LN1 describing what this column contains (e.g. the question or demographic name), or delete the data in that column if it isn't needed.</t>
  </si>
  <si>
    <t>LO1</t>
  </si>
  <si>
    <t>Type a short header in Responses!LO1 describing what this column contains (e.g. the question or demographic name), or delete the data in that column if it isn't needed.</t>
  </si>
  <si>
    <t>LP1</t>
  </si>
  <si>
    <t>Type a short header in Responses!LP1 describing what this column contains (e.g. the question or demographic name), or delete the data in that column if it isn't needed.</t>
  </si>
  <si>
    <t>LQ1</t>
  </si>
  <si>
    <t>Type a short header in Responses!LQ1 describing what this column contains (e.g. the question or demographic name), or delete the data in that column if it isn't needed.</t>
  </si>
  <si>
    <t>LR1</t>
  </si>
  <si>
    <t>Type a short header in Responses!LR1 describing what this column contains (e.g. the question or demographic name), or delete the data in that column if it isn't needed.</t>
  </si>
  <si>
    <t>LS1</t>
  </si>
  <si>
    <t>Type a short header in Responses!LS1 describing what this column contains (e.g. the question or demographic name), or delete the data in that column if it isn't needed.</t>
  </si>
  <si>
    <t>LT1</t>
  </si>
  <si>
    <t>Type a short header in Responses!LT1 describing what this column contains (e.g. the question or demographic name), or delete the data in that column if it isn't needed.</t>
  </si>
  <si>
    <t>LU1</t>
  </si>
  <si>
    <t>Type a short header in Responses!LU1 describing what this column contains (e.g. the question or demographic name), or delete the data in that column if it isn't needed.</t>
  </si>
  <si>
    <t>LV1</t>
  </si>
  <si>
    <t>Type a short header in Responses!LV1 describing what this column contains (e.g. the question or demographic name), or delete the data in that column if it isn't needed.</t>
  </si>
  <si>
    <t>LW1</t>
  </si>
  <si>
    <t>Type a short header in Responses!LW1 describing what this column contains (e.g. the question or demographic name), or delete the data in that column if it isn't needed.</t>
  </si>
  <si>
    <t>LX1</t>
  </si>
  <si>
    <t>Type a short header in Responses!LX1 describing what this column contains (e.g. the question or demographic name), or delete the data in that column if it isn't needed.</t>
  </si>
  <si>
    <t>LY1</t>
  </si>
  <si>
    <t>Type a short header in Responses!LY1 describing what this column contains (e.g. the question or demographic name), or delete the data in that column if it isn't needed.</t>
  </si>
  <si>
    <t>LZ1</t>
  </si>
  <si>
    <t>Type a short header in Responses!LZ1 describing what this column contains (e.g. the question or demographic name), or delete the data in that column if it isn't needed.</t>
  </si>
  <si>
    <t>MA1</t>
  </si>
  <si>
    <t>Type a short header in Responses!MA1 describing what this column contains (e.g. the question or demographic name), or delete the data in that column if it isn't needed.</t>
  </si>
  <si>
    <t>MB1</t>
  </si>
  <si>
    <t>Type a short header in Responses!MB1 describing what this column contains (e.g. the question or demographic name), or delete the data in that column if it isn't needed.</t>
  </si>
  <si>
    <t>MC1</t>
  </si>
  <si>
    <t>Type a short header in Responses!MC1 describing what this column contains (e.g. the question or demographic name), or delete the data in that column if it isn't needed.</t>
  </si>
  <si>
    <t>MD1</t>
  </si>
  <si>
    <t>Type a short header in Responses!MD1 describing what this column contains (e.g. the question or demographic name), or delete the data in that column if it isn't needed.</t>
  </si>
  <si>
    <t>ME1</t>
  </si>
  <si>
    <t>Type a short header in Responses!ME1 describing what this column contains (e.g. the question or demographic name), or delete the data in that column if it isn't needed.</t>
  </si>
  <si>
    <t>MF1</t>
  </si>
  <si>
    <t>Type a short header in Responses!MF1 describing what this column contains (e.g. the question or demographic name), or delete the data in that column if it isn't needed.</t>
  </si>
  <si>
    <t>MG1</t>
  </si>
  <si>
    <t>Type a short header in Responses!MG1 describing what this column contains (e.g. the question or demographic name), or delete the data in that column if it isn't needed.</t>
  </si>
  <si>
    <t>MH1</t>
  </si>
  <si>
    <t>Type a short header in Responses!MH1 describing what this column contains (e.g. the question or demographic name), or delete the data in that column if it isn't needed.</t>
  </si>
  <si>
    <t>MI1</t>
  </si>
  <si>
    <t>Type a short header in Responses!MI1 describing what this column contains (e.g. the question or demographic name), or delete the data in that column if it isn't needed.</t>
  </si>
  <si>
    <t>MJ1</t>
  </si>
  <si>
    <t>Type a short header in Responses!MJ1 describing what this column contains (e.g. the question or demographic name), or delete the data in that column if it isn't needed.</t>
  </si>
  <si>
    <t>MK1</t>
  </si>
  <si>
    <t>Type a short header in Responses!MK1 describing what this column contains (e.g. the question or demographic name), or delete the data in that column if it isn't needed.</t>
  </si>
  <si>
    <t>ML1</t>
  </si>
  <si>
    <t>Type a short header in Responses!ML1 describing what this column contains (e.g. the question or demographic name), or delete the data in that column if it isn't needed.</t>
  </si>
  <si>
    <t>MM1</t>
  </si>
  <si>
    <t>Type a short header in Responses!MM1 describing what this column contains (e.g. the question or demographic name), or delete the data in that column if it isn't needed.</t>
  </si>
  <si>
    <t>MN1</t>
  </si>
  <si>
    <t>Type a short header in Responses!MN1 describing what this column contains (e.g. the question or demographic name), or delete the data in that column if it isn't needed.</t>
  </si>
  <si>
    <t>MO1</t>
  </si>
  <si>
    <t>Type a short header in Responses!MO1 describing what this column contains (e.g. the question or demographic name), or delete the data in that column if it isn't needed.</t>
  </si>
  <si>
    <t>MP1</t>
  </si>
  <si>
    <t>Type a short header in Responses!MP1 describing what this column contains (e.g. the question or demographic name), or delete the data in that column if it isn't needed.</t>
  </si>
  <si>
    <t>MQ1</t>
  </si>
  <si>
    <t>Type a short header in Responses!MQ1 describing what this column contains (e.g. the question or demographic name), or delete the data in that column if it isn't needed.</t>
  </si>
  <si>
    <t>MR1</t>
  </si>
  <si>
    <t>Type a short header in Responses!MR1 describing what this column contains (e.g. the question or demographic name), or delete the data in that column if it isn't needed.</t>
  </si>
  <si>
    <t>MS1</t>
  </si>
  <si>
    <t>Type a short header in Responses!MS1 describing what this column contains (e.g. the question or demographic name), or delete the data in that column if it isn't needed.</t>
  </si>
  <si>
    <t>MT1</t>
  </si>
  <si>
    <t>Type a short header in Responses!MT1 describing what this column contains (e.g. the question or demographic name), or delete the data in that column if it isn't needed.</t>
  </si>
  <si>
    <t>MU1</t>
  </si>
  <si>
    <t>Type a short header in Responses!MU1 describing what this column contains (e.g. the question or demographic name), or delete the data in that column if it isn't needed.</t>
  </si>
  <si>
    <t>MV1</t>
  </si>
  <si>
    <t>Type a short header in Responses!MV1 describing what this column contains (e.g. the question or demographic name), or delete the data in that column if it isn't needed.</t>
  </si>
  <si>
    <t>MW1</t>
  </si>
  <si>
    <t>Type a short header in Responses!MW1 describing what this column contains (e.g. the question or demographic name), or delete the data in that column if it isn't needed.</t>
  </si>
  <si>
    <t>MX1</t>
  </si>
  <si>
    <t>Type a short header in Responses!MX1 describing what this column contains (e.g. the question or demographic name), or delete the data in that column if it isn't needed.</t>
  </si>
  <si>
    <t>MY1</t>
  </si>
  <si>
    <t>Type a short header in Responses!MY1 describing what this column contains (e.g. the question or demographic name), or delete the data in that column if it isn't needed.</t>
  </si>
  <si>
    <t>MZ1</t>
  </si>
  <si>
    <t>Type a short header in Responses!MZ1 describing what this column contains (e.g. the question or demographic name), or delete the data in that column if it isn't needed.</t>
  </si>
  <si>
    <t>NA1</t>
  </si>
  <si>
    <t>Type a short header in Responses!NA1 describing what this column contains (e.g. the question or demographic name), or delete the data in that column if it isn't needed.</t>
  </si>
  <si>
    <t>NB1</t>
  </si>
  <si>
    <t>Type a short header in Responses!NB1 describing what this column contains (e.g. the question or demographic name), or delete the data in that column if it isn't needed.</t>
  </si>
  <si>
    <t>NC1</t>
  </si>
  <si>
    <t>Type a short header in Responses!NC1 describing what this column contains (e.g. the question or demographic name), or delete the data in that column if it isn't needed.</t>
  </si>
  <si>
    <t>ND1</t>
  </si>
  <si>
    <t>Type a short header in Responses!ND1 describing what this column contains (e.g. the question or demographic name), or delete the data in that column if it isn't needed.</t>
  </si>
  <si>
    <t>NE1</t>
  </si>
  <si>
    <t>Type a short header in Responses!NE1 describing what this column contains (e.g. the question or demographic name), or delete the data in that column if it isn't needed.</t>
  </si>
  <si>
    <t>NF1</t>
  </si>
  <si>
    <t>Type a short header in Responses!NF1 describing what this column contains (e.g. the question or demographic name), or delete the data in that column if it isn't needed.</t>
  </si>
  <si>
    <t>NG1</t>
  </si>
  <si>
    <t>Type a short header in Responses!NG1 describing what this column contains (e.g. the question or demographic name), or delete the data in that column if it isn't needed.</t>
  </si>
  <si>
    <t>NH1</t>
  </si>
  <si>
    <t>Type a short header in Responses!NH1 describing what this column contains (e.g. the question or demographic name), or delete the data in that column if it isn't needed.</t>
  </si>
  <si>
    <t>NI1</t>
  </si>
  <si>
    <t>Type a short header in Responses!NI1 describing what this column contains (e.g. the question or demographic name), or delete the data in that column if it isn't needed.</t>
  </si>
  <si>
    <t>NJ1</t>
  </si>
  <si>
    <t>Type a short header in Responses!NJ1 describing what this column contains (e.g. the question or demographic name), or delete the data in that column if it isn't needed.</t>
  </si>
  <si>
    <t>NK1</t>
  </si>
  <si>
    <t>Type a short header in Responses!NK1 describing what this column contains (e.g. the question or demographic name), or delete the data in that column if it isn't needed.</t>
  </si>
  <si>
    <t>NL1</t>
  </si>
  <si>
    <t>Type a short header in Responses!NL1 describing what this column contains (e.g. the question or demographic name), or delete the data in that column if it isn't needed.</t>
  </si>
  <si>
    <t>NM1</t>
  </si>
  <si>
    <t>Type a short header in Responses!NM1 describing what this column contains (e.g. the question or demographic name), or delete the data in that column if it isn't needed.</t>
  </si>
  <si>
    <t>NN1</t>
  </si>
  <si>
    <t>Type a short header in Responses!NN1 describing what this column contains (e.g. the question or demographic name), or delete the data in that column if it isn't needed.</t>
  </si>
  <si>
    <t>NO1</t>
  </si>
  <si>
    <t>Type a short header in Responses!NO1 describing what this column contains (e.g. the question or demographic name), or delete the data in that column if it isn't needed.</t>
  </si>
  <si>
    <t>NP1</t>
  </si>
  <si>
    <t>Type a short header in Responses!NP1 describing what this column contains (e.g. the question or demographic name), or delete the data in that column if it isn't needed.</t>
  </si>
  <si>
    <t>NQ1</t>
  </si>
  <si>
    <t>Type a short header in Responses!NQ1 describing what this column contains (e.g. the question or demographic name), or delete the data in that column if it isn't needed.</t>
  </si>
  <si>
    <t>NR1</t>
  </si>
  <si>
    <t>Type a short header in Responses!NR1 describing what this column contains (e.g. the question or demographic name), or delete the data in that column if it isn't needed.</t>
  </si>
  <si>
    <t>NS1</t>
  </si>
  <si>
    <t>Type a short header in Responses!NS1 describing what this column contains (e.g. the question or demographic name), or delete the data in that column if it isn't needed.</t>
  </si>
  <si>
    <t>NT1</t>
  </si>
  <si>
    <t>Type a short header in Responses!NT1 describing what this column contains (e.g. the question or demographic name), or delete the data in that column if it isn't needed.</t>
  </si>
  <si>
    <t>NU1</t>
  </si>
  <si>
    <t>Type a short header in Responses!NU1 describing what this column contains (e.g. the question or demographic name), or delete the data in that column if it isn't needed.</t>
  </si>
  <si>
    <t>NV1</t>
  </si>
  <si>
    <t>Type a short header in Responses!NV1 describing what this column contains (e.g. the question or demographic name), or delete the data in that column if it isn't needed.</t>
  </si>
  <si>
    <t>NW1</t>
  </si>
  <si>
    <t>Type a short header in Responses!NW1 describing what this column contains (e.g. the question or demographic name), or delete the data in that column if it isn't needed.</t>
  </si>
  <si>
    <t>NX1</t>
  </si>
  <si>
    <t>Type a short header in Responses!NX1 describing what this column contains (e.g. the question or demographic name), or delete the data in that column if it isn't needed.</t>
  </si>
  <si>
    <t>NY1</t>
  </si>
  <si>
    <t>Type a short header in Responses!NY1 describing what this column contains (e.g. the question or demographic name), or delete the data in that column if it isn't needed.</t>
  </si>
  <si>
    <t>NZ1</t>
  </si>
  <si>
    <t>Type a short header in Responses!NZ1 describing what this column contains (e.g. the question or demographic name), or delete the data in that column if it isn't needed.</t>
  </si>
  <si>
    <t>OA1</t>
  </si>
  <si>
    <t>Type a short header in Responses!OA1 describing what this column contains (e.g. the question or demographic name), or delete the data in that column if it isn't needed.</t>
  </si>
  <si>
    <t>OB1</t>
  </si>
  <si>
    <t>Type a short header in Responses!OB1 describing what this column contains (e.g. the question or demographic name), or delete the data in that column if it isn't needed.</t>
  </si>
  <si>
    <t>OC1</t>
  </si>
  <si>
    <t>Type a short header in Responses!OC1 describing what this column contains (e.g. the question or demographic name), or delete the data in that column if it isn't needed.</t>
  </si>
  <si>
    <t>OD1</t>
  </si>
  <si>
    <t>Type a short header in Responses!OD1 describing what this column contains (e.g. the question or demographic name), or delete the data in that column if it isn't needed.</t>
  </si>
  <si>
    <t>OE1</t>
  </si>
  <si>
    <t>Type a short header in Responses!OE1 describing what this column contains (e.g. the question or demographic name), or delete the data in that column if it isn't needed.</t>
  </si>
  <si>
    <t>OF1</t>
  </si>
  <si>
    <t>Type a short header in Responses!OF1 describing what this column contains (e.g. the question or demographic name), or delete the data in that column if it isn't needed.</t>
  </si>
  <si>
    <t>OG1</t>
  </si>
  <si>
    <t>Type a short header in Responses!OG1 describing what this column contains (e.g. the question or demographic name), or delete the data in that column if it isn't needed.</t>
  </si>
  <si>
    <t>OH1</t>
  </si>
  <si>
    <t>Type a short header in Responses!OH1 describing what this column contains (e.g. the question or demographic name), or delete the data in that column if it isn't needed.</t>
  </si>
  <si>
    <t>OI1</t>
  </si>
  <si>
    <t>Type a short header in Responses!OI1 describing what this column contains (e.g. the question or demographic name), or delete the data in that column if it isn't needed.</t>
  </si>
  <si>
    <t>OJ1</t>
  </si>
  <si>
    <t>Type a short header in Responses!OJ1 describing what this column contains (e.g. the question or demographic name), or delete the data in that column if it isn't needed.</t>
  </si>
  <si>
    <t>OK1</t>
  </si>
  <si>
    <t>Type a short header in Responses!OK1 describing what this column contains (e.g. the question or demographic name), or delete the data in that column if it isn't needed.</t>
  </si>
  <si>
    <t>OL1</t>
  </si>
  <si>
    <t>Type a short header in Responses!OL1 describing what this column contains (e.g. the question or demographic name), or delete the data in that column if it isn't needed.</t>
  </si>
  <si>
    <t>OM1</t>
  </si>
  <si>
    <t>Type a short header in Responses!OM1 describing what this column contains (e.g. the question or demographic name), or delete the data in that column if it isn't needed.</t>
  </si>
  <si>
    <t>ON1</t>
  </si>
  <si>
    <t>Type a short header in Responses!ON1 describing what this column contains (e.g. the question or demographic name), or delete the data in that column if it isn't needed.</t>
  </si>
  <si>
    <t>OO1</t>
  </si>
  <si>
    <t>Type a short header in Responses!OO1 describing what this column contains (e.g. the question or demographic name), or delete the data in that column if it isn't needed.</t>
  </si>
  <si>
    <t>OP1</t>
  </si>
  <si>
    <t>Type a short header in Responses!OP1 describing what this column contains (e.g. the question or demographic name), or delete the data in that column if it isn't needed.</t>
  </si>
  <si>
    <t>OQ1</t>
  </si>
  <si>
    <t>Type a short header in Responses!OQ1 describing what this column contains (e.g. the question or demographic name), or delete the data in that column if it isn't needed.</t>
  </si>
  <si>
    <t>OR1</t>
  </si>
  <si>
    <t>Type a short header in Responses!OR1 describing what this column contains (e.g. the question or demographic name), or delete the data in that column if it isn't needed.</t>
  </si>
  <si>
    <t>OS1</t>
  </si>
  <si>
    <t>Type a short header in Responses!OS1 describing what this column contains (e.g. the question or demographic name), or delete the data in that column if it isn't needed.</t>
  </si>
  <si>
    <t>OT1</t>
  </si>
  <si>
    <t>Type a short header in Responses!OT1 describing what this column contains (e.g. the question or demographic name), or delete the data in that column if it isn't needed.</t>
  </si>
  <si>
    <t>OU1</t>
  </si>
  <si>
    <t>Type a short header in Responses!OU1 describing what this column contains (e.g. the question or demographic name), or delete the data in that column if it isn't needed.</t>
  </si>
  <si>
    <t>OV1</t>
  </si>
  <si>
    <t>Type a short header in Responses!OV1 describing what this column contains (e.g. the question or demographic name), or delete the data in that column if it isn't needed.</t>
  </si>
  <si>
    <t>OW1</t>
  </si>
  <si>
    <t>Type a short header in Responses!OW1 describing what this column contains (e.g. the question or demographic name), or delete the data in that column if it isn't needed.</t>
  </si>
  <si>
    <t>OX1</t>
  </si>
  <si>
    <t>Type a short header in Responses!OX1 describing what this column contains (e.g. the question or demographic name), or delete the data in that column if it isn't needed.</t>
  </si>
  <si>
    <t>OY1</t>
  </si>
  <si>
    <t>Type a short header in Responses!OY1 describing what this column contains (e.g. the question or demographic name), or delete the data in that column if it isn't needed.</t>
  </si>
  <si>
    <t>OZ1</t>
  </si>
  <si>
    <t>Type a short header in Responses!OZ1 describing what this column contains (e.g. the question or demographic name), or delete the data in that column if it isn't needed.</t>
  </si>
  <si>
    <t>PA1</t>
  </si>
  <si>
    <t>Type a short header in Responses!PA1 describing what this column contains (e.g. the question or demographic name), or delete the data in that column if it isn't needed.</t>
  </si>
  <si>
    <t>PB1</t>
  </si>
  <si>
    <t>Type a short header in Responses!PB1 describing what this column contains (e.g. the question or demographic name), or delete the data in that column if it isn't needed.</t>
  </si>
  <si>
    <t>PC1</t>
  </si>
  <si>
    <t>Type a short header in Responses!PC1 describing what this column contains (e.g. the question or demographic name), or delete the data in that column if it isn't needed.</t>
  </si>
  <si>
    <t>PD1</t>
  </si>
  <si>
    <t>Type a short header in Responses!PD1 describing what this column contains (e.g. the question or demographic name), or delete the data in that column if it isn't needed.</t>
  </si>
  <si>
    <t>PE1</t>
  </si>
  <si>
    <t>Type a short header in Responses!PE1 describing what this column contains (e.g. the question or demographic name), or delete the data in that column if it isn't needed.</t>
  </si>
  <si>
    <t>PF1</t>
  </si>
  <si>
    <t>Type a short header in Responses!PF1 describing what this column contains (e.g. the question or demographic name), or delete the data in that column if it isn't needed.</t>
  </si>
  <si>
    <t>PG1</t>
  </si>
  <si>
    <t>Type a short header in Responses!PG1 describing what this column contains (e.g. the question or demographic name), or delete the data in that column if it isn't needed.</t>
  </si>
  <si>
    <t>PH1</t>
  </si>
  <si>
    <t>Type a short header in Responses!PH1 describing what this column contains (e.g. the question or demographic name), or delete the data in that column if it isn't needed.</t>
  </si>
  <si>
    <t>PI1</t>
  </si>
  <si>
    <t>Type a short header in Responses!PI1 describing what this column contains (e.g. the question or demographic name), or delete the data in that column if it isn't needed.</t>
  </si>
  <si>
    <t>PJ1</t>
  </si>
  <si>
    <t>Type a short header in Responses!PJ1 describing what this column contains (e.g. the question or demographic name), or delete the data in that column if it isn't needed.</t>
  </si>
  <si>
    <t>PK1</t>
  </si>
  <si>
    <t>Type a short header in Responses!PK1 describing what this column contains (e.g. the question or demographic name), or delete the data in that column if it isn't needed.</t>
  </si>
  <si>
    <t>PL1</t>
  </si>
  <si>
    <t>Type a short header in Responses!PL1 describing what this column contains (e.g. the question or demographic name), or delete the data in that column if it isn't needed.</t>
  </si>
  <si>
    <t>PM1</t>
  </si>
  <si>
    <t>Type a short header in Responses!PM1 describing what this column contains (e.g. the question or demographic name), or delete the data in that column if it isn't needed.</t>
  </si>
  <si>
    <t>PN1</t>
  </si>
  <si>
    <t>Type a short header in Responses!PN1 describing what this column contains (e.g. the question or demographic name), or delete the data in that column if it isn't needed.</t>
  </si>
  <si>
    <t>PO1</t>
  </si>
  <si>
    <t>Type a short header in Responses!PO1 describing what this column contains (e.g. the question or demographic name), or delete the data in that column if it isn't needed.</t>
  </si>
  <si>
    <t>PP1</t>
  </si>
  <si>
    <t>Type a short header in Responses!PP1 describing what this column contains (e.g. the question or demographic name), or delete the data in that column if it isn't needed.</t>
  </si>
  <si>
    <t>PQ1</t>
  </si>
  <si>
    <t>Type a short header in Responses!PQ1 describing what this column contains (e.g. the question or demographic name), or delete the data in that column if it isn't needed.</t>
  </si>
  <si>
    <t>PR1</t>
  </si>
  <si>
    <t>Type a short header in Responses!PR1 describing what this column contains (e.g. the question or demographic name), or delete the data in that column if it isn't needed.</t>
  </si>
  <si>
    <t>PS1</t>
  </si>
  <si>
    <t>Type a short header in Responses!PS1 describing what this column contains (e.g. the question or demographic name), or delete the data in that column if it isn't needed.</t>
  </si>
  <si>
    <t>PT1</t>
  </si>
  <si>
    <t>Type a short header in Responses!PT1 describing what this column contains (e.g. the question or demographic name), or delete the data in that column if it isn't needed.</t>
  </si>
  <si>
    <t>PU1</t>
  </si>
  <si>
    <t>Type a short header in Responses!PU1 describing what this column contains (e.g. the question or demographic name), or delete the data in that column if it isn't needed.</t>
  </si>
  <si>
    <t>PV1</t>
  </si>
  <si>
    <t>Type a short header in Responses!PV1 describing what this column contains (e.g. the question or demographic name), or delete the data in that column if it isn't needed.</t>
  </si>
  <si>
    <t>PW1</t>
  </si>
  <si>
    <t>Type a short header in Responses!PW1 describing what this column contains (e.g. the question or demographic name), or delete the data in that column if it isn't needed.</t>
  </si>
  <si>
    <t>PX1</t>
  </si>
  <si>
    <t>Type a short header in Responses!PX1 describing what this column contains (e.g. the question or demographic name), or delete the data in that column if it isn't needed.</t>
  </si>
  <si>
    <t>PY1</t>
  </si>
  <si>
    <t>Type a short header in Responses!PY1 describing what this column contains (e.g. the question or demographic name), or delete the data in that column if it isn't needed.</t>
  </si>
  <si>
    <t>PZ1</t>
  </si>
  <si>
    <t>Type a short header in Responses!PZ1 describing what this column contains (e.g. the question or demographic name), or delete the data in that column if it isn't needed.</t>
  </si>
  <si>
    <t>QA1</t>
  </si>
  <si>
    <t>Type a short header in Responses!QA1 describing what this column contains (e.g. the question or demographic name), or delete the data in that column if it isn't needed.</t>
  </si>
  <si>
    <t>QB1</t>
  </si>
  <si>
    <t>Type a short header in Responses!QB1 describing what this column contains (e.g. the question or demographic name), or delete the data in that column if it isn't needed.</t>
  </si>
  <si>
    <t>QC1</t>
  </si>
  <si>
    <t>Type a short header in Responses!QC1 describing what this column contains (e.g. the question or demographic name), or delete the data in that column if it isn't needed.</t>
  </si>
  <si>
    <t>QD1</t>
  </si>
  <si>
    <t>Type a short header in Responses!QD1 describing what this column contains (e.g. the question or demographic name), or delete the data in that column if it isn't needed.</t>
  </si>
  <si>
    <t>QE1</t>
  </si>
  <si>
    <t>Type a short header in Responses!QE1 describing what this column contains (e.g. the question or demographic name), or delete the data in that column if it isn't needed.</t>
  </si>
  <si>
    <t>QF1</t>
  </si>
  <si>
    <t>Type a short header in Responses!QF1 describing what this column contains (e.g. the question or demographic name), or delete the data in that column if it isn't needed.</t>
  </si>
  <si>
    <t>QG1</t>
  </si>
  <si>
    <t>Type a short header in Responses!QG1 describing what this column contains (e.g. the question or demographic name), or delete the data in that column if it isn't needed.</t>
  </si>
  <si>
    <t>QH1</t>
  </si>
  <si>
    <t>Type a short header in Responses!QH1 describing what this column contains (e.g. the question or demographic name), or delete the data in that column if it isn't needed.</t>
  </si>
  <si>
    <t>QI1</t>
  </si>
  <si>
    <t>Type a short header in Responses!QI1 describing what this column contains (e.g. the question or demographic name), or delete the data in that column if it isn't needed.</t>
  </si>
  <si>
    <t>QJ1</t>
  </si>
  <si>
    <t>Type a short header in Responses!QJ1 describing what this column contains (e.g. the question or demographic name), or delete the data in that column if it isn't needed.</t>
  </si>
  <si>
    <t>QK1</t>
  </si>
  <si>
    <t>Type a short header in Responses!QK1 describing what this column contains (e.g. the question or demographic name), or delete the data in that column if it isn't needed.</t>
  </si>
  <si>
    <t>QL1</t>
  </si>
  <si>
    <t>Type a short header in Responses!QL1 describing what this column contains (e.g. the question or demographic name), or delete the data in that column if it isn't needed.</t>
  </si>
  <si>
    <t>QM1</t>
  </si>
  <si>
    <t>Type a short header in Responses!QM1 describing what this column contains (e.g. the question or demographic name), or delete the data in that column if it isn't needed.</t>
  </si>
  <si>
    <t>QN1</t>
  </si>
  <si>
    <t>Type a short header in Responses!QN1 describing what this column contains (e.g. the question or demographic name), or delete the data in that column if it isn't needed.</t>
  </si>
  <si>
    <t>QO1</t>
  </si>
  <si>
    <t>Type a short header in Responses!QO1 describing what this column contains (e.g. the question or demographic name), or delete the data in that column if it isn't needed.</t>
  </si>
  <si>
    <t>QP1</t>
  </si>
  <si>
    <t>Type a short header in Responses!QP1 describing what this column contains (e.g. the question or demographic name), or delete the data in that column if it isn't needed.</t>
  </si>
  <si>
    <t>QQ1</t>
  </si>
  <si>
    <t>Type a short header in Responses!QQ1 describing what this column contains (e.g. the question or demographic name), or delete the data in that column if it isn't needed.</t>
  </si>
  <si>
    <t>QR1</t>
  </si>
  <si>
    <t>Type a short header in Responses!QR1 describing what this column contains (e.g. the question or demographic name), or delete the data in that column if it isn't needed.</t>
  </si>
  <si>
    <t>QS1</t>
  </si>
  <si>
    <t>Type a short header in Responses!QS1 describing what this column contains (e.g. the question or demographic name), or delete the data in that column if it isn't needed.</t>
  </si>
  <si>
    <t>QT1</t>
  </si>
  <si>
    <t>Type a short header in Responses!QT1 describing what this column contains (e.g. the question or demographic name), or delete the data in that column if it isn't needed.</t>
  </si>
  <si>
    <t>QU1</t>
  </si>
  <si>
    <t>Type a short header in Responses!QU1 describing what this column contains (e.g. the question or demographic name), or delete the data in that column if it isn't needed.</t>
  </si>
  <si>
    <t>QV1</t>
  </si>
  <si>
    <t>Type a short header in Responses!QV1 describing what this column contains (e.g. the question or demographic name), or delete the data in that column if it isn't needed.</t>
  </si>
  <si>
    <t>QW1</t>
  </si>
  <si>
    <t>Type a short header in Responses!QW1 describing what this column contains (e.g. the question or demographic name), or delete the data in that column if it isn't needed.</t>
  </si>
  <si>
    <t>QX1</t>
  </si>
  <si>
    <t>Type a short header in Responses!QX1 describing what this column contains (e.g. the question or demographic name), or delete the data in that column if it isn't needed.</t>
  </si>
  <si>
    <t>QY1</t>
  </si>
  <si>
    <t>Type a short header in Responses!QY1 describing what this column contains (e.g. the question or demographic name), or delete the data in that column if it isn't needed.</t>
  </si>
  <si>
    <t>QZ1</t>
  </si>
  <si>
    <t>Type a short header in Responses!QZ1 describing what this column contains (e.g. the question or demographic name), or delete the data in that column if it isn't needed.</t>
  </si>
  <si>
    <t>RA1</t>
  </si>
  <si>
    <t>Type a short header in Responses!RA1 describing what this column contains (e.g. the question or demographic name), or delete the data in that column if it isn't needed.</t>
  </si>
  <si>
    <t>RB1</t>
  </si>
  <si>
    <t>Type a short header in Responses!RB1 describing what this column contains (e.g. the question or demographic name), or delete the data in that column if it isn't needed.</t>
  </si>
  <si>
    <t>RC1</t>
  </si>
  <si>
    <t>Type a short header in Responses!RC1 describing what this column contains (e.g. the question or demographic name), or delete the data in that column if it isn't needed.</t>
  </si>
  <si>
    <t>RD1</t>
  </si>
  <si>
    <t>Type a short header in Responses!RD1 describing what this column contains (e.g. the question or demographic name), or delete the data in that column if it isn't needed.</t>
  </si>
  <si>
    <t>RE1</t>
  </si>
  <si>
    <t>Type a short header in Responses!RE1 describing what this column contains (e.g. the question or demographic name), or delete the data in that column if it isn't needed.</t>
  </si>
  <si>
    <t>RF1</t>
  </si>
  <si>
    <t>Type a short header in Responses!RF1 describing what this column contains (e.g. the question or demographic name), or delete the data in that column if it isn't needed.</t>
  </si>
  <si>
    <t>RG1</t>
  </si>
  <si>
    <t>Type a short header in Responses!RG1 describing what this column contains (e.g. the question or demographic name), or delete the data in that column if it isn't needed.</t>
  </si>
  <si>
    <t>RH1</t>
  </si>
  <si>
    <t>Type a short header in Responses!RH1 describing what this column contains (e.g. the question or demographic name), or delete the data in that column if it isn't needed.</t>
  </si>
  <si>
    <t>RI1</t>
  </si>
  <si>
    <t>Type a short header in Responses!RI1 describing what this column contains (e.g. the question or demographic name), or delete the data in that column if it isn't needed.</t>
  </si>
  <si>
    <t>RJ1</t>
  </si>
  <si>
    <t>Type a short header in Responses!RJ1 describing what this column contains (e.g. the question or demographic name), or delete the data in that column if it isn't needed.</t>
  </si>
  <si>
    <t>RK1</t>
  </si>
  <si>
    <t>Type a short header in Responses!RK1 describing what this column contains (e.g. the question or demographic name), or delete the data in that column if it isn't needed.</t>
  </si>
  <si>
    <t>RL1</t>
  </si>
  <si>
    <t>Type a short header in Responses!RL1 describing what this column contains (e.g. the question or demographic name), or delete the data in that column if it isn't needed.</t>
  </si>
  <si>
    <t>RM1</t>
  </si>
  <si>
    <t>Type a short header in Responses!RM1 describing what this column contains (e.g. the question or demographic name), or delete the data in that column if it isn't needed.</t>
  </si>
  <si>
    <t>RN1</t>
  </si>
  <si>
    <t>Type a short header in Responses!RN1 describing what this column contains (e.g. the question or demographic name), or delete the data in that column if it isn't needed.</t>
  </si>
  <si>
    <t>RO1</t>
  </si>
  <si>
    <t>Type a short header in Responses!RO1 describing what this column contains (e.g. the question or demographic name), or delete the data in that column if it isn't needed.</t>
  </si>
  <si>
    <t>RP1</t>
  </si>
  <si>
    <t>Type a short header in Responses!RP1 describing what this column contains (e.g. the question or demographic name), or delete the data in that column if it isn't needed.</t>
  </si>
  <si>
    <t>RQ1</t>
  </si>
  <si>
    <t>Type a short header in Responses!RQ1 describing what this column contains (e.g. the question or demographic name), or delete the data in that column if it isn't needed.</t>
  </si>
  <si>
    <t>RR1</t>
  </si>
  <si>
    <t>Type a short header in Responses!RR1 describing what this column contains (e.g. the question or demographic name), or delete the data in that column if it isn't needed.</t>
  </si>
  <si>
    <t>RS1</t>
  </si>
  <si>
    <t>Type a short header in Responses!RS1 describing what this column contains (e.g. the question or demographic name), or delete the data in that column if it isn't needed.</t>
  </si>
  <si>
    <t>RT1</t>
  </si>
  <si>
    <t>Type a short header in Responses!RT1 describing what this column contains (e.g. the question or demographic name), or delete the data in that column if it isn't needed.</t>
  </si>
  <si>
    <t>RU1</t>
  </si>
  <si>
    <t>Type a short header in Responses!RU1 describing what this column contains (e.g. the question or demographic name), or delete the data in that column if it isn't needed.</t>
  </si>
  <si>
    <t>RV1</t>
  </si>
  <si>
    <t>Type a short header in Responses!RV1 describing what this column contains (e.g. the question or demographic name), or delete the data in that column if it isn't needed.</t>
  </si>
  <si>
    <t>RW1</t>
  </si>
  <si>
    <t>Type a short header in Responses!RW1 describing what this column contains (e.g. the question or demographic name), or delete the data in that column if it isn't needed.</t>
  </si>
  <si>
    <t>RX1</t>
  </si>
  <si>
    <t>Type a short header in Responses!RX1 describing what this column contains (e.g. the question or demographic name), or delete the data in that column if it isn't needed.</t>
  </si>
  <si>
    <t>RY1</t>
  </si>
  <si>
    <t>Type a short header in Responses!RY1 describing what this column contains (e.g. the question or demographic name), or delete the data in that column if it isn't needed.</t>
  </si>
  <si>
    <t>RZ1</t>
  </si>
  <si>
    <t>Type a short header in Responses!RZ1 describing what this column contains (e.g. the question or demographic name), or delete the data in that column if it isn't needed.</t>
  </si>
  <si>
    <t>SA1</t>
  </si>
  <si>
    <t>Type a short header in Responses!SA1 describing what this column contains (e.g. the question or demographic name), or delete the data in that column if it isn't needed.</t>
  </si>
  <si>
    <t>SB1</t>
  </si>
  <si>
    <t>Type a short header in Responses!SB1 describing what this column contains (e.g. the question or demographic name), or delete the data in that column if it isn't needed.</t>
  </si>
  <si>
    <t>SC1</t>
  </si>
  <si>
    <t>Type a short header in Responses!SC1 describing what this column contains (e.g. the question or demographic name), or delete the data in that column if it isn't needed.</t>
  </si>
  <si>
    <t>SD1</t>
  </si>
  <si>
    <t>Type a short header in Responses!SD1 describing what this column contains (e.g. the question or demographic name), or delete the data in that column if it isn't needed.</t>
  </si>
  <si>
    <t>SE1</t>
  </si>
  <si>
    <t>Type a short header in Responses!SE1 describing what this column contains (e.g. the question or demographic name), or delete the data in that column if it isn't needed.</t>
  </si>
  <si>
    <t>SF1</t>
  </si>
  <si>
    <t>Type a short header in Responses!SF1 describing what this column contains (e.g. the question or demographic name), or delete the data in that column if it isn't needed.</t>
  </si>
  <si>
    <t>SG1</t>
  </si>
  <si>
    <t>Type a short header in Responses!SG1 describing what this column contains (e.g. the question or demographic name), or delete the data in that column if it isn't needed.</t>
  </si>
  <si>
    <t>SH1</t>
  </si>
  <si>
    <t>Type a short header in Responses!SH1 describing what this column contains (e.g. the question or demographic name), or delete the data in that column if it isn't needed.</t>
  </si>
  <si>
    <t>SI1</t>
  </si>
  <si>
    <t>Type a short header in Responses!SI1 describing what this column contains (e.g. the question or demographic name), or delete the data in that column if it isn't needed.</t>
  </si>
  <si>
    <t>SJ1</t>
  </si>
  <si>
    <t>Type a short header in Responses!SJ1 describing what this column contains (e.g. the question or demographic name), or delete the data in that column if it isn't needed.</t>
  </si>
  <si>
    <t>SK1</t>
  </si>
  <si>
    <t>Type a short header in Responses!SK1 describing what this column contains (e.g. the question or demographic name), or delete the data in that column if it isn't needed.</t>
  </si>
  <si>
    <t>SL1</t>
  </si>
  <si>
    <t>Type a short header in Responses!SL1 describing what this column contains (e.g. the question or demographic name), or delete the data in that column if it isn't needed.</t>
  </si>
  <si>
    <t>SM1</t>
  </si>
  <si>
    <t>Type a short header in Responses!SM1 describing what this column contains (e.g. the question or demographic name), or delete the data in that column if it isn't needed.</t>
  </si>
  <si>
    <t>SN1</t>
  </si>
  <si>
    <t>Type a short header in Responses!SN1 describing what this column contains (e.g. the question or demographic name), or delete the data in that column if it isn't needed.</t>
  </si>
  <si>
    <t>SO1</t>
  </si>
  <si>
    <t>Type a short header in Responses!SO1 describing what this column contains (e.g. the question or demographic name), or delete the data in that column if it isn't needed.</t>
  </si>
  <si>
    <t>SP1</t>
  </si>
  <si>
    <t>Type a short header in Responses!SP1 describing what this column contains (e.g. the question or demographic name), or delete the data in that column if it isn't needed.</t>
  </si>
  <si>
    <t>SQ1</t>
  </si>
  <si>
    <t>Type a short header in Responses!SQ1 describing what this column contains (e.g. the question or demographic name), or delete the data in that column if it isn't needed.</t>
  </si>
  <si>
    <t>SR1</t>
  </si>
  <si>
    <t>Type a short header in Responses!SR1 describing what this column contains (e.g. the question or demographic name), or delete the data in that column if it isn't needed.</t>
  </si>
  <si>
    <t>SS1</t>
  </si>
  <si>
    <t>Type a short header in Responses!SS1 describing what this column contains (e.g. the question or demographic name), or delete the data in that column if it isn't needed.</t>
  </si>
  <si>
    <t>ST1</t>
  </si>
  <si>
    <t>Type a short header in Responses!ST1 describing what this column contains (e.g. the question or demographic name), or delete the data in that column if it isn't needed.</t>
  </si>
  <si>
    <t>SU1</t>
  </si>
  <si>
    <t>Type a short header in Responses!SU1 describing what this column contains (e.g. the question or demographic name), or delete the data in that column if it isn't needed.</t>
  </si>
  <si>
    <t>SV1</t>
  </si>
  <si>
    <t>Type a short header in Responses!SV1 describing what this column contains (e.g. the question or demographic name), or delete the data in that column if it isn't needed.</t>
  </si>
  <si>
    <t>SW1</t>
  </si>
  <si>
    <t>Type a short header in Responses!SW1 describing what this column contains (e.g. the question or demographic name), or delete the data in that column if it isn't needed.</t>
  </si>
  <si>
    <t>SX1</t>
  </si>
  <si>
    <t>Type a short header in Responses!SX1 describing what this column contains (e.g. the question or demographic name), or delete the data in that column if it isn't needed.</t>
  </si>
  <si>
    <t>SY1</t>
  </si>
  <si>
    <t>Type a short header in Responses!SY1 describing what this column contains (e.g. the question or demographic name), or delete the data in that column if it isn't needed.</t>
  </si>
  <si>
    <t>SZ1</t>
  </si>
  <si>
    <t>Type a short header in Responses!SZ1 describing what this column contains (e.g. the question or demographic name), or delete the data in that column if it isn't needed.</t>
  </si>
  <si>
    <t>TA1</t>
  </si>
  <si>
    <t>Type a short header in Responses!TA1 describing what this column contains (e.g. the question or demographic name), or delete the data in that column if it isn't needed.</t>
  </si>
  <si>
    <t>TB1</t>
  </si>
  <si>
    <t>Type a short header in Responses!TB1 describing what this column contains (e.g. the question or demographic name), or delete the data in that column if it isn't needed.</t>
  </si>
  <si>
    <t>TC1</t>
  </si>
  <si>
    <t>Type a short header in Responses!TC1 describing what this column contains (e.g. the question or demographic name), or delete the data in that column if it isn't needed.</t>
  </si>
  <si>
    <t>TD1</t>
  </si>
  <si>
    <t>Type a short header in Responses!TD1 describing what this column contains (e.g. the question or demographic name), or delete the data in that column if it isn't needed.</t>
  </si>
  <si>
    <t>TE1</t>
  </si>
  <si>
    <t>Type a short header in Responses!TE1 describing what this column contains (e.g. the question or demographic name), or delete the data in that column if it isn't needed.</t>
  </si>
  <si>
    <t>TF1</t>
  </si>
  <si>
    <t>Type a short header in Responses!TF1 describing what this column contains (e.g. the question or demographic name), or delete the data in that column if it isn't needed.</t>
  </si>
  <si>
    <t>TG1</t>
  </si>
  <si>
    <t>Type a short header in Responses!TG1 describing what this column contains (e.g. the question or demographic name), or delete the data in that column if it isn't needed.</t>
  </si>
  <si>
    <t>TH1</t>
  </si>
  <si>
    <t>Type a short header in Responses!TH1 describing what this column contains (e.g. the question or demographic name), or delete the data in that column if it isn't needed.</t>
  </si>
  <si>
    <t>TI1</t>
  </si>
  <si>
    <t>Type a short header in Responses!TI1 describing what this column contains (e.g. the question or demographic name), or delete the data in that column if it isn't needed.</t>
  </si>
  <si>
    <t>TJ1</t>
  </si>
  <si>
    <t>Type a short header in Responses!TJ1 describing what this column contains (e.g. the question or demographic name), or delete the data in that column if it isn't needed.</t>
  </si>
  <si>
    <t>TK1</t>
  </si>
  <si>
    <t>Type a short header in Responses!TK1 describing what this column contains (e.g. the question or demographic name), or delete the data in that column if it isn't needed.</t>
  </si>
  <si>
    <t>TL1</t>
  </si>
  <si>
    <t>Type a short header in Responses!TL1 describing what this column contains (e.g. the question or demographic name), or delete the data in that column if it isn't needed.</t>
  </si>
  <si>
    <t>TM1</t>
  </si>
  <si>
    <t>Type a short header in Responses!TM1 describing what this column contains (e.g. the question or demographic name), or delete the data in that column if it isn't needed.</t>
  </si>
  <si>
    <t>TN1</t>
  </si>
  <si>
    <t>Type a short header in Responses!TN1 describing what this column contains (e.g. the question or demographic name), or delete the data in that column if it isn't needed.</t>
  </si>
  <si>
    <t>TO1</t>
  </si>
  <si>
    <t>Type a short header in Responses!TO1 describing what this column contains (e.g. the question or demographic name), or delete the data in that column if it isn't needed.</t>
  </si>
  <si>
    <t>TP1</t>
  </si>
  <si>
    <t>Type a short header in Responses!TP1 describing what this column contains (e.g. the question or demographic name), or delete the data in that column if it isn't needed.</t>
  </si>
  <si>
    <t>TQ1</t>
  </si>
  <si>
    <t>Type a short header in Responses!TQ1 describing what this column contains (e.g. the question or demographic name), or delete the data in that column if it isn't needed.</t>
  </si>
  <si>
    <t>TR1</t>
  </si>
  <si>
    <t>Type a short header in Responses!TR1 describing what this column contains (e.g. the question or demographic name), or delete the data in that column if it isn't needed.</t>
  </si>
  <si>
    <t>TS1</t>
  </si>
  <si>
    <t>Type a short header in Responses!TS1 describing what this column contains (e.g. the question or demographic name), or delete the data in that column if it isn't needed.</t>
  </si>
  <si>
    <t>TT1</t>
  </si>
  <si>
    <t>Type a short header in Responses!TT1 describing what this column contains (e.g. the question or demographic name), or delete the data in that column if it isn't needed.</t>
  </si>
  <si>
    <t>TU1</t>
  </si>
  <si>
    <t>Type a short header in Responses!TU1 describing what this column contains (e.g. the question or demographic name), or delete the data in that column if it isn't needed.</t>
  </si>
  <si>
    <t>TV1</t>
  </si>
  <si>
    <t>Type a short header in Responses!TV1 describing what this column contains (e.g. the question or demographic name), or delete the data in that column if it isn't needed.</t>
  </si>
  <si>
    <t>TW1</t>
  </si>
  <si>
    <t>Type a short header in Responses!TW1 describing what this column contains (e.g. the question or demographic name), or delete the data in that column if it isn't needed.</t>
  </si>
  <si>
    <t>TX1</t>
  </si>
  <si>
    <t>Type a short header in Responses!TX1 describing what this column contains (e.g. the question or demographic name), or delete the data in that column if it isn't needed.</t>
  </si>
  <si>
    <t>TY1</t>
  </si>
  <si>
    <t>Type a short header in Responses!TY1 describing what this column contains (e.g. the question or demographic name), or delete the data in that column if it isn't needed.</t>
  </si>
  <si>
    <t>TZ1</t>
  </si>
  <si>
    <t>Type a short header in Responses!TZ1 describing what this column contains (e.g. the question or demographic name), or delete the data in that column if it isn't needed.</t>
  </si>
  <si>
    <t>UA1</t>
  </si>
  <si>
    <t>Type a short header in Responses!UA1 describing what this column contains (e.g. the question or demographic name), or delete the data in that column if it isn't needed.</t>
  </si>
  <si>
    <t>UB1</t>
  </si>
  <si>
    <t>Type a short header in Responses!UB1 describing what this column contains (e.g. the question or demographic name), or delete the data in that column if it isn't needed.</t>
  </si>
  <si>
    <t>UC1</t>
  </si>
  <si>
    <t>Type a short header in Responses!UC1 describing what this column contains (e.g. the question or demographic name), or delete the data in that column if it isn't needed.</t>
  </si>
  <si>
    <t>UD1</t>
  </si>
  <si>
    <t>Type a short header in Responses!UD1 describing what this column contains (e.g. the question or demographic name), or delete the data in that column if it isn't needed.</t>
  </si>
  <si>
    <t>UE1</t>
  </si>
  <si>
    <t>Type a short header in Responses!UE1 describing what this column contains (e.g. the question or demographic name), or delete the data in that column if it isn't needed.</t>
  </si>
  <si>
    <t>UF1</t>
  </si>
  <si>
    <t>Type a short header in Responses!UF1 describing what this column contains (e.g. the question or demographic name), or delete the data in that column if it isn't needed.</t>
  </si>
  <si>
    <t>UG1</t>
  </si>
  <si>
    <t>Type a short header in Responses!UG1 describing what this column contains (e.g. the question or demographic name), or delete the data in that column if it isn't needed.</t>
  </si>
  <si>
    <t>UH1</t>
  </si>
  <si>
    <t>Type a short header in Responses!UH1 describing what this column contains (e.g. the question or demographic name), or delete the data in that column if it isn't needed.</t>
  </si>
  <si>
    <t>UI1</t>
  </si>
  <si>
    <t>Type a short header in Responses!UI1 describing what this column contains (e.g. the question or demographic name), or delete the data in that column if it isn't needed.</t>
  </si>
  <si>
    <t>UJ1</t>
  </si>
  <si>
    <t>Type a short header in Responses!UJ1 describing what this column contains (e.g. the question or demographic name), or delete the data in that column if it isn't needed.</t>
  </si>
  <si>
    <t>UK1</t>
  </si>
  <si>
    <t>Type a short header in Responses!UK1 describing what this column contains (e.g. the question or demographic name), or delete the data in that column if it isn't needed.</t>
  </si>
  <si>
    <t>UL1</t>
  </si>
  <si>
    <t>Type a short header in Responses!UL1 describing what this column contains (e.g. the question or demographic name), or delete the data in that column if it isn't needed.</t>
  </si>
  <si>
    <t>UM1</t>
  </si>
  <si>
    <t>Type a short header in Responses!UM1 describing what this column contains (e.g. the question or demographic name), or delete the data in that column if it isn't needed.</t>
  </si>
  <si>
    <t>UN1</t>
  </si>
  <si>
    <t>Type a short header in Responses!UN1 describing what this column contains (e.g. the question or demographic name), or delete the data in that column if it isn't needed.</t>
  </si>
  <si>
    <t>UO1</t>
  </si>
  <si>
    <t>Type a short header in Responses!UO1 describing what this column contains (e.g. the question or demographic name), or delete the data in that column if it isn't needed.</t>
  </si>
  <si>
    <t>UP1</t>
  </si>
  <si>
    <t>Type a short header in Responses!UP1 describing what this column contains (e.g. the question or demographic name), or delete the data in that column if it isn't needed.</t>
  </si>
  <si>
    <t>UQ1</t>
  </si>
  <si>
    <t>Type a short header in Responses!UQ1 describing what this column contains (e.g. the question or demographic name), or delete the data in that column if it isn't needed.</t>
  </si>
  <si>
    <t>UR1</t>
  </si>
  <si>
    <t>Type a short header in Responses!UR1 describing what this column contains (e.g. the question or demographic name), or delete the data in that column if it isn't needed.</t>
  </si>
  <si>
    <t>US1</t>
  </si>
  <si>
    <t>Type a short header in Responses!US1 describing what this column contains (e.g. the question or demographic name), or delete the data in that column if it isn't needed.</t>
  </si>
  <si>
    <t>UT1</t>
  </si>
  <si>
    <t>Type a short header in Responses!UT1 describing what this column contains (e.g. the question or demographic name), or delete the data in that column if it isn't needed.</t>
  </si>
  <si>
    <t>UU1</t>
  </si>
  <si>
    <t>Type a short header in Responses!UU1 describing what this column contains (e.g. the question or demographic name), or delete the data in that column if it isn't needed.</t>
  </si>
  <si>
    <t>UV1</t>
  </si>
  <si>
    <t>Type a short header in Responses!UV1 describing what this column contains (e.g. the question or demographic name), or delete the data in that column if it isn't needed.</t>
  </si>
  <si>
    <t>UW1</t>
  </si>
  <si>
    <t>Type a short header in Responses!UW1 describing what this column contains (e.g. the question or demographic name), or delete the data in that column if it isn't needed.</t>
  </si>
  <si>
    <t>UX1</t>
  </si>
  <si>
    <t>Type a short header in Responses!UX1 describing what this column contains (e.g. the question or demographic name), or delete the data in that column if it isn't needed.</t>
  </si>
  <si>
    <t>UY1</t>
  </si>
  <si>
    <t>Type a short header in Responses!UY1 describing what this column contains (e.g. the question or demographic name), or delete the data in that column if it isn't needed.</t>
  </si>
  <si>
    <t>UZ1</t>
  </si>
  <si>
    <t>Type a short header in Responses!UZ1 describing what this column contains (e.g. the question or demographic name), or delete the data in that column if it isn't needed.</t>
  </si>
  <si>
    <t>VA1</t>
  </si>
  <si>
    <t>Type a short header in Responses!VA1 describing what this column contains (e.g. the question or demographic name), or delete the data in that column if it isn't needed.</t>
  </si>
  <si>
    <t>VB1</t>
  </si>
  <si>
    <t>Type a short header in Responses!VB1 describing what this column contains (e.g. the question or demographic name), or delete the data in that column if it isn't needed.</t>
  </si>
  <si>
    <t>VC1</t>
  </si>
  <si>
    <t>Type a short header in Responses!VC1 describing what this column contains (e.g. the question or demographic name), or delete the data in that column if it isn't needed.</t>
  </si>
  <si>
    <t>VD1</t>
  </si>
  <si>
    <t>Type a short header in Responses!VD1 describing what this column contains (e.g. the question or demographic name), or delete the data in that column if it isn't needed.</t>
  </si>
  <si>
    <t>VE1</t>
  </si>
  <si>
    <t>Type a short header in Responses!VE1 describing what this column contains (e.g. the question or demographic name), or delete the data in that column if it isn't needed.</t>
  </si>
  <si>
    <t>VF1</t>
  </si>
  <si>
    <t>Type a short header in Responses!VF1 describing what this column contains (e.g. the question or demographic name), or delete the data in that column if it isn't needed.</t>
  </si>
  <si>
    <t>VG1</t>
  </si>
  <si>
    <t>Type a short header in Responses!VG1 describing what this column contains (e.g. the question or demographic name), or delete the data in that column if it isn't needed.</t>
  </si>
  <si>
    <t>VH1</t>
  </si>
  <si>
    <t>Type a short header in Responses!VH1 describing what this column contains (e.g. the question or demographic name), or delete the data in that column if it isn't needed.</t>
  </si>
  <si>
    <t>VI1</t>
  </si>
  <si>
    <t>Type a short header in Responses!VI1 describing what this column contains (e.g. the question or demographic name), or delete the data in that column if it isn't needed.</t>
  </si>
  <si>
    <t>VJ1</t>
  </si>
  <si>
    <t>Type a short header in Responses!VJ1 describing what this column contains (e.g. the question or demographic name), or delete the data in that column if it isn't needed.</t>
  </si>
  <si>
    <t>VK1</t>
  </si>
  <si>
    <t>Type a short header in Responses!VK1 describing what this column contains (e.g. the question or demographic name), or delete the data in that column if it isn't needed.</t>
  </si>
  <si>
    <t>VL1</t>
  </si>
  <si>
    <t>Type a short header in Responses!VL1 describing what this column contains (e.g. the question or demographic name), or delete the data in that column if it isn't needed.</t>
  </si>
  <si>
    <t>VM1</t>
  </si>
  <si>
    <t>Type a short header in Responses!VM1 describing what this column contains (e.g. the question or demographic name), or delete the data in that column if it isn't needed.</t>
  </si>
  <si>
    <t>VN1</t>
  </si>
  <si>
    <t>Type a short header in Responses!VN1 describing what this column contains (e.g. the question or demographic name), or delete the data in that column if it isn't needed.</t>
  </si>
  <si>
    <t>VO1</t>
  </si>
  <si>
    <t>Type a short header in Responses!VO1 describing what this column contains (e.g. the question or demographic name), or delete the data in that column if it isn't needed.</t>
  </si>
  <si>
    <t>VP1</t>
  </si>
  <si>
    <t>Type a short header in Responses!VP1 describing what this column contains (e.g. the question or demographic name), or delete the data in that column if it isn't needed.</t>
  </si>
  <si>
    <t>VQ1</t>
  </si>
  <si>
    <t>Type a short header in Responses!VQ1 describing what this column contains (e.g. the question or demographic name), or delete the data in that column if it isn't needed.</t>
  </si>
  <si>
    <t>VR1</t>
  </si>
  <si>
    <t>Type a short header in Responses!VR1 describing what this column contains (e.g. the question or demographic name), or delete the data in that column if it isn't needed.</t>
  </si>
  <si>
    <t>VS1</t>
  </si>
  <si>
    <t>Type a short header in Responses!VS1 describing what this column contains (e.g. the question or demographic name), or delete the data in that column if it isn't needed.</t>
  </si>
  <si>
    <t>VT1</t>
  </si>
  <si>
    <t>Type a short header in Responses!VT1 describing what this column contains (e.g. the question or demographic name), or delete the data in that column if it isn't needed.</t>
  </si>
  <si>
    <t>VU1</t>
  </si>
  <si>
    <t>Type a short header in Responses!VU1 describing what this column contains (e.g. the question or demographic name), or delete the data in that column if it isn't needed.</t>
  </si>
  <si>
    <t>VV1</t>
  </si>
  <si>
    <t>Type a short header in Responses!VV1 describing what this column contains (e.g. the question or demographic name), or delete the data in that column if it isn't needed.</t>
  </si>
  <si>
    <t>VW1</t>
  </si>
  <si>
    <t>Type a short header in Responses!VW1 describing what this column contains (e.g. the question or demographic name), or delete the data in that column if it isn't needed.</t>
  </si>
  <si>
    <t>VX1</t>
  </si>
  <si>
    <t>Type a short header in Responses!VX1 describing what this column contains (e.g. the question or demographic name), or delete the data in that column if it isn't needed.</t>
  </si>
  <si>
    <t>VY1</t>
  </si>
  <si>
    <t>Type a short header in Responses!VY1 describing what this column contains (e.g. the question or demographic name), or delete the data in that column if it isn't needed.</t>
  </si>
  <si>
    <t>VZ1</t>
  </si>
  <si>
    <t>Type a short header in Responses!VZ1 describing what this column contains (e.g. the question or demographic name), or delete the data in that column if it isn't needed.</t>
  </si>
  <si>
    <t>WA1</t>
  </si>
  <si>
    <t>Type a short header in Responses!WA1 describing what this column contains (e.g. the question or demographic name), or delete the data in that column if it isn't needed.</t>
  </si>
  <si>
    <t>WB1</t>
  </si>
  <si>
    <t>Type a short header in Responses!WB1 describing what this column contains (e.g. the question or demographic name), or delete the data in that column if it isn't needed.</t>
  </si>
  <si>
    <t>WC1</t>
  </si>
  <si>
    <t>Type a short header in Responses!WC1 describing what this column contains (e.g. the question or demographic name), or delete the data in that column if it isn't needed.</t>
  </si>
  <si>
    <t>WD1</t>
  </si>
  <si>
    <t>Type a short header in Responses!WD1 describing what this column contains (e.g. the question or demographic name), or delete the data in that column if it isn't needed.</t>
  </si>
  <si>
    <t>WE1</t>
  </si>
  <si>
    <t>Type a short header in Responses!WE1 describing what this column contains (e.g. the question or demographic name), or delete the data in that column if it isn't needed.</t>
  </si>
  <si>
    <t>WF1</t>
  </si>
  <si>
    <t>Type a short header in Responses!WF1 describing what this column contains (e.g. the question or demographic name), or delete the data in that column if it isn't needed.</t>
  </si>
  <si>
    <t>WG1</t>
  </si>
  <si>
    <t>Type a short header in Responses!WG1 describing what this column contains (e.g. the question or demographic name), or delete the data in that column if it isn't needed.</t>
  </si>
  <si>
    <t>WH1</t>
  </si>
  <si>
    <t>Type a short header in Responses!WH1 describing what this column contains (e.g. the question or demographic name), or delete the data in that column if it isn't needed.</t>
  </si>
  <si>
    <t>WI1</t>
  </si>
  <si>
    <t>Type a short header in Responses!WI1 describing what this column contains (e.g. the question or demographic name), or delete the data in that column if it isn't needed.</t>
  </si>
  <si>
    <t>WJ1</t>
  </si>
  <si>
    <t>Type a short header in Responses!WJ1 describing what this column contains (e.g. the question or demographic name), or delete the data in that column if it isn't needed.</t>
  </si>
  <si>
    <t>WK1</t>
  </si>
  <si>
    <t>Type a short header in Responses!WK1 describing what this column contains (e.g. the question or demographic name), or delete the data in that column if it isn't needed.</t>
  </si>
  <si>
    <t>WL1</t>
  </si>
  <si>
    <t>Type a short header in Responses!WL1 describing what this column contains (e.g. the question or demographic name), or delete the data in that column if it isn't needed.</t>
  </si>
  <si>
    <t>WM1</t>
  </si>
  <si>
    <t>Type a short header in Responses!WM1 describing what this column contains (e.g. the question or demographic name), or delete the data in that column if it isn't needed.</t>
  </si>
  <si>
    <t>WN1</t>
  </si>
  <si>
    <t>Type a short header in Responses!WN1 describing what this column contains (e.g. the question or demographic name), or delete the data in that column if it isn't needed.</t>
  </si>
  <si>
    <t>WO1</t>
  </si>
  <si>
    <t>Type a short header in Responses!WO1 describing what this column contains (e.g. the question or demographic name), or delete the data in that column if it isn't needed.</t>
  </si>
  <si>
    <t>WP1</t>
  </si>
  <si>
    <t>Type a short header in Responses!WP1 describing what this column contains (e.g. the question or demographic name), or delete the data in that column if it isn't needed.</t>
  </si>
  <si>
    <t>WQ1</t>
  </si>
  <si>
    <t>Type a short header in Responses!WQ1 describing what this column contains (e.g. the question or demographic name), or delete the data in that column if it isn't needed.</t>
  </si>
  <si>
    <t>WR1</t>
  </si>
  <si>
    <t>Type a short header in Responses!WR1 describing what this column contains (e.g. the question or demographic name), or delete the data in that column if it isn't needed.</t>
  </si>
  <si>
    <t>WS1</t>
  </si>
  <si>
    <t>Type a short header in Responses!WS1 describing what this column contains (e.g. the question or demographic name), or delete the data in that column if it isn't needed.</t>
  </si>
  <si>
    <t>WT1</t>
  </si>
  <si>
    <t>Type a short header in Responses!WT1 describing what this column contains (e.g. the question or demographic name), or delete the data in that column if it isn't needed.</t>
  </si>
  <si>
    <t>WU1</t>
  </si>
  <si>
    <t>Type a short header in Responses!WU1 describing what this column contains (e.g. the question or demographic name), or delete the data in that column if it isn't needed.</t>
  </si>
  <si>
    <t>WV1</t>
  </si>
  <si>
    <t>Type a short header in Responses!WV1 describing what this column contains (e.g. the question or demographic name), or delete the data in that column if it isn't needed.</t>
  </si>
  <si>
    <t>WW1</t>
  </si>
  <si>
    <t>Type a short header in Responses!WW1 describing what this column contains (e.g. the question or demographic name), or delete the data in that column if it isn't needed.</t>
  </si>
  <si>
    <t>WX1</t>
  </si>
  <si>
    <t>Type a short header in Responses!WX1 describing what this column contains (e.g. the question or demographic name), or delete the data in that column if it isn't needed.</t>
  </si>
  <si>
    <t>WY1</t>
  </si>
  <si>
    <t>Type a short header in Responses!WY1 describing what this column contains (e.g. the question or demographic name), or delete the data in that column if it isn't needed.</t>
  </si>
  <si>
    <t>WZ1</t>
  </si>
  <si>
    <t>Type a short header in Responses!WZ1 describing what this column contains (e.g. the question or demographic name), or delete the data in that column if it isn't needed.</t>
  </si>
  <si>
    <t>XA1</t>
  </si>
  <si>
    <t>Type a short header in Responses!XA1 describing what this column contains (e.g. the question or demographic name), or delete the data in that column if it isn't needed.</t>
  </si>
  <si>
    <t>XB1</t>
  </si>
  <si>
    <t>Type a short header in Responses!XB1 describing what this column contains (e.g. the question or demographic name), or delete the data in that column if it isn't needed.</t>
  </si>
  <si>
    <t>XC1</t>
  </si>
  <si>
    <t>Type a short header in Responses!XC1 describing what this column contains (e.g. the question or demographic name), or delete the data in that column if it isn't needed.</t>
  </si>
  <si>
    <t>XD1</t>
  </si>
  <si>
    <t>Type a short header in Responses!XD1 describing what this column contains (e.g. the question or demographic name), or delete the data in that column if it isn't needed.</t>
  </si>
  <si>
    <t>XE1</t>
  </si>
  <si>
    <t>Type a short header in Responses!XE1 describing what this column contains (e.g. the question or demographic name), or delete the data in that column if it isn't needed.</t>
  </si>
  <si>
    <t>XF1</t>
  </si>
  <si>
    <t>Type a short header in Responses!XF1 describing what this column contains (e.g. the question or demographic name), or delete the data in that column if it isn't needed.</t>
  </si>
  <si>
    <t>XG1</t>
  </si>
  <si>
    <t>Type a short header in Responses!XG1 describing what this column contains (e.g. the question or demographic name), or delete the data in that column if it isn't needed.</t>
  </si>
  <si>
    <t>XH1</t>
  </si>
  <si>
    <t>Type a short header in Responses!XH1 describing what this column contains (e.g. the question or demographic name), or delete the data in that column if it isn't needed.</t>
  </si>
  <si>
    <t>XI1</t>
  </si>
  <si>
    <t>Type a short header in Responses!XI1 describing what this column contains (e.g. the question or demographic name), or delete the data in that column if it isn't needed.</t>
  </si>
  <si>
    <t>XJ1</t>
  </si>
  <si>
    <t>Type a short header in Responses!XJ1 describing what this column contains (e.g. the question or demographic name), or delete the data in that column if it isn't needed.</t>
  </si>
  <si>
    <t>XK1</t>
  </si>
  <si>
    <t>Type a short header in Responses!XK1 describing what this column contains (e.g. the question or demographic name), or delete the data in that column if it isn't needed.</t>
  </si>
  <si>
    <t>XL1</t>
  </si>
  <si>
    <t>Type a short header in Responses!XL1 describing what this column contains (e.g. the question or demographic name), or delete the data in that column if it isn't needed.</t>
  </si>
  <si>
    <t>XM1</t>
  </si>
  <si>
    <t>Type a short header in Responses!XM1 describing what this column contains (e.g. the question or demographic name), or delete the data in that column if it isn't needed.</t>
  </si>
  <si>
    <t>XN1</t>
  </si>
  <si>
    <t>Type a short header in Responses!XN1 describing what this column contains (e.g. the question or demographic name), or delete the data in that column if it isn't needed.</t>
  </si>
  <si>
    <t>XO1</t>
  </si>
  <si>
    <t>Type a short header in Responses!XO1 describing what this column contains (e.g. the question or demographic name), or delete the data in that column if it isn't needed.</t>
  </si>
  <si>
    <t>XP1</t>
  </si>
  <si>
    <t>Type a short header in Responses!XP1 describing what this column contains (e.g. the question or demographic name), or delete the data in that column if it isn't needed.</t>
  </si>
  <si>
    <t>XQ1</t>
  </si>
  <si>
    <t>Type a short header in Responses!XQ1 describing what this column contains (e.g. the question or demographic name), or delete the data in that column if it isn't needed.</t>
  </si>
  <si>
    <t>XR1</t>
  </si>
  <si>
    <t>Type a short header in Responses!XR1 describing what this column contains (e.g. the question or demographic name), or delete the data in that column if it isn't needed.</t>
  </si>
  <si>
    <t>XS1</t>
  </si>
  <si>
    <t>Type a short header in Responses!XS1 describing what this column contains (e.g. the question or demographic name), or delete the data in that column if it isn't needed.</t>
  </si>
  <si>
    <t>XT1</t>
  </si>
  <si>
    <t>Type a short header in Responses!XT1 describing what this column contains (e.g. the question or demographic name), or delete the data in that column if it isn't needed.</t>
  </si>
  <si>
    <t>XU1</t>
  </si>
  <si>
    <t>Type a short header in Responses!XU1 describing what this column contains (e.g. the question or demographic name), or delete the data in that column if it isn't needed.</t>
  </si>
  <si>
    <t>XV1</t>
  </si>
  <si>
    <t>Type a short header in Responses!XV1 describing what this column contains (e.g. the question or demographic name), or delete the data in that column if it isn't needed.</t>
  </si>
  <si>
    <t>XW1</t>
  </si>
  <si>
    <t>Type a short header in Responses!XW1 describing what this column contains (e.g. the question or demographic name), or delete the data in that column if it isn't needed.</t>
  </si>
  <si>
    <t>XX1</t>
  </si>
  <si>
    <t>Type a short header in Responses!XX1 describing what this column contains (e.g. the question or demographic name), or delete the data in that column if it isn't needed.</t>
  </si>
  <si>
    <t>XY1</t>
  </si>
  <si>
    <t>Type a short header in Responses!XY1 describing what this column contains (e.g. the question or demographic name), or delete the data in that column if it isn't needed.</t>
  </si>
  <si>
    <t>XZ1</t>
  </si>
  <si>
    <t>Type a short header in Responses!XZ1 describing what this column contains (e.g. the question or demographic name), or delete the data in that column if it isn't needed.</t>
  </si>
  <si>
    <t>YA1</t>
  </si>
  <si>
    <t>Type a short header in Responses!YA1 describing what this column contains (e.g. the question or demographic name), or delete the data in that column if it isn't needed.</t>
  </si>
  <si>
    <t>YB1</t>
  </si>
  <si>
    <t>Type a short header in Responses!YB1 describing what this column contains (e.g. the question or demographic name), or delete the data in that column if it isn't needed.</t>
  </si>
  <si>
    <t>YC1</t>
  </si>
  <si>
    <t>Type a short header in Responses!YC1 describing what this column contains (e.g. the question or demographic name), or delete the data in that column if it isn't needed.</t>
  </si>
  <si>
    <t>YD1</t>
  </si>
  <si>
    <t>Type a short header in Responses!YD1 describing what this column contains (e.g. the question or demographic name), or delete the data in that column if it isn't needed.</t>
  </si>
  <si>
    <t>YE1</t>
  </si>
  <si>
    <t>Type a short header in Responses!YE1 describing what this column contains (e.g. the question or demographic name), or delete the data in that column if it isn't needed.</t>
  </si>
  <si>
    <t>YF1</t>
  </si>
  <si>
    <t>Type a short header in Responses!YF1 describing what this column contains (e.g. the question or demographic name), or delete the data in that column if it isn't needed.</t>
  </si>
  <si>
    <t>YG1</t>
  </si>
  <si>
    <t>Type a short header in Responses!YG1 describing what this column contains (e.g. the question or demographic name), or delete the data in that column if it isn't needed.</t>
  </si>
  <si>
    <t>YH1</t>
  </si>
  <si>
    <t>Type a short header in Responses!YH1 describing what this column contains (e.g. the question or demographic name), or delete the data in that column if it isn't needed.</t>
  </si>
  <si>
    <t>YI1</t>
  </si>
  <si>
    <t>Type a short header in Responses!YI1 describing what this column contains (e.g. the question or demographic name), or delete the data in that column if it isn't needed.</t>
  </si>
  <si>
    <t>YJ1</t>
  </si>
  <si>
    <t>Type a short header in Responses!YJ1 describing what this column contains (e.g. the question or demographic name), or delete the data in that column if it isn't needed.</t>
  </si>
  <si>
    <t>YK1</t>
  </si>
  <si>
    <t>Type a short header in Responses!YK1 describing what this column contains (e.g. the question or demographic name), or delete the data in that column if it isn't needed.</t>
  </si>
  <si>
    <t>YL1</t>
  </si>
  <si>
    <t>Type a short header in Responses!YL1 describing what this column contains (e.g. the question or demographic name), or delete the data in that column if it isn't needed.</t>
  </si>
  <si>
    <t>YM1</t>
  </si>
  <si>
    <t>Type a short header in Responses!YM1 describing what this column contains (e.g. the question or demographic name), or delete the data in that column if it isn't needed.</t>
  </si>
  <si>
    <t>YN1</t>
  </si>
  <si>
    <t>Type a short header in Responses!YN1 describing what this column contains (e.g. the question or demographic name), or delete the data in that column if it isn't needed.</t>
  </si>
  <si>
    <t>YO1</t>
  </si>
  <si>
    <t>Type a short header in Responses!YO1 describing what this column contains (e.g. the question or demographic name), or delete the data in that column if it isn't needed.</t>
  </si>
  <si>
    <t>YP1</t>
  </si>
  <si>
    <t>Type a short header in Responses!YP1 describing what this column contains (e.g. the question or demographic name), or delete the data in that column if it isn't needed.</t>
  </si>
  <si>
    <t>YQ1</t>
  </si>
  <si>
    <t>Type a short header in Responses!YQ1 describing what this column contains (e.g. the question or demographic name), or delete the data in that column if it isn't needed.</t>
  </si>
  <si>
    <t>YR1</t>
  </si>
  <si>
    <t>Type a short header in Responses!YR1 describing what this column contains (e.g. the question or demographic name), or delete the data in that column if it isn't needed.</t>
  </si>
  <si>
    <t>YS1</t>
  </si>
  <si>
    <t>Type a short header in Responses!YS1 describing what this column contains (e.g. the question or demographic name), or delete the data in that column if it isn't needed.</t>
  </si>
  <si>
    <t>YT1</t>
  </si>
  <si>
    <t>Type a short header in Responses!YT1 describing what this column contains (e.g. the question or demographic name), or delete the data in that column if it isn't needed.</t>
  </si>
  <si>
    <t>YU1</t>
  </si>
  <si>
    <t>Type a short header in Responses!YU1 describing what this column contains (e.g. the question or demographic name), or delete the data in that column if it isn't needed.</t>
  </si>
  <si>
    <t>YV1</t>
  </si>
  <si>
    <t>Type a short header in Responses!YV1 describing what this column contains (e.g. the question or demographic name), or delete the data in that column if it isn't needed.</t>
  </si>
  <si>
    <t>YW1</t>
  </si>
  <si>
    <t>Type a short header in Responses!YW1 describing what this column contains (e.g. the question or demographic name), or delete the data in that column if it isn't needed.</t>
  </si>
  <si>
    <t>YX1</t>
  </si>
  <si>
    <t>Type a short header in Responses!YX1 describing what this column contains (e.g. the question or demographic name), or delete the data in that column if it isn't needed.</t>
  </si>
  <si>
    <t>YY1</t>
  </si>
  <si>
    <t>Type a short header in Responses!YY1 describing what this column contains (e.g. the question or demographic name), or delete the data in that column if it isn't needed.</t>
  </si>
  <si>
    <t>YZ1</t>
  </si>
  <si>
    <t>Type a short header in Responses!YZ1 describing what this column contains (e.g. the question or demographic name), or delete the data in that column if it isn't needed.</t>
  </si>
  <si>
    <t>ZA1</t>
  </si>
  <si>
    <t>Type a short header in Responses!ZA1 describing what this column contains (e.g. the question or demographic name), or delete the data in that column if it isn't needed.</t>
  </si>
  <si>
    <t>ZB1</t>
  </si>
  <si>
    <t>Type a short header in Responses!ZB1 describing what this column contains (e.g. the question or demographic name), or delete the data in that column if it isn't needed.</t>
  </si>
  <si>
    <t>ZC1</t>
  </si>
  <si>
    <t>Type a short header in Responses!ZC1 describing what this column contains (e.g. the question or demographic name), or delete the data in that column if it isn't needed.</t>
  </si>
  <si>
    <t>ZD1</t>
  </si>
  <si>
    <t>Type a short header in Responses!ZD1 describing what this column contains (e.g. the question or demographic name), or delete the data in that column if it isn't needed.</t>
  </si>
  <si>
    <t>ZE1</t>
  </si>
  <si>
    <t>Type a short header in Responses!ZE1 describing what this column contains (e.g. the question or demographic name), or delete the data in that column if it isn't needed.</t>
  </si>
  <si>
    <t>ZF1</t>
  </si>
  <si>
    <t>Type a short header in Responses!ZF1 describing what this column contains (e.g. the question or demographic name), or delete the data in that column if it isn't needed.</t>
  </si>
  <si>
    <t>ZG1</t>
  </si>
  <si>
    <t>Type a short header in Responses!ZG1 describing what this column contains (e.g. the question or demographic name), or delete the data in that column if it isn't needed.</t>
  </si>
  <si>
    <t>ZH1</t>
  </si>
  <si>
    <t>Type a short header in Responses!ZH1 describing what this column contains (e.g. the question or demographic name), or delete the data in that column if it isn't needed.</t>
  </si>
  <si>
    <t>ZI1</t>
  </si>
  <si>
    <t>Type a short header in Responses!ZI1 describing what this column contains (e.g. the question or demographic name), or delete the data in that column if it isn't needed.</t>
  </si>
  <si>
    <t>ZJ1</t>
  </si>
  <si>
    <t>Type a short header in Responses!ZJ1 describing what this column contains (e.g. the question or demographic name), or delete the data in that column if it isn't needed.</t>
  </si>
  <si>
    <t>ZK1</t>
  </si>
  <si>
    <t>Type a short header in Responses!ZK1 describing what this column contains (e.g. the question or demographic name), or delete the data in that column if it isn't needed.</t>
  </si>
  <si>
    <t>ZL1</t>
  </si>
  <si>
    <t>Type a short header in Responses!ZL1 describing what this column contains (e.g. the question or demographic name), or delete the data in that column if it isn't needed.</t>
  </si>
  <si>
    <t>ZM1</t>
  </si>
  <si>
    <t>Type a short header in Responses!ZM1 describing what this column contains (e.g. the question or demographic name), or delete the data in that column if it isn't needed.</t>
  </si>
  <si>
    <t>ZN1</t>
  </si>
  <si>
    <t>Type a short header in Responses!ZN1 describing what this column contains (e.g. the question or demographic name), or delete the data in that column if it isn't needed.</t>
  </si>
  <si>
    <t>ZO1</t>
  </si>
  <si>
    <t>Type a short header in Responses!ZO1 describing what this column contains (e.g. the question or demographic name), or delete the data in that column if it isn't needed.</t>
  </si>
  <si>
    <t>ZP1</t>
  </si>
  <si>
    <t>Type a short header in Responses!ZP1 describing what this column contains (e.g. the question or demographic name), or delete the data in that column if it isn't needed.</t>
  </si>
  <si>
    <t>ZQ1</t>
  </si>
  <si>
    <t>Type a short header in Responses!ZQ1 describing what this column contains (e.g. the question or demographic name), or delete the data in that column if it isn't needed.</t>
  </si>
  <si>
    <t>ZR1</t>
  </si>
  <si>
    <t>Type a short header in Responses!ZR1 describing what this column contains (e.g. the question or demographic name), or delete the data in that column if it isn't needed.</t>
  </si>
  <si>
    <t>ZS1</t>
  </si>
  <si>
    <t>Type a short header in Responses!ZS1 describing what this column contains (e.g. the question or demographic name), or delete the data in that column if it isn't needed.</t>
  </si>
  <si>
    <t>ZT1</t>
  </si>
  <si>
    <t>Type a short header in Responses!ZT1 describing what this column contains (e.g. the question or demographic name), or delete the data in that column if it isn't needed.</t>
  </si>
  <si>
    <t>ZU1</t>
  </si>
  <si>
    <t>Type a short header in Responses!ZU1 describing what this column contains (e.g. the question or demographic name), or delete the data in that column if it isn't needed.</t>
  </si>
  <si>
    <t>ZV1</t>
  </si>
  <si>
    <t>Type a short header in Responses!ZV1 describing what this column contains (e.g. the question or demographic name), or delete the data in that column if it isn't needed.</t>
  </si>
  <si>
    <t>ZW1</t>
  </si>
  <si>
    <t>Type a short header in Responses!ZW1 describing what this column contains (e.g. the question or demographic name), or delete the data in that column if it isn't needed.</t>
  </si>
  <si>
    <t>ZX1</t>
  </si>
  <si>
    <t>Type a short header in Responses!ZX1 describing what this column contains (e.g. the question or demographic name), or delete the data in that column if it isn't needed.</t>
  </si>
  <si>
    <t>ZY1</t>
  </si>
  <si>
    <t>Type a short header in Responses!ZY1 describing what this column contains (e.g. the question or demographic name), or delete the data in that column if it isn't needed.</t>
  </si>
  <si>
    <t>ZZ1</t>
  </si>
  <si>
    <t>Type a short header in Responses!ZZ1 describing what this column contains (e.g. the question or demographic name), or delete the data in that column if it isn't needed.</t>
  </si>
  <si>
    <t>Missing label</t>
  </si>
  <si>
    <t>Type a short, human-readable name for this demographic, e.g. 'Region' or 'Age group'.</t>
  </si>
  <si>
    <t>Missing open_column</t>
  </si>
  <si>
    <t>Type the Excel column letter from Responses that holds the free-text part of this hybrid question.</t>
  </si>
  <si>
    <t>Missing question_number</t>
  </si>
  <si>
    <t>Enter a whole number 1 or higher. Each number must be unique across the Open, Closed, and Hybrid sheets.</t>
  </si>
  <si>
    <t>C2</t>
  </si>
  <si>
    <t>Missing question_text</t>
  </si>
  <si>
    <t>Paste the question as it appeared to respondents, and it should have enough context to make sense on its own (e.g. 'How satisfied are you with X?').</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</si>
  <si>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</si>
  <si>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</si>
  <si>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</si>
  <si>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</si>
  <si>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</si>
  <si>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</si>
  <si>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</si>
  <si>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</si>
  <si>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</si>
  <si>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</si>
  <si>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</si>
  <si>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</si>
  <si>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</si>
  <si>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</si>
  <si>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</si>
  <si>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</si>
  <si>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</si>
  <si>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</si>
  <si>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</si>
  <si>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</si>
  <si>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</si>
  <si>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</si>
  <si>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</si>
  <si>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</si>
  <si>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</si>
  <si>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</si>
  <si>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</si>
  <si>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</si>
  <si>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</si>
  <si>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</si>
  <si>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</si>
  <si>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</si>
  <si>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</si>
  <si>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</si>
  <si>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</si>
  <si>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</si>
  <si>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</si>
  <si>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</si>
  <si>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</si>
  <si>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</si>
  <si>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</si>
  <si>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</si>
  <si>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</si>
  <si>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</si>
  <si>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</si>
  <si>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</si>
  <si>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</si>
  <si>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</si>
  <si>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</si>
  <si>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Paste the question exactly as it appeared to respondents, including any indication that it's a hybrid question (e.g. 'What do you think of X, and why?').It should have enough context to make sense on its own.</t>
  </si>
  <si>
    <t>Question number must be a whole integer &gt;= 1</t>
  </si>
  <si>
    <t>Replace it with a whole number such as 1, 2, 3. Decimals, text, and 0 aren't allowed.</t>
  </si>
  <si>
    <t>(workbook)</t>
  </si>
  <si>
    <t>-</t>
  </si>
  <si>
    <t>Referenced column count exceeds Responses</t>
  </si>
  <si>
    <t>Either remove the questions / demographics that point to columns that aren't in Responses, or add the missing columns (with headers and answers) to the Responses sheet.</t>
  </si>
  <si>
    <t>closed_column not in Responses</t>
  </si>
  <si>
    <t>open_column not in Responses</t>
  </si>
  <si>
    <t>Closed column looks like free text</t>
  </si>
  <si>
    <t>To check</t>
  </si>
  <si>
    <t>If respondents typed their own answers, move this row to the Open Questions sheet. If it really is multiple choice, you can ignore this warning.</t>
  </si>
  <si>
    <t>If respondents typed their own answers, this column belongs in the Open Questions sheet (or as the open_column of a hybrid). If it really is multiple choice, you can ignore this warning.</t>
  </si>
  <si>
    <t>Duplicate column reference</t>
  </si>
  <si>
    <t>Pick a different column letter, or remove the duplicate row from the Open / Closed / Hybrid sheets.</t>
  </si>
  <si>
    <t>Open column looks multichoice</t>
  </si>
  <si>
    <t>If respondents picked from a list, move this row to the Multiple Choice Questions sheet. If it really is free text, you can ignore this warning.</t>
  </si>
  <si>
    <t>If respondents picked from a list, this column belongs in the Multiple Choice Questions sheet (or as the closed_column of a hybrid). If it really is free text, you can ignore this warning.</t>
  </si>
  <si>
    <t>Unreferenced response column</t>
  </si>
  <si>
    <t>If you want this column analysed, add a row pointing to column A on the Open, Closed, Hybrid, or Demographics sheet. If it isn't needed, delete the column on Responses.</t>
  </si>
  <si>
    <t>If you want this column analysed, add a row pointing to column B on the Open, Closed, Hybrid, or Demographics sheet. If it isn't needed, delete the column on Responses.</t>
  </si>
  <si>
    <t>If you want this column analysed, add a row pointing to column C on the Open, Closed, Hybrid, or Demographics sheet. If it isn't needed, delete the column on Responses.</t>
  </si>
  <si>
    <t>If you want this column analysed, add a row pointing to column D on the Open, Closed, Hybrid, or Demographics sheet. If it isn't needed, delete the column on Responses.</t>
  </si>
  <si>
    <t>If you want this column analysed, add a row pointing to column E on the Open, Closed, Hybrid, or Demographics sheet. If it isn't needed, delete the column on Responses.</t>
  </si>
  <si>
    <t>If you want this column analysed, add a row pointing to column F on the Open, Closed, Hybrid, or Demographics sheet. If it isn't needed, delete the column on Responses.</t>
  </si>
  <si>
    <t>If you want this column analysed, add a row pointing to column G on the Open, Closed, Hybrid, or Demographics sheet. If it isn't needed, delete the column on Responses.</t>
  </si>
  <si>
    <t>If you want this column analysed, add a row pointing to column H on the Open, Closed, Hybrid, or Demographics sheet. If it isn't needed, delete the column on Responses.</t>
  </si>
  <si>
    <t>If you want this column analysed, add a row pointing to column I on the Open, Closed, Hybrid, or Demographics sheet. If it isn't needed, delete the column on Responses.</t>
  </si>
  <si>
    <t>If you want this column analysed, add a row pointing to column J on the Open, Closed, Hybrid, or Demographics sheet. If it isn't needed, delete the column on Responses.</t>
  </si>
  <si>
    <t>If you want this column analysed, add a row pointing to column K on the Open, Closed, Hybrid, or Demographics sheet. If it isn't needed, delete the column on Responses.</t>
  </si>
  <si>
    <t>If you want this column analysed, add a row pointing to column L on the Open, Closed, Hybrid, or Demographics sheet. If it isn't needed, delete the column on Responses.</t>
  </si>
  <si>
    <t>If you want this column analysed, add a row pointing to column M on the Open, Closed, Hybrid, or Demographics sheet. If it isn't needed, delete the column on Responses.</t>
  </si>
  <si>
    <t>If you want this column analysed, add a row pointing to column N on the Open, Closed, Hybrid, or Demographics sheet. If it isn't needed, delete the column on Responses.</t>
  </si>
  <si>
    <t>If you want this column analysed, add a row pointing to column O on the Open, Closed, Hybrid, or Demographics sheet. If it isn't needed, delete the column on Responses.</t>
  </si>
  <si>
    <t>If you want this column analysed, add a row pointing to column P on the Open, Closed, Hybrid, or Demographics sheet. If it isn't needed, delete the column on Responses.</t>
  </si>
  <si>
    <t>If you want this column analysed, add a row pointing to column Q on the Open, Closed, Hybrid, or Demographics sheet. If it isn't needed, delete the column on Responses.</t>
  </si>
  <si>
    <t>If you want this column analysed, add a row pointing to column R on the Open, Closed, Hybrid, or Demographics sheet. If it isn't needed, delete the column on Responses.</t>
  </si>
  <si>
    <t>If you want this column analysed, add a row pointing to column S on the Open, Closed, Hybrid, or Demographics sheet. If it isn't needed, delete the column on Responses.</t>
  </si>
  <si>
    <t>If you want this column analysed, add a row pointing to column T on the Open, Closed, Hybrid, or Demographics sheet. If it isn't needed, delete the column on Responses.</t>
  </si>
  <si>
    <t>If you want this column analysed, add a row pointing to column U on the Open, Closed, Hybrid, or Demographics sheet. If it isn't needed, delete the column on Responses.</t>
  </si>
  <si>
    <t>If you want this column analysed, add a row pointing to column V on the Open, Closed, Hybrid, or Demographics sheet. If it isn't needed, delete the column on Responses.</t>
  </si>
  <si>
    <t>If you want this column analysed, add a row pointing to column W on the Open, Closed, Hybrid, or Demographics sheet. If it isn't needed, delete the column on Responses.</t>
  </si>
  <si>
    <t>If you want this column analysed, add a row pointing to column X on the Open, Closed, Hybrid, or Demographics sheet. If it isn't needed, delete the column on Responses.</t>
  </si>
  <si>
    <t>If you want this column analysed, add a row pointing to column Y on the Open, Closed, Hybrid, or Demographics sheet. If it isn't needed, delete the column on Responses.</t>
  </si>
  <si>
    <t>If you want this column analysed, add a row pointing to column Z on the Open, Closed, Hybrid, or Demographics sheet. If it isn't needed, delete the column on Responses.</t>
  </si>
  <si>
    <t>If you want this column analysed, add a row pointing to column AA on the Open, Closed, Hybrid, or Demographics sheet. If it isn't needed, delete the column on Responses.</t>
  </si>
  <si>
    <t>If you want this column analysed, add a row pointing to column AB on the Open, Closed, Hybrid, or Demographics sheet. If it isn't needed, delete the column on Responses.</t>
  </si>
  <si>
    <t>If you want this column analysed, add a row pointing to column AC on the Open, Closed, Hybrid, or Demographics sheet. If it isn't needed, delete the column on Responses.</t>
  </si>
  <si>
    <t>If you want this column analysed, add a row pointing to column AD on the Open, Closed, Hybrid, or Demographics sheet. If it isn't needed, delete the column on Responses.</t>
  </si>
  <si>
    <t>If you want this column analysed, add a row pointing to column AE on the Open, Closed, Hybrid, or Demographics sheet. If it isn't needed, delete the column on Responses.</t>
  </si>
  <si>
    <t>If you want this column analysed, add a row pointing to column AF on the Open, Closed, Hybrid, or Demographics sheet. If it isn't needed, delete the column on Responses.</t>
  </si>
  <si>
    <t>If you want this column analysed, add a row pointing to column AG on the Open, Closed, Hybrid, or Demographics sheet. If it isn't needed, delete the column on Responses.</t>
  </si>
  <si>
    <t>If you want this column analysed, add a row pointing to column AH on the Open, Closed, Hybrid, or Demographics sheet. If it isn't needed, delete the column on Responses.</t>
  </si>
  <si>
    <t>If you want this column analysed, add a row pointing to column AI on the Open, Closed, Hybrid, or Demographics sheet. If it isn't needed, delete the column on Responses.</t>
  </si>
  <si>
    <t>If you want this column analysed, add a row pointing to column AJ on the Open, Closed, Hybrid, or Demographics sheet. If it isn't needed, delete the column on Responses.</t>
  </si>
  <si>
    <t>If you want this column analysed, add a row pointing to column AK on the Open, Closed, Hybrid, or Demographics sheet. If it isn't needed, delete the column on Responses.</t>
  </si>
  <si>
    <t>If you want this column analysed, add a row pointing to column AL on the Open, Closed, Hybrid, or Demographics sheet. If it isn't needed, delete the column on Responses.</t>
  </si>
  <si>
    <t>If you want this column analysed, add a row pointing to column AM on the Open, Closed, Hybrid, or Demographics sheet. If it isn't needed, delete the column on Responses.</t>
  </si>
  <si>
    <t>If you want this column analysed, add a row pointing to column AN on the Open, Closed, Hybrid, or Demographics sheet. If it isn't needed, delete the column on Responses.</t>
  </si>
  <si>
    <t>If you want this column analysed, add a row pointing to column AO on the Open, Closed, Hybrid, or Demographics sheet. If it isn't needed, delete the column on Responses.</t>
  </si>
  <si>
    <t>If you want this column analysed, add a row pointing to column AP on the Open, Closed, Hybrid, or Demographics sheet. If it isn't needed, delete the column on Responses.</t>
  </si>
  <si>
    <t>If you want this column analysed, add a row pointing to column AQ on the Open, Closed, Hybrid, or Demographics sheet. If it isn't needed, delete the column on Responses.</t>
  </si>
  <si>
    <t>If you want this column analysed, add a row pointing to column AR on the Open, Closed, Hybrid, or Demographics sheet. If it isn't needed, delete the column on Responses.</t>
  </si>
  <si>
    <t>If you want this column analysed, add a row pointing to column AS on the Open, Closed, Hybrid, or Demographics sheet. If it isn't needed, delete the column on Responses.</t>
  </si>
  <si>
    <t>If you want this column analysed, add a row pointing to column AT on the Open, Closed, Hybrid, or Demographics sheet. If it isn't needed, delete the column on Responses.</t>
  </si>
  <si>
    <t>If you want this column analysed, add a row pointing to column AU on the Open, Closed, Hybrid, or Demographics sheet. If it isn't needed, delete the column on Responses.</t>
  </si>
  <si>
    <t>If you want this column analysed, add a row pointing to column AV on the Open, Closed, Hybrid, or Demographics sheet. If it isn't needed, delete the column on Responses.</t>
  </si>
  <si>
    <t>If you want this column analysed, add a row pointing to column AW on the Open, Closed, Hybrid, or Demographics sheet. If it isn't needed, delete the column on Responses.</t>
  </si>
  <si>
    <t>If you want this column analysed, add a row pointing to column AX on the Open, Closed, Hybrid, or Demographics sheet. If it isn't needed, delete the column on Responses.</t>
  </si>
  <si>
    <t>If you want this column analysed, add a row pointing to column AY on the Open, Closed, Hybrid, or Demographics sheet. If it isn't needed, delete the column on Responses.</t>
  </si>
  <si>
    <t>If you want this column analysed, add a row pointing to column AZ on the Open, Closed, Hybrid, or Demographics sheet. If it isn't needed, delete the column on Responses.</t>
  </si>
  <si>
    <t>If you want this column analysed, add a row pointing to column BA on the Open, Closed, Hybrid, or Demographics sheet. If it isn't needed, delete the column on Responses.</t>
  </si>
  <si>
    <t>If you want this column analysed, add a row pointing to column BB on the Open, Closed, Hybrid, or Demographics sheet. If it isn't needed, delete the column on Responses.</t>
  </si>
  <si>
    <t>If you want this column analysed, add a row pointing to column BC on the Open, Closed, Hybrid, or Demographics sheet. If it isn't needed, delete the column on Responses.</t>
  </si>
  <si>
    <t>If you want this column analysed, add a row pointing to column BD on the Open, Closed, Hybrid, or Demographics sheet. If it isn't needed, delete the column on Responses.</t>
  </si>
  <si>
    <t>If you want this column analysed, add a row pointing to column BE on the Open, Closed, Hybrid, or Demographics sheet. If it isn't needed, delete the column on Responses.</t>
  </si>
  <si>
    <t>If you want this column analysed, add a row pointing to column BF on the Open, Closed, Hybrid, or Demographics sheet. If it isn't needed, delete the column on Responses.</t>
  </si>
  <si>
    <t>If you want this column analysed, add a row pointing to column BG on the Open, Closed, Hybrid, or Demographics sheet. If it isn't needed, delete the column on Responses.</t>
  </si>
  <si>
    <t>If you want this column analysed, add a row pointing to column BH on the Open, Closed, Hybrid, or Demographics sheet. If it isn't needed, delete the column on Responses.</t>
  </si>
  <si>
    <t>If you want this column analysed, add a row pointing to column BI on the Open, Closed, Hybrid, or Demographics sheet. If it isn't needed, delete the column on Responses.</t>
  </si>
  <si>
    <t>If you want this column analysed, add a row pointing to column BJ on the Open, Closed, Hybrid, or Demographics sheet. If it isn't needed, delete the column on Responses.</t>
  </si>
  <si>
    <t>If you want this column analysed, add a row pointing to column BK on the Open, Closed, Hybrid, or Demographics sheet. If it isn't needed, delete the column on Responses.</t>
  </si>
  <si>
    <t>If you want this column analysed, add a row pointing to column BL on the Open, Closed, Hybrid, or Demographics sheet. If it isn't needed, delete the column on Responses.</t>
  </si>
  <si>
    <t>If you want this column analysed, add a row pointing to column BM on the Open, Closed, Hybrid, or Demographics sheet. If it isn't needed, delete the column on Responses.</t>
  </si>
  <si>
    <t>If you want this column analysed, add a row pointing to column BN on the Open, Closed, Hybrid, or Demographics sheet. If it isn't needed, delete the column on Responses.</t>
  </si>
  <si>
    <t>If you want this column analysed, add a row pointing to column BO on the Open, Closed, Hybrid, or Demographics sheet. If it isn't needed, delete the column on Responses.</t>
  </si>
  <si>
    <t>If you want this column analysed, add a row pointing to column BP on the Open, Closed, Hybrid, or Demographics sheet. If it isn't needed, delete the column on Responses.</t>
  </si>
  <si>
    <t>If you want this column analysed, add a row pointing to column BQ on the Open, Closed, Hybrid, or Demographics sheet. If it isn't needed, delete the column on Responses.</t>
  </si>
  <si>
    <t>If you want this column analysed, add a row pointing to column BR on the Open, Closed, Hybrid, or Demographics sheet. If it isn't needed, delete the column on Responses.</t>
  </si>
  <si>
    <t>If you want this column analysed, add a row pointing to column BS on the Open, Closed, Hybrid, or Demographics sheet. If it isn't needed, delete the column on Responses.</t>
  </si>
  <si>
    <t>If you want this column analysed, add a row pointing to column BT on the Open, Closed, Hybrid, or Demographics sheet. If it isn't needed, delete the column on Responses.</t>
  </si>
  <si>
    <t>If you want this column analysed, add a row pointing to column BU on the Open, Closed, Hybrid, or Demographics sheet. If it isn't needed, delete the column on Responses.</t>
  </si>
  <si>
    <t>If you want this column analysed, add a row pointing to column BV on the Open, Closed, Hybrid, or Demographics sheet. If it isn't needed, delete the column on Responses.</t>
  </si>
  <si>
    <t>If you want this column analysed, add a row pointing to column BW on the Open, Closed, Hybrid, or Demographics sheet. If it isn't needed, delete the column on Responses.</t>
  </si>
  <si>
    <t>If you want this column analysed, add a row pointing to column BX on the Open, Closed, Hybrid, or Demographics sheet. If it isn't needed, delete the column on Responses.</t>
  </si>
  <si>
    <t>If you want this column analysed, add a row pointing to column BY on the Open, Closed, Hybrid, or Demographics sheet. If it isn't needed, delete the column on Responses.</t>
  </si>
  <si>
    <t>If you want this column analysed, add a row pointing to column BZ on the Open, Closed, Hybrid, or Demographics sheet. If it isn't needed, delete the column on Responses.</t>
  </si>
  <si>
    <t>If you want this column analysed, add a row pointing to column CA on the Open, Closed, Hybrid, or Demographics sheet. If it isn't needed, delete the column on Responses.</t>
  </si>
  <si>
    <t>If you want this column analysed, add a row pointing to column CB on the Open, Closed, Hybrid, or Demographics sheet. If it isn't needed, delete the column on Responses.</t>
  </si>
  <si>
    <t>If you want this column analysed, add a row pointing to column CC on the Open, Closed, Hybrid, or Demographics sheet. If it isn't needed, delete the column on Responses.</t>
  </si>
  <si>
    <t>If you want this column analysed, add a row pointing to column CD on the Open, Closed, Hybrid, or Demographics sheet. If it isn't needed, delete the column on Responses.</t>
  </si>
  <si>
    <t>If you want this column analysed, add a row pointing to column CE on the Open, Closed, Hybrid, or Demographics sheet. If it isn't needed, delete the column on Responses.</t>
  </si>
  <si>
    <t>If you want this column analysed, add a row pointing to column CF on the Open, Closed, Hybrid, or Demographics sheet. If it isn't needed, delete the column on Responses.</t>
  </si>
  <si>
    <t>If you want this column analysed, add a row pointing to column CG on the Open, Closed, Hybrid, or Demographics sheet. If it isn't needed, delete the column on Responses.</t>
  </si>
  <si>
    <t>If you want this column analysed, add a row pointing to column CH on the Open, Closed, Hybrid, or Demographics sheet. If it isn't needed, delete the column on Responses.</t>
  </si>
  <si>
    <t>If you want this column analysed, add a row pointing to column CI on the Open, Closed, Hybrid, or Demographics sheet. If it isn't needed, delete the column on Responses.</t>
  </si>
  <si>
    <t>If you want this column analysed, add a row pointing to column CJ on the Open, Closed, Hybrid, or Demographics sheet. If it isn't needed, delete the column on Responses.</t>
  </si>
  <si>
    <t>If you want this column analysed, add a row pointing to column CK on the Open, Closed, Hybrid, or Demographics sheet. If it isn't needed, delete the column on Responses.</t>
  </si>
  <si>
    <t>If you want this column analysed, add a row pointing to column CL on the Open, Closed, Hybrid, or Demographics sheet. If it isn't needed, delete the column on Responses.</t>
  </si>
  <si>
    <t>If you want this column analysed, add a row pointing to column CM on the Open, Closed, Hybrid, or Demographics sheet. If it isn't needed, delete the column on Responses.</t>
  </si>
  <si>
    <t>If you want this column analysed, add a row pointing to column CN on the Open, Closed, Hybrid, or Demographics sheet. If it isn't needed, delete the column on Responses.</t>
  </si>
  <si>
    <t>If you want this column analysed, add a row pointing to column CO on the Open, Closed, Hybrid, or Demographics sheet. If it isn't needed, delete the column on Responses.</t>
  </si>
  <si>
    <t>If you want this column analysed, add a row pointing to column CP on the Open, Closed, Hybrid, or Demographics sheet. If it isn't needed, delete the column on Responses.</t>
  </si>
  <si>
    <t>If you want this column analysed, add a row pointing to column CQ on the Open, Closed, Hybrid, or Demographics sheet. If it isn't needed, delete the column on Responses.</t>
  </si>
  <si>
    <t>If you want this column analysed, add a row pointing to column CR on the Open, Closed, Hybrid, or Demographics sheet. If it isn't needed, delete the column on Responses.</t>
  </si>
  <si>
    <t>If you want this column analysed, add a row pointing to column CS on the Open, Closed, Hybrid, or Demographics sheet. If it isn't needed, delete the column on Responses.</t>
  </si>
  <si>
    <t>If you want this column analysed, add a row pointing to column CT on the Open, Closed, Hybrid, or Demographics sheet. If it isn't needed, delete the column on Responses.</t>
  </si>
  <si>
    <t>If you want this column analysed, add a row pointing to column CU on the Open, Closed, Hybrid, or Demographics sheet. If it isn't needed, delete the column on Responses.</t>
  </si>
  <si>
    <t>If you want this column analysed, add a row pointing to column CV on the Open, Closed, Hybrid, or Demographics sheet. If it isn't needed, delete the column on Responses.</t>
  </si>
  <si>
    <t>If you want this column analysed, add a row pointing to column CW on the Open, Closed, Hybrid, or Demographics sheet. If it isn't needed, delete the column on Responses.</t>
  </si>
  <si>
    <t>If you want this column analysed, add a row pointing to column CX on the Open, Closed, Hybrid, or Demographics sheet. If it isn't needed, delete the column on Responses.</t>
  </si>
  <si>
    <t>If you want this column analysed, add a row pointing to column CY on the Open, Closed, Hybrid, or Demographics sheet. If it isn't needed, delete the column on Responses.</t>
  </si>
  <si>
    <t>If you want this column analysed, add a row pointing to column CZ on the Open, Closed, Hybrid, or Demographics sheet. If it isn't needed, delete the column on Responses.</t>
  </si>
  <si>
    <t>If you want this column analysed, add a row pointing to column DA on the Open, Closed, Hybrid, or Demographics sheet. If it isn't needed, delete the column on Responses.</t>
  </si>
  <si>
    <t>If you want this column analysed, add a row pointing to column DB on the Open, Closed, Hybrid, or Demographics sheet. If it isn't needed, delete the column on Responses.</t>
  </si>
  <si>
    <t>If you want this column analysed, add a row pointing to column DC on the Open, Closed, Hybrid, or Demographics sheet. If it isn't needed, delete the column on Responses.</t>
  </si>
  <si>
    <t>If you want this column analysed, add a row pointing to column DD on the Open, Closed, Hybrid, or Demographics sheet. If it isn't needed, delete the column on Responses.</t>
  </si>
  <si>
    <t>If you want this column analysed, add a row pointing to column DE on the Open, Closed, Hybrid, or Demographics sheet. If it isn't needed, delete the column on Responses.</t>
  </si>
  <si>
    <t>If you want this column analysed, add a row pointing to column DF on the Open, Closed, Hybrid, or Demographics sheet. If it isn't needed, delete the column on Responses.</t>
  </si>
  <si>
    <t>If you want this column analysed, add a row pointing to column DG on the Open, Closed, Hybrid, or Demographics sheet. If it isn't needed, delete the column on Responses.</t>
  </si>
  <si>
    <t>If you want this column analysed, add a row pointing to column DH on the Open, Closed, Hybrid, or Demographics sheet. If it isn't needed, delete the column on Responses.</t>
  </si>
  <si>
    <t>If you want this column analysed, add a row pointing to column DI on the Open, Closed, Hybrid, or Demographics sheet. If it isn't needed, delete the column on Responses.</t>
  </si>
  <si>
    <t>If you want this column analysed, add a row pointing to column DJ on the Open, Closed, Hybrid, or Demographics sheet. If it isn't needed, delete the column on Responses.</t>
  </si>
  <si>
    <t>If you want this column analysed, add a row pointing to column DK on the Open, Closed, Hybrid, or Demographics sheet. If it isn't needed, delete the column on Responses.</t>
  </si>
  <si>
    <t>If you want this column analysed, add a row pointing to column DL on the Open, Closed, Hybrid, or Demographics sheet. If it isn't needed, delete the column on Responses.</t>
  </si>
  <si>
    <t>If you want this column analysed, add a row pointing to column DM on the Open, Closed, Hybrid, or Demographics sheet. If it isn't needed, delete the column on Responses.</t>
  </si>
  <si>
    <t>If you want this column analysed, add a row pointing to column DN on the Open, Closed, Hybrid, or Demographics sheet. If it isn't needed, delete the column on Responses.</t>
  </si>
  <si>
    <t>If you want this column analysed, add a row pointing to column DO on the Open, Closed, Hybrid, or Demographics sheet. If it isn't needed, delete the column on Responses.</t>
  </si>
  <si>
    <t>If you want this column analysed, add a row pointing to column DP on the Open, Closed, Hybrid, or Demographics sheet. If it isn't needed, delete the column on Responses.</t>
  </si>
  <si>
    <t>If you want this column analysed, add a row pointing to column DQ on the Open, Closed, Hybrid, or Demographics sheet. If it isn't needed, delete the column on Responses.</t>
  </si>
  <si>
    <t>If you want this column analysed, add a row pointing to column DR on the Open, Closed, Hybrid, or Demographics sheet. If it isn't needed, delete the column on Responses.</t>
  </si>
  <si>
    <t>If you want this column analysed, add a row pointing to column DS on the Open, Closed, Hybrid, or Demographics sheet. If it isn't needed, delete the column on Responses.</t>
  </si>
  <si>
    <t>If you want this column analysed, add a row pointing to column DT on the Open, Closed, Hybrid, or Demographics sheet. If it isn't needed, delete the column on Responses.</t>
  </si>
  <si>
    <t>If you want this column analysed, add a row pointing to column DU on the Open, Closed, Hybrid, or Demographics sheet. If it isn't needed, delete the column on Responses.</t>
  </si>
  <si>
    <t>If you want this column analysed, add a row pointing to column DV on the Open, Closed, Hybrid, or Demographics sheet. If it isn't needed, delete the column on Responses.</t>
  </si>
  <si>
    <t>If you want this column analysed, add a row pointing to column DW on the Open, Closed, Hybrid, or Demographics sheet. If it isn't needed, delete the column on Responses.</t>
  </si>
  <si>
    <t>If you want this column analysed, add a row pointing to column DX on the Open, Closed, Hybrid, or Demographics sheet. If it isn't needed, delete the column on Responses.</t>
  </si>
  <si>
    <t>If you want this column analysed, add a row pointing to column DY on the Open, Closed, Hybrid, or Demographics sheet. If it isn't needed, delete the column on Responses.</t>
  </si>
  <si>
    <t>If you want this column analysed, add a row pointing to column DZ on the Open, Closed, Hybrid, or Demographics sheet. If it isn't needed, delete the column on Responses.</t>
  </si>
  <si>
    <t>If you want this column analysed, add a row pointing to column EA on the Open, Closed, Hybrid, or Demographics sheet. If it isn't needed, delete the column on Responses.</t>
  </si>
  <si>
    <t>If you want this column analysed, add a row pointing to column EB on the Open, Closed, Hybrid, or Demographics sheet. If it isn't needed, delete the column on Responses.</t>
  </si>
  <si>
    <t>If you want this column analysed, add a row pointing to column EC on the Open, Closed, Hybrid, or Demographics sheet. If it isn't needed, delete the column on Responses.</t>
  </si>
  <si>
    <t>If you want this column analysed, add a row pointing to column ED on the Open, Closed, Hybrid, or Demographics sheet. If it isn't needed, delete the column on Responses.</t>
  </si>
  <si>
    <t>If you want this column analysed, add a row pointing to column EE on the Open, Closed, Hybrid, or Demographics sheet. If it isn't needed, delete the column on Responses.</t>
  </si>
  <si>
    <t>If you want this column analysed, add a row pointing to column EF on the Open, Closed, Hybrid, or Demographics sheet. If it isn't needed, delete the column on Responses.</t>
  </si>
  <si>
    <t>If you want this column analysed, add a row pointing to column EG on the Open, Closed, Hybrid, or Demographics sheet. If it isn't needed, delete the column on Responses.</t>
  </si>
  <si>
    <t>If you want this column analysed, add a row pointing to column EH on the Open, Closed, Hybrid, or Demographics sheet. If it isn't needed, delete the column on Responses.</t>
  </si>
  <si>
    <t>If you want this column analysed, add a row pointing to column EI on the Open, Closed, Hybrid, or Demographics sheet. If it isn't needed, delete the column on Responses.</t>
  </si>
  <si>
    <t>If you want this column analysed, add a row pointing to column EJ on the Open, Closed, Hybrid, or Demographics sheet. If it isn't needed, delete the column on Responses.</t>
  </si>
  <si>
    <t>If you want this column analysed, add a row pointing to column EK on the Open, Closed, Hybrid, or Demographics sheet. If it isn't needed, delete the column on Responses.</t>
  </si>
  <si>
    <t>If you want this column analysed, add a row pointing to column EL on the Open, Closed, Hybrid, or Demographics sheet. If it isn't needed, delete the column on Responses.</t>
  </si>
  <si>
    <t>If you want this column analysed, add a row pointing to column EM on the Open, Closed, Hybrid, or Demographics sheet. If it isn't needed, delete the column on Responses.</t>
  </si>
  <si>
    <t>If you want this column analysed, add a row pointing to column EN on the Open, Closed, Hybrid, or Demographics sheet. If it isn't needed, delete the column on Responses.</t>
  </si>
  <si>
    <t>If you want this column analysed, add a row pointing to column EO on the Open, Closed, Hybrid, or Demographics sheet. If it isn't needed, delete the column on Responses.</t>
  </si>
  <si>
    <t>If you want this column analysed, add a row pointing to column EP on the Open, Closed, Hybrid, or Demographics sheet. If it isn't needed, delete the column on Responses.</t>
  </si>
  <si>
    <t>If you want this column analysed, add a row pointing to column EQ on the Open, Closed, Hybrid, or Demographics sheet. If it isn't needed, delete the column on Responses.</t>
  </si>
  <si>
    <t>If you want this column analysed, add a row pointing to column ER on the Open, Closed, Hybrid, or Demographics sheet. If it isn't needed, delete the column on Responses.</t>
  </si>
  <si>
    <t>If you want this column analysed, add a row pointing to column ES on the Open, Closed, Hybrid, or Demographics sheet. If it isn't needed, delete the column on Responses.</t>
  </si>
  <si>
    <t>If you want this column analysed, add a row pointing to column ET on the Open, Closed, Hybrid, or Demographics sheet. If it isn't needed, delete the column on Responses.</t>
  </si>
  <si>
    <t>If you want this column analysed, add a row pointing to column EU on the Open, Closed, Hybrid, or Demographics sheet. If it isn't needed, delete the column on Responses.</t>
  </si>
  <si>
    <t>If you want this column analysed, add a row pointing to column EV on the Open, Closed, Hybrid, or Demographics sheet. If it isn't needed, delete the column on Responses.</t>
  </si>
  <si>
    <t>If you want this column analysed, add a row pointing to column EW on the Open, Closed, Hybrid, or Demographics sheet. If it isn't needed, delete the column on Responses.</t>
  </si>
  <si>
    <t>If you want this column analysed, add a row pointing to column EX on the Open, Closed, Hybrid, or Demographics sheet. If it isn't needed, delete the column on Responses.</t>
  </si>
  <si>
    <t>If you want this column analysed, add a row pointing to column EY on the Open, Closed, Hybrid, or Demographics sheet. If it isn't needed, delete the column on Responses.</t>
  </si>
  <si>
    <t>If you want this column analysed, add a row pointing to column EZ on the Open, Closed, Hybrid, or Demographics sheet. If it isn't needed, delete the column on Responses.</t>
  </si>
  <si>
    <t>If you want this column analysed, add a row pointing to column FA on the Open, Closed, Hybrid, or Demographics sheet. If it isn't needed, delete the column on Responses.</t>
  </si>
  <si>
    <t>If you want this column analysed, add a row pointing to column FB on the Open, Closed, Hybrid, or Demographics sheet. If it isn't needed, delete the column on Responses.</t>
  </si>
  <si>
    <t>If you want this column analysed, add a row pointing to column FC on the Open, Closed, Hybrid, or Demographics sheet. If it isn't needed, delete the column on Responses.</t>
  </si>
  <si>
    <t>If you want this column analysed, add a row pointing to column FD on the Open, Closed, Hybrid, or Demographics sheet. If it isn't needed, delete the column on Responses.</t>
  </si>
  <si>
    <t>If you want this column analysed, add a row pointing to column FE on the Open, Closed, Hybrid, or Demographics sheet. If it isn't needed, delete the column on Responses.</t>
  </si>
  <si>
    <t>If you want this column analysed, add a row pointing to column FF on the Open, Closed, Hybrid, or Demographics sheet. If it isn't needed, delete the column on Responses.</t>
  </si>
  <si>
    <t>If you want this column analysed, add a row pointing to column FG on the Open, Closed, Hybrid, or Demographics sheet. If it isn't needed, delete the column on Responses.</t>
  </si>
  <si>
    <t>If you want this column analysed, add a row pointing to column FH on the Open, Closed, Hybrid, or Demographics sheet. If it isn't needed, delete the column on Responses.</t>
  </si>
  <si>
    <t>If you want this column analysed, add a row pointing to column FI on the Open, Closed, Hybrid, or Demographics sheet. If it isn't needed, delete the column on Responses.</t>
  </si>
  <si>
    <t>If you want this column analysed, add a row pointing to column FJ on the Open, Closed, Hybrid, or Demographics sheet. If it isn't needed, delete the column on Responses.</t>
  </si>
  <si>
    <t>If you want this column analysed, add a row pointing to column FK on the Open, Closed, Hybrid, or Demographics sheet. If it isn't needed, delete the column on Responses.</t>
  </si>
  <si>
    <t>If you want this column analysed, add a row pointing to column FL on the Open, Closed, Hybrid, or Demographics sheet. If it isn't needed, delete the column on Responses.</t>
  </si>
  <si>
    <t>If you want this column analysed, add a row pointing to column FM on the Open, Closed, Hybrid, or Demographics sheet. If it isn't needed, delete the column on Responses.</t>
  </si>
  <si>
    <t>If you want this column analysed, add a row pointing to column FN on the Open, Closed, Hybrid, or Demographics sheet. If it isn't needed, delete the column on Responses.</t>
  </si>
  <si>
    <t>If you want this column analysed, add a row pointing to column FO on the Open, Closed, Hybrid, or Demographics sheet. If it isn't needed, delete the column on Responses.</t>
  </si>
  <si>
    <t>If you want this column analysed, add a row pointing to column FP on the Open, Closed, Hybrid, or Demographics sheet. If it isn't needed, delete the column on Responses.</t>
  </si>
  <si>
    <t>If you want this column analysed, add a row pointing to column FQ on the Open, Closed, Hybrid, or Demographics sheet. If it isn't needed, delete the column on Responses.</t>
  </si>
  <si>
    <t>If you want this column analysed, add a row pointing to column FR on the Open, Closed, Hybrid, or Demographics sheet. If it isn't needed, delete the column on Responses.</t>
  </si>
  <si>
    <t>If you want this column analysed, add a row pointing to column FS on the Open, Closed, Hybrid, or Demographics sheet. If it isn't needed, delete the column on Responses.</t>
  </si>
  <si>
    <t>If you want this column analysed, add a row pointing to column FT on the Open, Closed, Hybrid, or Demographics sheet. If it isn't needed, delete the column on Responses.</t>
  </si>
  <si>
    <t>If you want this column analysed, add a row pointing to column FU on the Open, Closed, Hybrid, or Demographics sheet. If it isn't needed, delete the column on Responses.</t>
  </si>
  <si>
    <t>If you want this column analysed, add a row pointing to column FV on the Open, Closed, Hybrid, or Demographics sheet. If it isn't needed, delete the column on Responses.</t>
  </si>
  <si>
    <t>If you want this column analysed, add a row pointing to column FW on the Open, Closed, Hybrid, or Demographics sheet. If it isn't needed, delete the column on Responses.</t>
  </si>
  <si>
    <t>If you want this column analysed, add a row pointing to column FX on the Open, Closed, Hybrid, or Demographics sheet. If it isn't needed, delete the column on Responses.</t>
  </si>
  <si>
    <t>If you want this column analysed, add a row pointing to column FY on the Open, Closed, Hybrid, or Demographics sheet. If it isn't needed, delete the column on Responses.</t>
  </si>
  <si>
    <t>If you want this column analysed, add a row pointing to column FZ on the Open, Closed, Hybrid, or Demographics sheet. If it isn't needed, delete the column on Responses.</t>
  </si>
  <si>
    <t>If you want this column analysed, add a row pointing to column GA on the Open, Closed, Hybrid, or Demographics sheet. If it isn't needed, delete the column on Responses.</t>
  </si>
  <si>
    <t>If you want this column analysed, add a row pointing to column GB on the Open, Closed, Hybrid, or Demographics sheet. If it isn't needed, delete the column on Responses.</t>
  </si>
  <si>
    <t>If you want this column analysed, add a row pointing to column GC on the Open, Closed, Hybrid, or Demographics sheet. If it isn't needed, delete the column on Responses.</t>
  </si>
  <si>
    <t>If you want this column analysed, add a row pointing to column GD on the Open, Closed, Hybrid, or Demographics sheet. If it isn't needed, delete the column on Responses.</t>
  </si>
  <si>
    <t>If you want this column analysed, add a row pointing to column GE on the Open, Closed, Hybrid, or Demographics sheet. If it isn't needed, delete the column on Responses.</t>
  </si>
  <si>
    <t>If you want this column analysed, add a row pointing to column GF on the Open, Closed, Hybrid, or Demographics sheet. If it isn't needed, delete the column on Responses.</t>
  </si>
  <si>
    <t>If you want this column analysed, add a row pointing to column GG on the Open, Closed, Hybrid, or Demographics sheet. If it isn't needed, delete the column on Responses.</t>
  </si>
  <si>
    <t>If you want this column analysed, add a row pointing to column GH on the Open, Closed, Hybrid, or Demographics sheet. If it isn't needed, delete the column on Responses.</t>
  </si>
  <si>
    <t>If you want this column analysed, add a row pointing to column GI on the Open, Closed, Hybrid, or Demographics sheet. If it isn't needed, delete the column on Responses.</t>
  </si>
  <si>
    <t>If you want this column analysed, add a row pointing to column GJ on the Open, Closed, Hybrid, or Demographics sheet. If it isn't needed, delete the column on Responses.</t>
  </si>
  <si>
    <t>If you want this column analysed, add a row pointing to column GK on the Open, Closed, Hybrid, or Demographics sheet. If it isn't needed, delete the column on Responses.</t>
  </si>
  <si>
    <t>If you want this column analysed, add a row pointing to column GL on the Open, Closed, Hybrid, or Demographics sheet. If it isn't needed, delete the column on Responses.</t>
  </si>
  <si>
    <t>If you want this column analysed, add a row pointing to column GM on the Open, Closed, Hybrid, or Demographics sheet. If it isn't needed, delete the column on Responses.</t>
  </si>
  <si>
    <t>If you want this column analysed, add a row pointing to column GN on the Open, Closed, Hybrid, or Demographics sheet. If it isn't needed, delete the column on Responses.</t>
  </si>
  <si>
    <t>If you want this column analysed, add a row pointing to column GO on the Open, Closed, Hybrid, or Demographics sheet. If it isn't needed, delete the column on Responses.</t>
  </si>
  <si>
    <t>If you want this column analysed, add a row pointing to column GP on the Open, Closed, Hybrid, or Demographics sheet. If it isn't needed, delete the column on Responses.</t>
  </si>
  <si>
    <t>If you want this column analysed, add a row pointing to column GQ on the Open, Closed, Hybrid, or Demographics sheet. If it isn't needed, delete the column on Responses.</t>
  </si>
  <si>
    <t>If you want this column analysed, add a row pointing to column GR on the Open, Closed, Hybrid, or Demographics sheet. If it isn't needed, delete the column on Responses.</t>
  </si>
  <si>
    <t>If you want this column analysed, add a row pointing to column GS on the Open, Closed, Hybrid, or Demographics sheet. If it isn't needed, delete the column on Responses.</t>
  </si>
  <si>
    <t>If you want this column analysed, add a row pointing to column GT on the Open, Closed, Hybrid, or Demographics sheet. If it isn't needed, delete the column on Responses.</t>
  </si>
  <si>
    <t>If you want this column analysed, add a row pointing to column GU on the Open, Closed, Hybrid, or Demographics sheet. If it isn't needed, delete the column on Responses.</t>
  </si>
  <si>
    <t>If you want this column analysed, add a row pointing to column GV on the Open, Closed, Hybrid, or Demographics sheet. If it isn't needed, delete the column on Responses.</t>
  </si>
  <si>
    <t>If you want this column analysed, add a row pointing to column GW on the Open, Closed, Hybrid, or Demographics sheet. If it isn't needed, delete the column on Responses.</t>
  </si>
  <si>
    <t>If you want this column analysed, add a row pointing to column GX on the Open, Closed, Hybrid, or Demographics sheet. If it isn't needed, delete the column on Responses.</t>
  </si>
  <si>
    <t>If you want this column analysed, add a row pointing to column GY on the Open, Closed, Hybrid, or Demographics sheet. If it isn't needed, delete the column on Responses.</t>
  </si>
  <si>
    <t>If you want this column analysed, add a row pointing to column GZ on the Open, Closed, Hybrid, or Demographics sheet. If it isn't needed, delete the column on Responses.</t>
  </si>
  <si>
    <t>If you want this column analysed, add a row pointing to column HA on the Open, Closed, Hybrid, or Demographics sheet. If it isn't needed, delete the column on Responses.</t>
  </si>
  <si>
    <t>If you want this column analysed, add a row pointing to column HB on the Open, Closed, Hybrid, or Demographics sheet. If it isn't needed, delete the column on Responses.</t>
  </si>
  <si>
    <t>If you want this column analysed, add a row pointing to column HC on the Open, Closed, Hybrid, or Demographics sheet. If it isn't needed, delete the column on Responses.</t>
  </si>
  <si>
    <t>If you want this column analysed, add a row pointing to column HD on the Open, Closed, Hybrid, or Demographics sheet. If it isn't needed, delete the column on Responses.</t>
  </si>
  <si>
    <t>If you want this column analysed, add a row pointing to column HE on the Open, Closed, Hybrid, or Demographics sheet. If it isn't needed, delete the column on Responses.</t>
  </si>
  <si>
    <t>If you want this column analysed, add a row pointing to column HF on the Open, Closed, Hybrid, or Demographics sheet. If it isn't needed, delete the column on Responses.</t>
  </si>
  <si>
    <t>If you want this column analysed, add a row pointing to column HG on the Open, Closed, Hybrid, or Demographics sheet. If it isn't needed, delete the column on Responses.</t>
  </si>
  <si>
    <t>If you want this column analysed, add a row pointing to column HH on the Open, Closed, Hybrid, or Demographics sheet. If it isn't needed, delete the column on Responses.</t>
  </si>
  <si>
    <t>If you want this column analysed, add a row pointing to column HI on the Open, Closed, Hybrid, or Demographics sheet. If it isn't needed, delete the column on Responses.</t>
  </si>
  <si>
    <t>If you want this column analysed, add a row pointing to column HJ on the Open, Closed, Hybrid, or Demographics sheet. If it isn't needed, delete the column on Responses.</t>
  </si>
  <si>
    <t>If you want this column analysed, add a row pointing to column HK on the Open, Closed, Hybrid, or Demographics sheet. If it isn't needed, delete the column on Responses.</t>
  </si>
  <si>
    <t>If you want this column analysed, add a row pointing to column HL on the Open, Closed, Hybrid, or Demographics sheet. If it isn't needed, delete the column on Responses.</t>
  </si>
  <si>
    <t>If you want this column analysed, add a row pointing to column HM on the Open, Closed, Hybrid, or Demographics sheet. If it isn't needed, delete the column on Responses.</t>
  </si>
  <si>
    <t>If you want this column analysed, add a row pointing to column HN on the Open, Closed, Hybrid, or Demographics sheet. If it isn't needed, delete the column on Responses.</t>
  </si>
  <si>
    <t>If you want this column analysed, add a row pointing to column HO on the Open, Closed, Hybrid, or Demographics sheet. If it isn't needed, delete the column on Responses.</t>
  </si>
  <si>
    <t>If you want this column analysed, add a row pointing to column HP on the Open, Closed, Hybrid, or Demographics sheet. If it isn't needed, delete the column on Responses.</t>
  </si>
  <si>
    <t>If you want this column analysed, add a row pointing to column HQ on the Open, Closed, Hybrid, or Demographics sheet. If it isn't needed, delete the column on Responses.</t>
  </si>
  <si>
    <t>If you want this column analysed, add a row pointing to column HR on the Open, Closed, Hybrid, or Demographics sheet. If it isn't needed, delete the column on Responses.</t>
  </si>
  <si>
    <t>If you want this column analysed, add a row pointing to column HS on the Open, Closed, Hybrid, or Demographics sheet. If it isn't needed, delete the column on Responses.</t>
  </si>
  <si>
    <t>If you want this column analysed, add a row pointing to column HT on the Open, Closed, Hybrid, or Demographics sheet. If it isn't needed, delete the column on Responses.</t>
  </si>
  <si>
    <t>If you want this column analysed, add a row pointing to column HU on the Open, Closed, Hybrid, or Demographics sheet. If it isn't needed, delete the column on Responses.</t>
  </si>
  <si>
    <t>If you want this column analysed, add a row pointing to column HV on the Open, Closed, Hybrid, or Demographics sheet. If it isn't needed, delete the column on Responses.</t>
  </si>
  <si>
    <t>If you want this column analysed, add a row pointing to column HW on the Open, Closed, Hybrid, or Demographics sheet. If it isn't needed, delete the column on Responses.</t>
  </si>
  <si>
    <t>If you want this column analysed, add a row pointing to column HX on the Open, Closed, Hybrid, or Demographics sheet. If it isn't needed, delete the column on Responses.</t>
  </si>
  <si>
    <t>If you want this column analysed, add a row pointing to column HY on the Open, Closed, Hybrid, or Demographics sheet. If it isn't needed, delete the column on Responses.</t>
  </si>
  <si>
    <t>If you want this column analysed, add a row pointing to column HZ on the Open, Closed, Hybrid, or Demographics sheet. If it isn't needed, delete the column on Responses.</t>
  </si>
  <si>
    <t>If you want this column analysed, add a row pointing to column IA on the Open, Closed, Hybrid, or Demographics sheet. If it isn't needed, delete the column on Responses.</t>
  </si>
  <si>
    <t>If you want this column analysed, add a row pointing to column IB on the Open, Closed, Hybrid, or Demographics sheet. If it isn't needed, delete the column on Responses.</t>
  </si>
  <si>
    <t>If you want this column analysed, add a row pointing to column IC on the Open, Closed, Hybrid, or Demographics sheet. If it isn't needed, delete the column on Responses.</t>
  </si>
  <si>
    <t>If you want this column analysed, add a row pointing to column ID on the Open, Closed, Hybrid, or Demographics sheet. If it isn't needed, delete the column on Responses.</t>
  </si>
  <si>
    <t>If you want this column analysed, add a row pointing to column IE on the Open, Closed, Hybrid, or Demographics sheet. If it isn't needed, delete the column on Responses.</t>
  </si>
  <si>
    <t>If you want this column analysed, add a row pointing to column IF on the Open, Closed, Hybrid, or Demographics sheet. If it isn't needed, delete the column on Responses.</t>
  </si>
  <si>
    <t>If you want this column analysed, add a row pointing to column IG on the Open, Closed, Hybrid, or Demographics sheet. If it isn't needed, delete the column on Responses.</t>
  </si>
  <si>
    <t>If you want this column analysed, add a row pointing to column IH on the Open, Closed, Hybrid, or Demographics sheet. If it isn't needed, delete the column on Responses.</t>
  </si>
  <si>
    <t>If you want this column analysed, add a row pointing to column II on the Open, Closed, Hybrid, or Demographics sheet. If it isn't needed, delete the column on Responses.</t>
  </si>
  <si>
    <t>If you want this column analysed, add a row pointing to column IJ on the Open, Closed, Hybrid, or Demographics sheet. If it isn't needed, delete the column on Responses.</t>
  </si>
  <si>
    <t>If you want this column analysed, add a row pointing to column IK on the Open, Closed, Hybrid, or Demographics sheet. If it isn't needed, delete the column on Responses.</t>
  </si>
  <si>
    <t>If you want this column analysed, add a row pointing to column IL on the Open, Closed, Hybrid, or Demographics sheet. If it isn't needed, delete the column on Responses.</t>
  </si>
  <si>
    <t>If you want this column analysed, add a row pointing to column IM on the Open, Closed, Hybrid, or Demographics sheet. If it isn't needed, delete the column on Responses.</t>
  </si>
  <si>
    <t>If you want this column analysed, add a row pointing to column IN on the Open, Closed, Hybrid, or Demographics sheet. If it isn't needed, delete the column on Responses.</t>
  </si>
  <si>
    <t>If you want this column analysed, add a row pointing to column IO on the Open, Closed, Hybrid, or Demographics sheet. If it isn't needed, delete the column on Responses.</t>
  </si>
  <si>
    <t>If you want this column analysed, add a row pointing to column IP on the Open, Closed, Hybrid, or Demographics sheet. If it isn't needed, delete the column on Responses.</t>
  </si>
  <si>
    <t>If you want this column analysed, add a row pointing to column IQ on the Open, Closed, Hybrid, or Demographics sheet. If it isn't needed, delete the column on Responses.</t>
  </si>
  <si>
    <t>If you want this column analysed, add a row pointing to column IR on the Open, Closed, Hybrid, or Demographics sheet. If it isn't needed, delete the column on Responses.</t>
  </si>
  <si>
    <t>If you want this column analysed, add a row pointing to column IS on the Open, Closed, Hybrid, or Demographics sheet. If it isn't needed, delete the column on Responses.</t>
  </si>
  <si>
    <t>If you want this column analysed, add a row pointing to column IT on the Open, Closed, Hybrid, or Demographics sheet. If it isn't needed, delete the column on Responses.</t>
  </si>
  <si>
    <t>If you want this column analysed, add a row pointing to column IU on the Open, Closed, Hybrid, or Demographics sheet. If it isn't needed, delete the column on Responses.</t>
  </si>
  <si>
    <t>If you want this column analysed, add a row pointing to column IV on the Open, Closed, Hybrid, or Demographics sheet. If it isn't needed, delete the column on Responses.</t>
  </si>
  <si>
    <t>If you want this column analysed, add a row pointing to column IW on the Open, Closed, Hybrid, or Demographics sheet. If it isn't needed, delete the column on Responses.</t>
  </si>
  <si>
    <t>If you want this column analysed, add a row pointing to column IX on the Open, Closed, Hybrid, or Demographics sheet. If it isn't needed, delete the column on Responses.</t>
  </si>
  <si>
    <t>If you want this column analysed, add a row pointing to column IY on the Open, Closed, Hybrid, or Demographics sheet. If it isn't needed, delete the column on Responses.</t>
  </si>
  <si>
    <t>If you want this column analysed, add a row pointing to column IZ on the Open, Closed, Hybrid, or Demographics sheet. If it isn't needed, delete the column on Responses.</t>
  </si>
  <si>
    <t>If you want this column analysed, add a row pointing to column JA on the Open, Closed, Hybrid, or Demographics sheet. If it isn't needed, delete the column on Responses.</t>
  </si>
  <si>
    <t>If you want this column analysed, add a row pointing to column JB on the Open, Closed, Hybrid, or Demographics sheet. If it isn't needed, delete the column on Responses.</t>
  </si>
  <si>
    <t>If you want this column analysed, add a row pointing to column JC on the Open, Closed, Hybrid, or Demographics sheet. If it isn't needed, delete the column on Responses.</t>
  </si>
  <si>
    <t>If you want this column analysed, add a row pointing to column JD on the Open, Closed, Hybrid, or Demographics sheet. If it isn't needed, delete the column on Responses.</t>
  </si>
  <si>
    <t>If you want this column analysed, add a row pointing to column JE on the Open, Closed, Hybrid, or Demographics sheet. If it isn't needed, delete the column on Responses.</t>
  </si>
  <si>
    <t>If you want this column analysed, add a row pointing to column JF on the Open, Closed, Hybrid, or Demographics sheet. If it isn't needed, delete the column on Responses.</t>
  </si>
  <si>
    <t>If you want this column analysed, add a row pointing to column JG on the Open, Closed, Hybrid, or Demographics sheet. If it isn't needed, delete the column on Responses.</t>
  </si>
  <si>
    <t>If you want this column analysed, add a row pointing to column JH on the Open, Closed, Hybrid, or Demographics sheet. If it isn't needed, delete the column on Responses.</t>
  </si>
  <si>
    <t>If you want this column analysed, add a row pointing to column JI on the Open, Closed, Hybrid, or Demographics sheet. If it isn't needed, delete the column on Responses.</t>
  </si>
  <si>
    <t>If you want this column analysed, add a row pointing to column JJ on the Open, Closed, Hybrid, or Demographics sheet. If it isn't needed, delete the column on Responses.</t>
  </si>
  <si>
    <t>If you want this column analysed, add a row pointing to column JK on the Open, Closed, Hybrid, or Demographics sheet. If it isn't needed, delete the column on Responses.</t>
  </si>
  <si>
    <t>If you want this column analysed, add a row pointing to column JL on the Open, Closed, Hybrid, or Demographics sheet. If it isn't needed, delete the column on Responses.</t>
  </si>
  <si>
    <t>If you want this column analysed, add a row pointing to column JM on the Open, Closed, Hybrid, or Demographics sheet. If it isn't needed, delete the column on Responses.</t>
  </si>
  <si>
    <t>If you want this column analysed, add a row pointing to column JN on the Open, Closed, Hybrid, or Demographics sheet. If it isn't needed, delete the column on Responses.</t>
  </si>
  <si>
    <t>If you want this column analysed, add a row pointing to column JO on the Open, Closed, Hybrid, or Demographics sheet. If it isn't needed, delete the column on Responses.</t>
  </si>
  <si>
    <t>If you want this column analysed, add a row pointing to column JP on the Open, Closed, Hybrid, or Demographics sheet. If it isn't needed, delete the column on Responses.</t>
  </si>
  <si>
    <t>If you want this column analysed, add a row pointing to column JQ on the Open, Closed, Hybrid, or Demographics sheet. If it isn't needed, delete the column on Responses.</t>
  </si>
  <si>
    <t>If you want this column analysed, add a row pointing to column JR on the Open, Closed, Hybrid, or Demographics sheet. If it isn't needed, delete the column on Responses.</t>
  </si>
  <si>
    <t>If you want this column analysed, add a row pointing to column JS on the Open, Closed, Hybrid, or Demographics sheet. If it isn't needed, delete the column on Responses.</t>
  </si>
  <si>
    <t>If you want this column analysed, add a row pointing to column JT on the Open, Closed, Hybrid, or Demographics sheet. If it isn't needed, delete the column on Responses.</t>
  </si>
  <si>
    <t>If you want this column analysed, add a row pointing to column JU on the Open, Closed, Hybrid, or Demographics sheet. If it isn't needed, delete the column on Responses.</t>
  </si>
  <si>
    <t>If you want this column analysed, add a row pointing to column JV on the Open, Closed, Hybrid, or Demographics sheet. If it isn't needed, delete the column on Responses.</t>
  </si>
  <si>
    <t>If you want this column analysed, add a row pointing to column JW on the Open, Closed, Hybrid, or Demographics sheet. If it isn't needed, delete the column on Responses.</t>
  </si>
  <si>
    <t>If you want this column analysed, add a row pointing to column JX on the Open, Closed, Hybrid, or Demographics sheet. If it isn't needed, delete the column on Responses.</t>
  </si>
  <si>
    <t>If you want this column analysed, add a row pointing to column JY on the Open, Closed, Hybrid, or Demographics sheet. If it isn't needed, delete the column on Responses.</t>
  </si>
  <si>
    <t>If you want this column analysed, add a row pointing to column JZ on the Open, Closed, Hybrid, or Demographics sheet. If it isn't needed, delete the column on Responses.</t>
  </si>
  <si>
    <t>If you want this column analysed, add a row pointing to column KA on the Open, Closed, Hybrid, or Demographics sheet. If it isn't needed, delete the column on Responses.</t>
  </si>
  <si>
    <t>If you want this column analysed, add a row pointing to column KB on the Open, Closed, Hybrid, or Demographics sheet. If it isn't needed, delete the column on Responses.</t>
  </si>
  <si>
    <t>If you want this column analysed, add a row pointing to column KC on the Open, Closed, Hybrid, or Demographics sheet. If it isn't needed, delete the column on Responses.</t>
  </si>
  <si>
    <t>If you want this column analysed, add a row pointing to column KD on the Open, Closed, Hybrid, or Demographics sheet. If it isn't needed, delete the column on Responses.</t>
  </si>
  <si>
    <t>If you want this column analysed, add a row pointing to column KE on the Open, Closed, Hybrid, or Demographics sheet. If it isn't needed, delete the column on Responses.</t>
  </si>
  <si>
    <t>If you want this column analysed, add a row pointing to column KF on the Open, Closed, Hybrid, or Demographics sheet. If it isn't needed, delete the column on Responses.</t>
  </si>
  <si>
    <t>If you want this column analysed, add a row pointing to column KG on the Open, Closed, Hybrid, or Demographics sheet. If it isn't needed, delete the column on Responses.</t>
  </si>
  <si>
    <t>If you want this column analysed, add a row pointing to column KH on the Open, Closed, Hybrid, or Demographics sheet. If it isn't needed, delete the column on Responses.</t>
  </si>
  <si>
    <t>If you want this column analysed, add a row pointing to column KI on the Open, Closed, Hybrid, or Demographics sheet. If it isn't needed, delete the column on Responses.</t>
  </si>
  <si>
    <t>If you want this column analysed, add a row pointing to column KJ on the Open, Closed, Hybrid, or Demographics sheet. If it isn't needed, delete the column on Responses.</t>
  </si>
  <si>
    <t>If you want this column analysed, add a row pointing to column KK on the Open, Closed, Hybrid, or Demographics sheet. If it isn't needed, delete the column on Responses.</t>
  </si>
  <si>
    <t>If you want this column analysed, add a row pointing to column KL on the Open, Closed, Hybrid, or Demographics sheet. If it isn't needed, delete the column on Responses.</t>
  </si>
  <si>
    <t>If you want this column analysed, add a row pointing to column KM on the Open, Closed, Hybrid, or Demographics sheet. If it isn't needed, delete the column on Responses.</t>
  </si>
  <si>
    <t>If you want this column analysed, add a row pointing to column KN on the Open, Closed, Hybrid, or Demographics sheet. If it isn't needed, delete the column on Responses.</t>
  </si>
  <si>
    <t>If you want this column analysed, add a row pointing to column KO on the Open, Closed, Hybrid, or Demographics sheet. If it isn't needed, delete the column on Responses.</t>
  </si>
  <si>
    <t>If you want this column analysed, add a row pointing to column KP on the Open, Closed, Hybrid, or Demographics sheet. If it isn't needed, delete the column on Responses.</t>
  </si>
  <si>
    <t>If you want this column analysed, add a row pointing to column KQ on the Open, Closed, Hybrid, or Demographics sheet. If it isn't needed, delete the column on Responses.</t>
  </si>
  <si>
    <t>If you want this column analysed, add a row pointing to column KR on the Open, Closed, Hybrid, or Demographics sheet. If it isn't needed, delete the column on Responses.</t>
  </si>
  <si>
    <t>If you want this column analysed, add a row pointing to column KS on the Open, Closed, Hybrid, or Demographics sheet. If it isn't needed, delete the column on Responses.</t>
  </si>
  <si>
    <t>If you want this column analysed, add a row pointing to column KT on the Open, Closed, Hybrid, or Demographics sheet. If it isn't needed, delete the column on Responses.</t>
  </si>
  <si>
    <t>If you want this column analysed, add a row pointing to column KU on the Open, Closed, Hybrid, or Demographics sheet. If it isn't needed, delete the column on Responses.</t>
  </si>
  <si>
    <t>If you want this column analysed, add a row pointing to column KV on the Open, Closed, Hybrid, or Demographics sheet. If it isn't needed, delete the column on Responses.</t>
  </si>
  <si>
    <t>If you want this column analysed, add a row pointing to column KW on the Open, Closed, Hybrid, or Demographics sheet. If it isn't needed, delete the column on Responses.</t>
  </si>
  <si>
    <t>If you want this column analysed, add a row pointing to column KX on the Open, Closed, Hybrid, or Demographics sheet. If it isn't needed, delete the column on Responses.</t>
  </si>
  <si>
    <t>If you want this column analysed, add a row pointing to column KY on the Open, Closed, Hybrid, or Demographics sheet. If it isn't needed, delete the column on Responses.</t>
  </si>
  <si>
    <t>If you want this column analysed, add a row pointing to column KZ on the Open, Closed, Hybrid, or Demographics sheet. If it isn't needed, delete the column on Responses.</t>
  </si>
  <si>
    <t>If you want this column analysed, add a row pointing to column LA on the Open, Closed, Hybrid, or Demographics sheet. If it isn't needed, delete the column on Responses.</t>
  </si>
  <si>
    <t>If you want this column analysed, add a row pointing to column LB on the Open, Closed, Hybrid, or Demographics sheet. If it isn't needed, delete the column on Responses.</t>
  </si>
  <si>
    <t>If you want this column analysed, add a row pointing to column LC on the Open, Closed, Hybrid, or Demographics sheet. If it isn't needed, delete the column on Responses.</t>
  </si>
  <si>
    <t>If you want this column analysed, add a row pointing to column LD on the Open, Closed, Hybrid, or Demographics sheet. If it isn't needed, delete the column on Responses.</t>
  </si>
  <si>
    <t>If you want this column analysed, add a row pointing to column LE on the Open, Closed, Hybrid, or Demographics sheet. If it isn't needed, delete the column on Responses.</t>
  </si>
  <si>
    <t>If you want this column analysed, add a row pointing to column LF on the Open, Closed, Hybrid, or Demographics sheet. If it isn't needed, delete the column on Responses.</t>
  </si>
  <si>
    <t>If you want this column analysed, add a row pointing to column LG on the Open, Closed, Hybrid, or Demographics sheet. If it isn't needed, delete the column on Responses.</t>
  </si>
  <si>
    <t>If you want this column analysed, add a row pointing to column LH on the Open, Closed, Hybrid, or Demographics sheet. If it isn't needed, delete the column on Responses.</t>
  </si>
  <si>
    <t>If you want this column analysed, add a row pointing to column LI on the Open, Closed, Hybrid, or Demographics sheet. If it isn't needed, delete the column on Responses.</t>
  </si>
  <si>
    <t>If you want this column analysed, add a row pointing to column LJ on the Open, Closed, Hybrid, or Demographics sheet. If it isn't needed, delete the column on Responses.</t>
  </si>
  <si>
    <t>If you want this column analysed, add a row pointing to column LK on the Open, Closed, Hybrid, or Demographics sheet. If it isn't needed, delete the column on Responses.</t>
  </si>
  <si>
    <t>If you want this column analysed, add a row pointing to column LL on the Open, Closed, Hybrid, or Demographics sheet. If it isn't needed, delete the column on Responses.</t>
  </si>
  <si>
    <t>If you want this column analysed, add a row pointing to column LM on the Open, Closed, Hybrid, or Demographics sheet. If it isn't needed, delete the column on Responses.</t>
  </si>
  <si>
    <t>If you want this column analysed, add a row pointing to column LN on the Open, Closed, Hybrid, or Demographics sheet. If it isn't needed, delete the column on Responses.</t>
  </si>
  <si>
    <t>If you want this column analysed, add a row pointing to column LO on the Open, Closed, Hybrid, or Demographics sheet. If it isn't needed, delete the column on Responses.</t>
  </si>
  <si>
    <t>If you want this column analysed, add a row pointing to column LP on the Open, Closed, Hybrid, or Demographics sheet. If it isn't needed, delete the column on Responses.</t>
  </si>
  <si>
    <t>If you want this column analysed, add a row pointing to column LQ on the Open, Closed, Hybrid, or Demographics sheet. If it isn't needed, delete the column on Responses.</t>
  </si>
  <si>
    <t>If you want this column analysed, add a row pointing to column LR on the Open, Closed, Hybrid, or Demographics sheet. If it isn't needed, delete the column on Responses.</t>
  </si>
  <si>
    <t>If you want this column analysed, add a row pointing to column LS on the Open, Closed, Hybrid, or Demographics sheet. If it isn't needed, delete the column on Responses.</t>
  </si>
  <si>
    <t>If you want this column analysed, add a row pointing to column LT on the Open, Closed, Hybrid, or Demographics sheet. If it isn't needed, delete the column on Responses.</t>
  </si>
  <si>
    <t>If you want this column analysed, add a row pointing to column LU on the Open, Closed, Hybrid, or Demographics sheet. If it isn't needed, delete the column on Responses.</t>
  </si>
  <si>
    <t>If you want this column analysed, add a row pointing to column LV on the Open, Closed, Hybrid, or Demographics sheet. If it isn't needed, delete the column on Responses.</t>
  </si>
  <si>
    <t>If you want this column analysed, add a row pointing to column LW on the Open, Closed, Hybrid, or Demographics sheet. If it isn't needed, delete the column on Responses.</t>
  </si>
  <si>
    <t>If you want this column analysed, add a row pointing to column LX on the Open, Closed, Hybrid, or Demographics sheet. If it isn't needed, delete the column on Responses.</t>
  </si>
  <si>
    <t>If you want this column analysed, add a row pointing to column LY on the Open, Closed, Hybrid, or Demographics sheet. If it isn't needed, delete the column on Responses.</t>
  </si>
  <si>
    <t>If you want this column analysed, add a row pointing to column LZ on the Open, Closed, Hybrid, or Demographics sheet. If it isn't needed, delete the column on Responses.</t>
  </si>
  <si>
    <t>If you want this column analysed, add a row pointing to column MA on the Open, Closed, Hybrid, or Demographics sheet. If it isn't needed, delete the column on Responses.</t>
  </si>
  <si>
    <t>If you want this column analysed, add a row pointing to column MB on the Open, Closed, Hybrid, or Demographics sheet. If it isn't needed, delete the column on Responses.</t>
  </si>
  <si>
    <t>If you want this column analysed, add a row pointing to column MC on the Open, Closed, Hybrid, or Demographics sheet. If it isn't needed, delete the column on Responses.</t>
  </si>
  <si>
    <t>If you want this column analysed, add a row pointing to column MD on the Open, Closed, Hybrid, or Demographics sheet. If it isn't needed, delete the column on Responses.</t>
  </si>
  <si>
    <t>If you want this column analysed, add a row pointing to column ME on the Open, Closed, Hybrid, or Demographics sheet. If it isn't needed, delete the column on Responses.</t>
  </si>
  <si>
    <t>If you want this column analysed, add a row pointing to column MF on the Open, Closed, Hybrid, or Demographics sheet. If it isn't needed, delete the column on Responses.</t>
  </si>
  <si>
    <t>If you want this column analysed, add a row pointing to column MG on the Open, Closed, Hybrid, or Demographics sheet. If it isn't needed, delete the column on Responses.</t>
  </si>
  <si>
    <t>If you want this column analysed, add a row pointing to column MH on the Open, Closed, Hybrid, or Demographics sheet. If it isn't needed, delete the column on Responses.</t>
  </si>
  <si>
    <t>If you want this column analysed, add a row pointing to column MI on the Open, Closed, Hybrid, or Demographics sheet. If it isn't needed, delete the column on Responses.</t>
  </si>
  <si>
    <t>If you want this column analysed, add a row pointing to column MJ on the Open, Closed, Hybrid, or Demographics sheet. If it isn't needed, delete the column on Responses.</t>
  </si>
  <si>
    <t>If you want this column analysed, add a row pointing to column MK on the Open, Closed, Hybrid, or Demographics sheet. If it isn't needed, delete the column on Responses.</t>
  </si>
  <si>
    <t>If you want this column analysed, add a row pointing to column ML on the Open, Closed, Hybrid, or Demographics sheet. If it isn't needed, delete the column on Responses.</t>
  </si>
  <si>
    <t>If you want this column analysed, add a row pointing to column MM on the Open, Closed, Hybrid, or Demographics sheet. If it isn't needed, delete the column on Responses.</t>
  </si>
  <si>
    <t>If you want this column analysed, add a row pointing to column MN on the Open, Closed, Hybrid, or Demographics sheet. If it isn't needed, delete the column on Responses.</t>
  </si>
  <si>
    <t>If you want this column analysed, add a row pointing to column MO on the Open, Closed, Hybrid, or Demographics sheet. If it isn't needed, delete the column on Responses.</t>
  </si>
  <si>
    <t>If you want this column analysed, add a row pointing to column MP on the Open, Closed, Hybrid, or Demographics sheet. If it isn't needed, delete the column on Responses.</t>
  </si>
  <si>
    <t>If you want this column analysed, add a row pointing to column MQ on the Open, Closed, Hybrid, or Demographics sheet. If it isn't needed, delete the column on Responses.</t>
  </si>
  <si>
    <t>If you want this column analysed, add a row pointing to column MR on the Open, Closed, Hybrid, or Demographics sheet. If it isn't needed, delete the column on Responses.</t>
  </si>
  <si>
    <t>If you want this column analysed, add a row pointing to column MS on the Open, Closed, Hybrid, or Demographics sheet. If it isn't needed, delete the column on Responses.</t>
  </si>
  <si>
    <t>If you want this column analysed, add a row pointing to column MT on the Open, Closed, Hybrid, or Demographics sheet. If it isn't needed, delete the column on Responses.</t>
  </si>
  <si>
    <t>If you want this column analysed, add a row pointing to column MU on the Open, Closed, Hybrid, or Demographics sheet. If it isn't needed, delete the column on Responses.</t>
  </si>
  <si>
    <t>If you want this column analysed, add a row pointing to column MV on the Open, Closed, Hybrid, or Demographics sheet. If it isn't needed, delete the column on Responses.</t>
  </si>
  <si>
    <t>If you want this column analysed, add a row pointing to column MW on the Open, Closed, Hybrid, or Demographics sheet. If it isn't needed, delete the column on Responses.</t>
  </si>
  <si>
    <t>If you want this column analysed, add a row pointing to column MX on the Open, Closed, Hybrid, or Demographics sheet. If it isn't needed, delete the column on Responses.</t>
  </si>
  <si>
    <t>If you want this column analysed, add a row pointing to column MY on the Open, Closed, Hybrid, or Demographics sheet. If it isn't needed, delete the column on Responses.</t>
  </si>
  <si>
    <t>If you want this column analysed, add a row pointing to column MZ on the Open, Closed, Hybrid, or Demographics sheet. If it isn't needed, delete the column on Responses.</t>
  </si>
  <si>
    <t>If you want this column analysed, add a row pointing to column NA on the Open, Closed, Hybrid, or Demographics sheet. If it isn't needed, delete the column on Responses.</t>
  </si>
  <si>
    <t>If you want this column analysed, add a row pointing to column NB on the Open, Closed, Hybrid, or Demographics sheet. If it isn't needed, delete the column on Responses.</t>
  </si>
  <si>
    <t>If you want this column analysed, add a row pointing to column NC on the Open, Closed, Hybrid, or Demographics sheet. If it isn't needed, delete the column on Responses.</t>
  </si>
  <si>
    <t>If you want this column analysed, add a row pointing to column ND on the Open, Closed, Hybrid, or Demographics sheet. If it isn't needed, delete the column on Responses.</t>
  </si>
  <si>
    <t>If you want this column analysed, add a row pointing to column NE on the Open, Closed, Hybrid, or Demographics sheet. If it isn't needed, delete the column on Responses.</t>
  </si>
  <si>
    <t>If you want this column analysed, add a row pointing to column NF on the Open, Closed, Hybrid, or Demographics sheet. If it isn't needed, delete the column on Responses.</t>
  </si>
  <si>
    <t>If you want this column analysed, add a row pointing to column NG on the Open, Closed, Hybrid, or Demographics sheet. If it isn't needed, delete the column on Responses.</t>
  </si>
  <si>
    <t>If you want this column analysed, add a row pointing to column NH on the Open, Closed, Hybrid, or Demographics sheet. If it isn't needed, delete the column on Responses.</t>
  </si>
  <si>
    <t>If you want this column analysed, add a row pointing to column NI on the Open, Closed, Hybrid, or Demographics sheet. If it isn't needed, delete the column on Responses.</t>
  </si>
  <si>
    <t>If you want this column analysed, add a row pointing to column NJ on the Open, Closed, Hybrid, or Demographics sheet. If it isn't needed, delete the column on Responses.</t>
  </si>
  <si>
    <t>If you want this column analysed, add a row pointing to column NK on the Open, Closed, Hybrid, or Demographics sheet. If it isn't needed, delete the column on Responses.</t>
  </si>
  <si>
    <t>If you want this column analysed, add a row pointing to column NL on the Open, Closed, Hybrid, or Demographics sheet. If it isn't needed, delete the column on Responses.</t>
  </si>
  <si>
    <t>If you want this column analysed, add a row pointing to column NM on the Open, Closed, Hybrid, or Demographics sheet. If it isn't needed, delete the column on Responses.</t>
  </si>
  <si>
    <t>If you want this column analysed, add a row pointing to column NN on the Open, Closed, Hybrid, or Demographics sheet. If it isn't needed, delete the column on Responses.</t>
  </si>
  <si>
    <t>If you want this column analysed, add a row pointing to column NO on the Open, Closed, Hybrid, or Demographics sheet. If it isn't needed, delete the column on Responses.</t>
  </si>
  <si>
    <t>If you want this column analysed, add a row pointing to column NP on the Open, Closed, Hybrid, or Demographics sheet. If it isn't needed, delete the column on Responses.</t>
  </si>
  <si>
    <t>If you want this column analysed, add a row pointing to column NQ on the Open, Closed, Hybrid, or Demographics sheet. If it isn't needed, delete the column on Responses.</t>
  </si>
  <si>
    <t>If you want this column analysed, add a row pointing to column NR on the Open, Closed, Hybrid, or Demographics sheet. If it isn't needed, delete the column on Responses.</t>
  </si>
  <si>
    <t>If you want this column analysed, add a row pointing to column NS on the Open, Closed, Hybrid, or Demographics sheet. If it isn't needed, delete the column on Responses.</t>
  </si>
  <si>
    <t>If you want this column analysed, add a row pointing to column NT on the Open, Closed, Hybrid, or Demographics sheet. If it isn't needed, delete the column on Responses.</t>
  </si>
  <si>
    <t>If you want this column analysed, add a row pointing to column NU on the Open, Closed, Hybrid, or Demographics sheet. If it isn't needed, delete the column on Responses.</t>
  </si>
  <si>
    <t>If you want this column analysed, add a row pointing to column NV on the Open, Closed, Hybrid, or Demographics sheet. If it isn't needed, delete the column on Responses.</t>
  </si>
  <si>
    <t>If you want this column analysed, add a row pointing to column NW on the Open, Closed, Hybrid, or Demographics sheet. If it isn't needed, delete the column on Responses.</t>
  </si>
  <si>
    <t>If you want this column analysed, add a row pointing to column NX on the Open, Closed, Hybrid, or Demographics sheet. If it isn't needed, delete the column on Responses.</t>
  </si>
  <si>
    <t>If you want this column analysed, add a row pointing to column NY on the Open, Closed, Hybrid, or Demographics sheet. If it isn't needed, delete the column on Responses.</t>
  </si>
  <si>
    <t>If you want this column analysed, add a row pointing to column NZ on the Open, Closed, Hybrid, or Demographics sheet. If it isn't needed, delete the column on Responses.</t>
  </si>
  <si>
    <t>If you want this column analysed, add a row pointing to column OA on the Open, Closed, Hybrid, or Demographics sheet. If it isn't needed, delete the column on Responses.</t>
  </si>
  <si>
    <t>If you want this column analysed, add a row pointing to column OB on the Open, Closed, Hybrid, or Demographics sheet. If it isn't needed, delete the column on Responses.</t>
  </si>
  <si>
    <t>If you want this column analysed, add a row pointing to column OC on the Open, Closed, Hybrid, or Demographics sheet. If it isn't needed, delete the column on Responses.</t>
  </si>
  <si>
    <t>If you want this column analysed, add a row pointing to column OD on the Open, Closed, Hybrid, or Demographics sheet. If it isn't needed, delete the column on Responses.</t>
  </si>
  <si>
    <t>If you want this column analysed, add a row pointing to column OE on the Open, Closed, Hybrid, or Demographics sheet. If it isn't needed, delete the column on Responses.</t>
  </si>
  <si>
    <t>If you want this column analysed, add a row pointing to column OF on the Open, Closed, Hybrid, or Demographics sheet. If it isn't needed, delete the column on Responses.</t>
  </si>
  <si>
    <t>If you want this column analysed, add a row pointing to column OG on the Open, Closed, Hybrid, or Demographics sheet. If it isn't needed, delete the column on Responses.</t>
  </si>
  <si>
    <t>If you want this column analysed, add a row pointing to column OH on the Open, Closed, Hybrid, or Demographics sheet. If it isn't needed, delete the column on Responses.</t>
  </si>
  <si>
    <t>If you want this column analysed, add a row pointing to column OI on the Open, Closed, Hybrid, or Demographics sheet. If it isn't needed, delete the column on Responses.</t>
  </si>
  <si>
    <t>If you want this column analysed, add a row pointing to column OJ on the Open, Closed, Hybrid, or Demographics sheet. If it isn't needed, delete the column on Responses.</t>
  </si>
  <si>
    <t>If you want this column analysed, add a row pointing to column OK on the Open, Closed, Hybrid, or Demographics sheet. If it isn't needed, delete the column on Responses.</t>
  </si>
  <si>
    <t>If you want this column analysed, add a row pointing to column OL on the Open, Closed, Hybrid, or Demographics sheet. If it isn't needed, delete the column on Responses.</t>
  </si>
  <si>
    <t>If you want this column analysed, add a row pointing to column OM on the Open, Closed, Hybrid, or Demographics sheet. If it isn't needed, delete the column on Responses.</t>
  </si>
  <si>
    <t>If you want this column analysed, add a row pointing to column ON on the Open, Closed, Hybrid, or Demographics sheet. If it isn't needed, delete the column on Responses.</t>
  </si>
  <si>
    <t>If you want this column analysed, add a row pointing to column OO on the Open, Closed, Hybrid, or Demographics sheet. If it isn't needed, delete the column on Responses.</t>
  </si>
  <si>
    <t>If you want this column analysed, add a row pointing to column OP on the Open, Closed, Hybrid, or Demographics sheet. If it isn't needed, delete the column on Responses.</t>
  </si>
  <si>
    <t>If you want this column analysed, add a row pointing to column OQ on the Open, Closed, Hybrid, or Demographics sheet. If it isn't needed, delete the column on Responses.</t>
  </si>
  <si>
    <t>If you want this column analysed, add a row pointing to column OR on the Open, Closed, Hybrid, or Demographics sheet. If it isn't needed, delete the column on Responses.</t>
  </si>
  <si>
    <t>If you want this column analysed, add a row pointing to column OS on the Open, Closed, Hybrid, or Demographics sheet. If it isn't needed, delete the column on Responses.</t>
  </si>
  <si>
    <t>If you want this column analysed, add a row pointing to column OT on the Open, Closed, Hybrid, or Demographics sheet. If it isn't needed, delete the column on Responses.</t>
  </si>
  <si>
    <t>If you want this column analysed, add a row pointing to column OU on the Open, Closed, Hybrid, or Demographics sheet. If it isn't needed, delete the column on Responses.</t>
  </si>
  <si>
    <t>If you want this column analysed, add a row pointing to column OV on the Open, Closed, Hybrid, or Demographics sheet. If it isn't needed, delete the column on Responses.</t>
  </si>
  <si>
    <t>If you want this column analysed, add a row pointing to column OW on the Open, Closed, Hybrid, or Demographics sheet. If it isn't needed, delete the column on Responses.</t>
  </si>
  <si>
    <t>If you want this column analysed, add a row pointing to column OX on the Open, Closed, Hybrid, or Demographics sheet. If it isn't needed, delete the column on Responses.</t>
  </si>
  <si>
    <t>If you want this column analysed, add a row pointing to column OY on the Open, Closed, Hybrid, or Demographics sheet. If it isn't needed, delete the column on Responses.</t>
  </si>
  <si>
    <t>If you want this column analysed, add a row pointing to column OZ on the Open, Closed, Hybrid, or Demographics sheet. If it isn't needed, delete the column on Responses.</t>
  </si>
  <si>
    <t>If you want this column analysed, add a row pointing to column PA on the Open, Closed, Hybrid, or Demographics sheet. If it isn't needed, delete the column on Responses.</t>
  </si>
  <si>
    <t>If you want this column analysed, add a row pointing to column PB on the Open, Closed, Hybrid, or Demographics sheet. If it isn't needed, delete the column on Responses.</t>
  </si>
  <si>
    <t>If you want this column analysed, add a row pointing to column PC on the Open, Closed, Hybrid, or Demographics sheet. If it isn't needed, delete the column on Responses.</t>
  </si>
  <si>
    <t>If you want this column analysed, add a row pointing to column PD on the Open, Closed, Hybrid, or Demographics sheet. If it isn't needed, delete the column on Responses.</t>
  </si>
  <si>
    <t>If you want this column analysed, add a row pointing to column PE on the Open, Closed, Hybrid, or Demographics sheet. If it isn't needed, delete the column on Responses.</t>
  </si>
  <si>
    <t>If you want this column analysed, add a row pointing to column PF on the Open, Closed, Hybrid, or Demographics sheet. If it isn't needed, delete the column on Responses.</t>
  </si>
  <si>
    <t>If you want this column analysed, add a row pointing to column PG on the Open, Closed, Hybrid, or Demographics sheet. If it isn't needed, delete the column on Responses.</t>
  </si>
  <si>
    <t>If you want this column analysed, add a row pointing to column PH on the Open, Closed, Hybrid, or Demographics sheet. If it isn't needed, delete the column on Responses.</t>
  </si>
  <si>
    <t>If you want this column analysed, add a row pointing to column PI on the Open, Closed, Hybrid, or Demographics sheet. If it isn't needed, delete the column on Responses.</t>
  </si>
  <si>
    <t>If you want this column analysed, add a row pointing to column PJ on the Open, Closed, Hybrid, or Demographics sheet. If it isn't needed, delete the column on Responses.</t>
  </si>
  <si>
    <t>If you want this column analysed, add a row pointing to column PK on the Open, Closed, Hybrid, or Demographics sheet. If it isn't needed, delete the column on Responses.</t>
  </si>
  <si>
    <t>If you want this column analysed, add a row pointing to column PL on the Open, Closed, Hybrid, or Demographics sheet. If it isn't needed, delete the column on Responses.</t>
  </si>
  <si>
    <t>If you want this column analysed, add a row pointing to column PM on the Open, Closed, Hybrid, or Demographics sheet. If it isn't needed, delete the column on Responses.</t>
  </si>
  <si>
    <t>If you want this column analysed, add a row pointing to column PN on the Open, Closed, Hybrid, or Demographics sheet. If it isn't needed, delete the column on Responses.</t>
  </si>
  <si>
    <t>If you want this column analysed, add a row pointing to column PO on the Open, Closed, Hybrid, or Demographics sheet. If it isn't needed, delete the column on Responses.</t>
  </si>
  <si>
    <t>If you want this column analysed, add a row pointing to column PP on the Open, Closed, Hybrid, or Demographics sheet. If it isn't needed, delete the column on Responses.</t>
  </si>
  <si>
    <t>If you want this column analysed, add a row pointing to column PQ on the Open, Closed, Hybrid, or Demographics sheet. If it isn't needed, delete the column on Responses.</t>
  </si>
  <si>
    <t>If you want this column analysed, add a row pointing to column PR on the Open, Closed, Hybrid, or Demographics sheet. If it isn't needed, delete the column on Responses.</t>
  </si>
  <si>
    <t>If you want this column analysed, add a row pointing to column PS on the Open, Closed, Hybrid, or Demographics sheet. If it isn't needed, delete the column on Responses.</t>
  </si>
  <si>
    <t>If you want this column analysed, add a row pointing to column PT on the Open, Closed, Hybrid, or Demographics sheet. If it isn't needed, delete the column on Responses.</t>
  </si>
  <si>
    <t>If you want this column analysed, add a row pointing to column PU on the Open, Closed, Hybrid, or Demographics sheet. If it isn't needed, delete the column on Responses.</t>
  </si>
  <si>
    <t>If you want this column analysed, add a row pointing to column PV on the Open, Closed, Hybrid, or Demographics sheet. If it isn't needed, delete the column on Responses.</t>
  </si>
  <si>
    <t>If you want this column analysed, add a row pointing to column PW on the Open, Closed, Hybrid, or Demographics sheet. If it isn't needed, delete the column on Responses.</t>
  </si>
  <si>
    <t>If you want this column analysed, add a row pointing to column PX on the Open, Closed, Hybrid, or Demographics sheet. If it isn't needed, delete the column on Responses.</t>
  </si>
  <si>
    <t>If you want this column analysed, add a row pointing to column PY on the Open, Closed, Hybrid, or Demographics sheet. If it isn't needed, delete the column on Responses.</t>
  </si>
  <si>
    <t>If you want this column analysed, add a row pointing to column PZ on the Open, Closed, Hybrid, or Demographics sheet. If it isn't needed, delete the column on Responses.</t>
  </si>
  <si>
    <t>If you want this column analysed, add a row pointing to column QA on the Open, Closed, Hybrid, or Demographics sheet. If it isn't needed, delete the column on Responses.</t>
  </si>
  <si>
    <t>If you want this column analysed, add a row pointing to column QB on the Open, Closed, Hybrid, or Demographics sheet. If it isn't needed, delete the column on Responses.</t>
  </si>
  <si>
    <t>If you want this column analysed, add a row pointing to column QC on the Open, Closed, Hybrid, or Demographics sheet. If it isn't needed, delete the column on Responses.</t>
  </si>
  <si>
    <t>If you want this column analysed, add a row pointing to column QD on the Open, Closed, Hybrid, or Demographics sheet. If it isn't needed, delete the column on Responses.</t>
  </si>
  <si>
    <t>If you want this column analysed, add a row pointing to column QE on the Open, Closed, Hybrid, or Demographics sheet. If it isn't needed, delete the column on Responses.</t>
  </si>
  <si>
    <t>If you want this column analysed, add a row pointing to column QF on the Open, Closed, Hybrid, or Demographics sheet. If it isn't needed, delete the column on Responses.</t>
  </si>
  <si>
    <t>If you want this column analysed, add a row pointing to column QG on the Open, Closed, Hybrid, or Demographics sheet. If it isn't needed, delete the column on Responses.</t>
  </si>
  <si>
    <t>If you want this column analysed, add a row pointing to column QH on the Open, Closed, Hybrid, or Demographics sheet. If it isn't needed, delete the column on Responses.</t>
  </si>
  <si>
    <t>If you want this column analysed, add a row pointing to column QI on the Open, Closed, Hybrid, or Demographics sheet. If it isn't needed, delete the column on Responses.</t>
  </si>
  <si>
    <t>If you want this column analysed, add a row pointing to column QJ on the Open, Closed, Hybrid, or Demographics sheet. If it isn't needed, delete the column on Responses.</t>
  </si>
  <si>
    <t>If you want this column analysed, add a row pointing to column QK on the Open, Closed, Hybrid, or Demographics sheet. If it isn't needed, delete the column on Responses.</t>
  </si>
  <si>
    <t>If you want this column analysed, add a row pointing to column QL on the Open, Closed, Hybrid, or Demographics sheet. If it isn't needed, delete the column on Responses.</t>
  </si>
  <si>
    <t>If you want this column analysed, add a row pointing to column QM on the Open, Closed, Hybrid, or Demographics sheet. If it isn't needed, delete the column on Responses.</t>
  </si>
  <si>
    <t>If you want this column analysed, add a row pointing to column QN on the Open, Closed, Hybrid, or Demographics sheet. If it isn't needed, delete the column on Responses.</t>
  </si>
  <si>
    <t>If you want this column analysed, add a row pointing to column QO on the Open, Closed, Hybrid, or Demographics sheet. If it isn't needed, delete the column on Responses.</t>
  </si>
  <si>
    <t>If you want this column analysed, add a row pointing to column QP on the Open, Closed, Hybrid, or Demographics sheet. If it isn't needed, delete the column on Responses.</t>
  </si>
  <si>
    <t>If you want this column analysed, add a row pointing to column QQ on the Open, Closed, Hybrid, or Demographics sheet. If it isn't needed, delete the column on Responses.</t>
  </si>
  <si>
    <t>If you want this column analysed, add a row pointing to column QR on the Open, Closed, Hybrid, or Demographics sheet. If it isn't needed, delete the column on Responses.</t>
  </si>
  <si>
    <t>If you want this column analysed, add a row pointing to column QS on the Open, Closed, Hybrid, or Demographics sheet. If it isn't needed, delete the column on Responses.</t>
  </si>
  <si>
    <t>If you want this column analysed, add a row pointing to column QT on the Open, Closed, Hybrid, or Demographics sheet. If it isn't needed, delete the column on Responses.</t>
  </si>
  <si>
    <t>If you want this column analysed, add a row pointing to column QU on the Open, Closed, Hybrid, or Demographics sheet. If it isn't needed, delete the column on Responses.</t>
  </si>
  <si>
    <t>If you want this column analysed, add a row pointing to column QV on the Open, Closed, Hybrid, or Demographics sheet. If it isn't needed, delete the column on Responses.</t>
  </si>
  <si>
    <t>If you want this column analysed, add a row pointing to column QW on the Open, Closed, Hybrid, or Demographics sheet. If it isn't needed, delete the column on Responses.</t>
  </si>
  <si>
    <t>If you want this column analysed, add a row pointing to column QX on the Open, Closed, Hybrid, or Demographics sheet. If it isn't needed, delete the column on Responses.</t>
  </si>
  <si>
    <t>If you want this column analysed, add a row pointing to column QY on the Open, Closed, Hybrid, or Demographics sheet. If it isn't needed, delete the column on Responses.</t>
  </si>
  <si>
    <t>If you want this column analysed, add a row pointing to column QZ on the Open, Closed, Hybrid, or Demographics sheet. If it isn't needed, delete the column on Responses.</t>
  </si>
  <si>
    <t>If you want this column analysed, add a row pointing to column RA on the Open, Closed, Hybrid, or Demographics sheet. If it isn't needed, delete the column on Responses.</t>
  </si>
  <si>
    <t>If you want this column analysed, add a row pointing to column RB on the Open, Closed, Hybrid, or Demographics sheet. If it isn't needed, delete the column on Responses.</t>
  </si>
  <si>
    <t>If you want this column analysed, add a row pointing to column RC on the Open, Closed, Hybrid, or Demographics sheet. If it isn't needed, delete the column on Responses.</t>
  </si>
  <si>
    <t>If you want this column analysed, add a row pointing to column RD on the Open, Closed, Hybrid, or Demographics sheet. If it isn't needed, delete the column on Responses.</t>
  </si>
  <si>
    <t>If you want this column analysed, add a row pointing to column RE on the Open, Closed, Hybrid, or Demographics sheet. If it isn't needed, delete the column on Responses.</t>
  </si>
  <si>
    <t>If you want this column analysed, add a row pointing to column RF on the Open, Closed, Hybrid, or Demographics sheet. If it isn't needed, delete the column on Responses.</t>
  </si>
  <si>
    <t>If you want this column analysed, add a row pointing to column RG on the Open, Closed, Hybrid, or Demographics sheet. If it isn't needed, delete the column on Responses.</t>
  </si>
  <si>
    <t>If you want this column analysed, add a row pointing to column RH on the Open, Closed, Hybrid, or Demographics sheet. If it isn't needed, delete the column on Responses.</t>
  </si>
  <si>
    <t>If you want this column analysed, add a row pointing to column RI on the Open, Closed, Hybrid, or Demographics sheet. If it isn't needed, delete the column on Responses.</t>
  </si>
  <si>
    <t>If you want this column analysed, add a row pointing to column RJ on the Open, Closed, Hybrid, or Demographics sheet. If it isn't needed, delete the column on Responses.</t>
  </si>
  <si>
    <t>If you want this column analysed, add a row pointing to column RK on the Open, Closed, Hybrid, or Demographics sheet. If it isn't needed, delete the column on Responses.</t>
  </si>
  <si>
    <t>If you want this column analysed, add a row pointing to column RL on the Open, Closed, Hybrid, or Demographics sheet. If it isn't needed, delete the column on Responses.</t>
  </si>
  <si>
    <t>If you want this column analysed, add a row pointing to column RM on the Open, Closed, Hybrid, or Demographics sheet. If it isn't needed, delete the column on Responses.</t>
  </si>
  <si>
    <t>If you want this column analysed, add a row pointing to column RN on the Open, Closed, Hybrid, or Demographics sheet. If it isn't needed, delete the column on Responses.</t>
  </si>
  <si>
    <t>If you want this column analysed, add a row pointing to column RO on the Open, Closed, Hybrid, or Demographics sheet. If it isn't needed, delete the column on Responses.</t>
  </si>
  <si>
    <t>If you want this column analysed, add a row pointing to column RP on the Open, Closed, Hybrid, or Demographics sheet. If it isn't needed, delete the column on Responses.</t>
  </si>
  <si>
    <t>If you want this column analysed, add a row pointing to column RQ on the Open, Closed, Hybrid, or Demographics sheet. If it isn't needed, delete the column on Responses.</t>
  </si>
  <si>
    <t>If you want this column analysed, add a row pointing to column RR on the Open, Closed, Hybrid, or Demographics sheet. If it isn't needed, delete the column on Responses.</t>
  </si>
  <si>
    <t>If you want this column analysed, add a row pointing to column RS on the Open, Closed, Hybrid, or Demographics sheet. If it isn't needed, delete the column on Responses.</t>
  </si>
  <si>
    <t>If you want this column analysed, add a row pointing to column RT on the Open, Closed, Hybrid, or Demographics sheet. If it isn't needed, delete the column on Responses.</t>
  </si>
  <si>
    <t>If you want this column analysed, add a row pointing to column RU on the Open, Closed, Hybrid, or Demographics sheet. If it isn't needed, delete the column on Responses.</t>
  </si>
  <si>
    <t>If you want this column analysed, add a row pointing to column RV on the Open, Closed, Hybrid, or Demographics sheet. If it isn't needed, delete the column on Responses.</t>
  </si>
  <si>
    <t>If you want this column analysed, add a row pointing to column RW on the Open, Closed, Hybrid, or Demographics sheet. If it isn't needed, delete the column on Responses.</t>
  </si>
  <si>
    <t>If you want this column analysed, add a row pointing to column RX on the Open, Closed, Hybrid, or Demographics sheet. If it isn't needed, delete the column on Responses.</t>
  </si>
  <si>
    <t>If you want this column analysed, add a row pointing to column RY on the Open, Closed, Hybrid, or Demographics sheet. If it isn't needed, delete the column on Responses.</t>
  </si>
  <si>
    <t>If you want this column analysed, add a row pointing to column RZ on the Open, Closed, Hybrid, or Demographics sheet. If it isn't needed, delete the column on Responses.</t>
  </si>
  <si>
    <t>If you want this column analysed, add a row pointing to column SA on the Open, Closed, Hybrid, or Demographics sheet. If it isn't needed, delete the column on Responses.</t>
  </si>
  <si>
    <t>If you want this column analysed, add a row pointing to column SB on the Open, Closed, Hybrid, or Demographics sheet. If it isn't needed, delete the column on Responses.</t>
  </si>
  <si>
    <t>If you want this column analysed, add a row pointing to column SC on the Open, Closed, Hybrid, or Demographics sheet. If it isn't needed, delete the column on Responses.</t>
  </si>
  <si>
    <t>If you want this column analysed, add a row pointing to column SD on the Open, Closed, Hybrid, or Demographics sheet. If it isn't needed, delete the column on Responses.</t>
  </si>
  <si>
    <t>If you want this column analysed, add a row pointing to column SE on the Open, Closed, Hybrid, or Demographics sheet. If it isn't needed, delete the column on Responses.</t>
  </si>
  <si>
    <t>If you want this column analysed, add a row pointing to column SF on the Open, Closed, Hybrid, or Demographics sheet. If it isn't needed, delete the column on Responses.</t>
  </si>
  <si>
    <t>If you want this column analysed, add a row pointing to column SG on the Open, Closed, Hybrid, or Demographics sheet. If it isn't needed, delete the column on Responses.</t>
  </si>
  <si>
    <t>If you want this column analysed, add a row pointing to column SH on the Open, Closed, Hybrid, or Demographics sheet. If it isn't needed, delete the column on Responses.</t>
  </si>
  <si>
    <t>If you want this column analysed, add a row pointing to column SI on the Open, Closed, Hybrid, or Demographics sheet. If it isn't needed, delete the column on Responses.</t>
  </si>
  <si>
    <t>If you want this column analysed, add a row pointing to column SJ on the Open, Closed, Hybrid, or Demographics sheet. If it isn't needed, delete the column on Responses.</t>
  </si>
  <si>
    <t>If you want this column analysed, add a row pointing to column SK on the Open, Closed, Hybrid, or Demographics sheet. If it isn't needed, delete the column on Responses.</t>
  </si>
  <si>
    <t>If you want this column analysed, add a row pointing to column SL on the Open, Closed, Hybrid, or Demographics sheet. If it isn't needed, delete the column on Responses.</t>
  </si>
  <si>
    <t>If you want this column analysed, add a row pointing to column SM on the Open, Closed, Hybrid, or Demographics sheet. If it isn't needed, delete the column on Responses.</t>
  </si>
  <si>
    <t>If you want this column analysed, add a row pointing to column SN on the Open, Closed, Hybrid, or Demographics sheet. If it isn't needed, delete the column on Responses.</t>
  </si>
  <si>
    <t>If you want this column analysed, add a row pointing to column SO on the Open, Closed, Hybrid, or Demographics sheet. If it isn't needed, delete the column on Responses.</t>
  </si>
  <si>
    <t>If you want this column analysed, add a row pointing to column SP on the Open, Closed, Hybrid, or Demographics sheet. If it isn't needed, delete the column on Responses.</t>
  </si>
  <si>
    <t>If you want this column analysed, add a row pointing to column SQ on the Open, Closed, Hybrid, or Demographics sheet. If it isn't needed, delete the column on Responses.</t>
  </si>
  <si>
    <t>If you want this column analysed, add a row pointing to column SR on the Open, Closed, Hybrid, or Demographics sheet. If it isn't needed, delete the column on Responses.</t>
  </si>
  <si>
    <t>If you want this column analysed, add a row pointing to column SS on the Open, Closed, Hybrid, or Demographics sheet. If it isn't needed, delete the column on Responses.</t>
  </si>
  <si>
    <t>If you want this column analysed, add a row pointing to column ST on the Open, Closed, Hybrid, or Demographics sheet. If it isn't needed, delete the column on Responses.</t>
  </si>
  <si>
    <t>If you want this column analysed, add a row pointing to column SU on the Open, Closed, Hybrid, or Demographics sheet. If it isn't needed, delete the column on Responses.</t>
  </si>
  <si>
    <t>If you want this column analysed, add a row pointing to column SV on the Open, Closed, Hybrid, or Demographics sheet. If it isn't needed, delete the column on Responses.</t>
  </si>
  <si>
    <t>If you want this column analysed, add a row pointing to column SW on the Open, Closed, Hybrid, or Demographics sheet. If it isn't needed, delete the column on Responses.</t>
  </si>
  <si>
    <t>If you want this column analysed, add a row pointing to column SX on the Open, Closed, Hybrid, or Demographics sheet. If it isn't needed, delete the column on Responses.</t>
  </si>
  <si>
    <t>If you want this column analysed, add a row pointing to column SY on the Open, Closed, Hybrid, or Demographics sheet. If it isn't needed, delete the column on Responses.</t>
  </si>
  <si>
    <t>If you want this column analysed, add a row pointing to column SZ on the Open, Closed, Hybrid, or Demographics sheet. If it isn't needed, delete the column on Responses.</t>
  </si>
  <si>
    <t>If you want this column analysed, add a row pointing to column TA on the Open, Closed, Hybrid, or Demographics sheet. If it isn't needed, delete the column on Responses.</t>
  </si>
  <si>
    <t>If you want this column analysed, add a row pointing to column TB on the Open, Closed, Hybrid, or Demographics sheet. If it isn't needed, delete the column on Responses.</t>
  </si>
  <si>
    <t>If you want this column analysed, add a row pointing to column TC on the Open, Closed, Hybrid, or Demographics sheet. If it isn't needed, delete the column on Responses.</t>
  </si>
  <si>
    <t>If you want this column analysed, add a row pointing to column TD on the Open, Closed, Hybrid, or Demographics sheet. If it isn't needed, delete the column on Responses.</t>
  </si>
  <si>
    <t>If you want this column analysed, add a row pointing to column TE on the Open, Closed, Hybrid, or Demographics sheet. If it isn't needed, delete the column on Responses.</t>
  </si>
  <si>
    <t>If you want this column analysed, add a row pointing to column TF on the Open, Closed, Hybrid, or Demographics sheet. If it isn't needed, delete the column on Responses.</t>
  </si>
  <si>
    <t>If you want this column analysed, add a row pointing to column TG on the Open, Closed, Hybrid, or Demographics sheet. If it isn't needed, delete the column on Responses.</t>
  </si>
  <si>
    <t>If you want this column analysed, add a row pointing to column TH on the Open, Closed, Hybrid, or Demographics sheet. If it isn't needed, delete the column on Responses.</t>
  </si>
  <si>
    <t>If you want this column analysed, add a row pointing to column TI on the Open, Closed, Hybrid, or Demographics sheet. If it isn't needed, delete the column on Responses.</t>
  </si>
  <si>
    <t>If you want this column analysed, add a row pointing to column TJ on the Open, Closed, Hybrid, or Demographics sheet. If it isn't needed, delete the column on Responses.</t>
  </si>
  <si>
    <t>If you want this column analysed, add a row pointing to column TK on the Open, Closed, Hybrid, or Demographics sheet. If it isn't needed, delete the column on Responses.</t>
  </si>
  <si>
    <t>If you want this column analysed, add a row pointing to column TL on the Open, Closed, Hybrid, or Demographics sheet. If it isn't needed, delete the column on Responses.</t>
  </si>
  <si>
    <t>If you want this column analysed, add a row pointing to column TM on the Open, Closed, Hybrid, or Demographics sheet. If it isn't needed, delete the column on Responses.</t>
  </si>
  <si>
    <t>If you want this column analysed, add a row pointing to column TN on the Open, Closed, Hybrid, or Demographics sheet. If it isn't needed, delete the column on Responses.</t>
  </si>
  <si>
    <t>If you want this column analysed, add a row pointing to column TO on the Open, Closed, Hybrid, or Demographics sheet. If it isn't needed, delete the column on Responses.</t>
  </si>
  <si>
    <t>If you want this column analysed, add a row pointing to column TP on the Open, Closed, Hybrid, or Demographics sheet. If it isn't needed, delete the column on Responses.</t>
  </si>
  <si>
    <t>If you want this column analysed, add a row pointing to column TQ on the Open, Closed, Hybrid, or Demographics sheet. If it isn't needed, delete the column on Responses.</t>
  </si>
  <si>
    <t>If you want this column analysed, add a row pointing to column TR on the Open, Closed, Hybrid, or Demographics sheet. If it isn't needed, delete the column on Responses.</t>
  </si>
  <si>
    <t>If you want this column analysed, add a row pointing to column TS on the Open, Closed, Hybrid, or Demographics sheet. If it isn't needed, delete the column on Responses.</t>
  </si>
  <si>
    <t>If you want this column analysed, add a row pointing to column TT on the Open, Closed, Hybrid, or Demographics sheet. If it isn't needed, delete the column on Responses.</t>
  </si>
  <si>
    <t>If you want this column analysed, add a row pointing to column TU on the Open, Closed, Hybrid, or Demographics sheet. If it isn't needed, delete the column on Responses.</t>
  </si>
  <si>
    <t>If you want this column analysed, add a row pointing to column TV on the Open, Closed, Hybrid, or Demographics sheet. If it isn't needed, delete the column on Responses.</t>
  </si>
  <si>
    <t>If you want this column analysed, add a row pointing to column TW on the Open, Closed, Hybrid, or Demographics sheet. If it isn't needed, delete the column on Responses.</t>
  </si>
  <si>
    <t>If you want this column analysed, add a row pointing to column TX on the Open, Closed, Hybrid, or Demographics sheet. If it isn't needed, delete the column on Responses.</t>
  </si>
  <si>
    <t>If you want this column analysed, add a row pointing to column TY on the Open, Closed, Hybrid, or Demographics sheet. If it isn't needed, delete the column on Responses.</t>
  </si>
  <si>
    <t>If you want this column analysed, add a row pointing to column TZ on the Open, Closed, Hybrid, or Demographics sheet. If it isn't needed, delete the column on Responses.</t>
  </si>
  <si>
    <t>If you want this column analysed, add a row pointing to column UA on the Open, Closed, Hybrid, or Demographics sheet. If it isn't needed, delete the column on Responses.</t>
  </si>
  <si>
    <t>If you want this column analysed, add a row pointing to column UB on the Open, Closed, Hybrid, or Demographics sheet. If it isn't needed, delete the column on Responses.</t>
  </si>
  <si>
    <t>If you want this column analysed, add a row pointing to column UC on the Open, Closed, Hybrid, or Demographics sheet. If it isn't needed, delete the column on Responses.</t>
  </si>
  <si>
    <t>If you want this column analysed, add a row pointing to column UD on the Open, Closed, Hybrid, or Demographics sheet. If it isn't needed, delete the column on Responses.</t>
  </si>
  <si>
    <t>If you want this column analysed, add a row pointing to column UE on the Open, Closed, Hybrid, or Demographics sheet. If it isn't needed, delete the column on Responses.</t>
  </si>
  <si>
    <t>If you want this column analysed, add a row pointing to column UF on the Open, Closed, Hybrid, or Demographics sheet. If it isn't needed, delete the column on Responses.</t>
  </si>
  <si>
    <t>If you want this column analysed, add a row pointing to column UG on the Open, Closed, Hybrid, or Demographics sheet. If it isn't needed, delete the column on Responses.</t>
  </si>
  <si>
    <t>If you want this column analysed, add a row pointing to column UH on the Open, Closed, Hybrid, or Demographics sheet. If it isn't needed, delete the column on Responses.</t>
  </si>
  <si>
    <t>If you want this column analysed, add a row pointing to column UI on the Open, Closed, Hybrid, or Demographics sheet. If it isn't needed, delete the column on Responses.</t>
  </si>
  <si>
    <t>If you want this column analysed, add a row pointing to column UJ on the Open, Closed, Hybrid, or Demographics sheet. If it isn't needed, delete the column on Responses.</t>
  </si>
  <si>
    <t>If you want this column analysed, add a row pointing to column UK on the Open, Closed, Hybrid, or Demographics sheet. If it isn't needed, delete the column on Responses.</t>
  </si>
  <si>
    <t>If you want this column analysed, add a row pointing to column UL on the Open, Closed, Hybrid, or Demographics sheet. If it isn't needed, delete the column on Responses.</t>
  </si>
  <si>
    <t>If you want this column analysed, add a row pointing to column UM on the Open, Closed, Hybrid, or Demographics sheet. If it isn't needed, delete the column on Responses.</t>
  </si>
  <si>
    <t>If you want this column analysed, add a row pointing to column UN on the Open, Closed, Hybrid, or Demographics sheet. If it isn't needed, delete the column on Responses.</t>
  </si>
  <si>
    <t>If you want this column analysed, add a row pointing to column UO on the Open, Closed, Hybrid, or Demographics sheet. If it isn't needed, delete the column on Responses.</t>
  </si>
  <si>
    <t>If you want this column analysed, add a row pointing to column UP on the Open, Closed, Hybrid, or Demographics sheet. If it isn't needed, delete the column on Responses.</t>
  </si>
  <si>
    <t>If you want this column analysed, add a row pointing to column UQ on the Open, Closed, Hybrid, or Demographics sheet. If it isn't needed, delete the column on Responses.</t>
  </si>
  <si>
    <t>If you want this column analysed, add a row pointing to column UR on the Open, Closed, Hybrid, or Demographics sheet. If it isn't needed, delete the column on Responses.</t>
  </si>
  <si>
    <t>If you want this column analysed, add a row pointing to column US on the Open, Closed, Hybrid, or Demographics sheet. If it isn't needed, delete the column on Responses.</t>
  </si>
  <si>
    <t>If you want this column analysed, add a row pointing to column UT on the Open, Closed, Hybrid, or Demographics sheet. If it isn't needed, delete the column on Responses.</t>
  </si>
  <si>
    <t>If you want this column analysed, add a row pointing to column UU on the Open, Closed, Hybrid, or Demographics sheet. If it isn't needed, delete the column on Responses.</t>
  </si>
  <si>
    <t>If you want this column analysed, add a row pointing to column UV on the Open, Closed, Hybrid, or Demographics sheet. If it isn't needed, delete the column on Responses.</t>
  </si>
  <si>
    <t>If you want this column analysed, add a row pointing to column UW on the Open, Closed, Hybrid, or Demographics sheet. If it isn't needed, delete the column on Responses.</t>
  </si>
  <si>
    <t>If you want this column analysed, add a row pointing to column UX on the Open, Closed, Hybrid, or Demographics sheet. If it isn't needed, delete the column on Responses.</t>
  </si>
  <si>
    <t>If you want this column analysed, add a row pointing to column UY on the Open, Closed, Hybrid, or Demographics sheet. If it isn't needed, delete the column on Responses.</t>
  </si>
  <si>
    <t>If you want this column analysed, add a row pointing to column UZ on the Open, Closed, Hybrid, or Demographics sheet. If it isn't needed, delete the column on Responses.</t>
  </si>
  <si>
    <t>If you want this column analysed, add a row pointing to column VA on the Open, Closed, Hybrid, or Demographics sheet. If it isn't needed, delete the column on Responses.</t>
  </si>
  <si>
    <t>If you want this column analysed, add a row pointing to column VB on the Open, Closed, Hybrid, or Demographics sheet. If it isn't needed, delete the column on Responses.</t>
  </si>
  <si>
    <t>If you want this column analysed, add a row pointing to column VC on the Open, Closed, Hybrid, or Demographics sheet. If it isn't needed, delete the column on Responses.</t>
  </si>
  <si>
    <t>If you want this column analysed, add a row pointing to column VD on the Open, Closed, Hybrid, or Demographics sheet. If it isn't needed, delete the column on Responses.</t>
  </si>
  <si>
    <t>If you want this column analysed, add a row pointing to column VE on the Open, Closed, Hybrid, or Demographics sheet. If it isn't needed, delete the column on Responses.</t>
  </si>
  <si>
    <t>If you want this column analysed, add a row pointing to column VF on the Open, Closed, Hybrid, or Demographics sheet. If it isn't needed, delete the column on Responses.</t>
  </si>
  <si>
    <t>If you want this column analysed, add a row pointing to column VG on the Open, Closed, Hybrid, or Demographics sheet. If it isn't needed, delete the column on Responses.</t>
  </si>
  <si>
    <t>If you want this column analysed, add a row pointing to column VH on the Open, Closed, Hybrid, or Demographics sheet. If it isn't needed, delete the column on Responses.</t>
  </si>
  <si>
    <t>If you want this column analysed, add a row pointing to column VI on the Open, Closed, Hybrid, or Demographics sheet. If it isn't needed, delete the column on Responses.</t>
  </si>
  <si>
    <t>If you want this column analysed, add a row pointing to column VJ on the Open, Closed, Hybrid, or Demographics sheet. If it isn't needed, delete the column on Responses.</t>
  </si>
  <si>
    <t>If you want this column analysed, add a row pointing to column VK on the Open, Closed, Hybrid, or Demographics sheet. If it isn't needed, delete the column on Responses.</t>
  </si>
  <si>
    <t>If you want this column analysed, add a row pointing to column VL on the Open, Closed, Hybrid, or Demographics sheet. If it isn't needed, delete the column on Responses.</t>
  </si>
  <si>
    <t>If you want this column analysed, add a row pointing to column VM on the Open, Closed, Hybrid, or Demographics sheet. If it isn't needed, delete the column on Responses.</t>
  </si>
  <si>
    <t>If you want this column analysed, add a row pointing to column VN on the Open, Closed, Hybrid, or Demographics sheet. If it isn't needed, delete the column on Responses.</t>
  </si>
  <si>
    <t>If you want this column analysed, add a row pointing to column VO on the Open, Closed, Hybrid, or Demographics sheet. If it isn't needed, delete the column on Responses.</t>
  </si>
  <si>
    <t>If you want this column analysed, add a row pointing to column VP on the Open, Closed, Hybrid, or Demographics sheet. If it isn't needed, delete the column on Responses.</t>
  </si>
  <si>
    <t>If you want this column analysed, add a row pointing to column VQ on the Open, Closed, Hybrid, or Demographics sheet. If it isn't needed, delete the column on Responses.</t>
  </si>
  <si>
    <t>If you want this column analysed, add a row pointing to column VR on the Open, Closed, Hybrid, or Demographics sheet. If it isn't needed, delete the column on Responses.</t>
  </si>
  <si>
    <t>If you want this column analysed, add a row pointing to column VS on the Open, Closed, Hybrid, or Demographics sheet. If it isn't needed, delete the column on Responses.</t>
  </si>
  <si>
    <t>If you want this column analysed, add a row pointing to column VT on the Open, Closed, Hybrid, or Demographics sheet. If it isn't needed, delete the column on Responses.</t>
  </si>
  <si>
    <t>If you want this column analysed, add a row pointing to column VU on the Open, Closed, Hybrid, or Demographics sheet. If it isn't needed, delete the column on Responses.</t>
  </si>
  <si>
    <t>If you want this column analysed, add a row pointing to column VV on the Open, Closed, Hybrid, or Demographics sheet. If it isn't needed, delete the column on Responses.</t>
  </si>
  <si>
    <t>If you want this column analysed, add a row pointing to column VW on the Open, Closed, Hybrid, or Demographics sheet. If it isn't needed, delete the column on Responses.</t>
  </si>
  <si>
    <t>If you want this column analysed, add a row pointing to column VX on the Open, Closed, Hybrid, or Demographics sheet. If it isn't needed, delete the column on Responses.</t>
  </si>
  <si>
    <t>If you want this column analysed, add a row pointing to column VY on the Open, Closed, Hybrid, or Demographics sheet. If it isn't needed, delete the column on Responses.</t>
  </si>
  <si>
    <t>If you want this column analysed, add a row pointing to column VZ on the Open, Closed, Hybrid, or Demographics sheet. If it isn't needed, delete the column on Responses.</t>
  </si>
  <si>
    <t>If you want this column analysed, add a row pointing to column WA on the Open, Closed, Hybrid, or Demographics sheet. If it isn't needed, delete the column on Responses.</t>
  </si>
  <si>
    <t>If you want this column analysed, add a row pointing to column WB on the Open, Closed, Hybrid, or Demographics sheet. If it isn't needed, delete the column on Responses.</t>
  </si>
  <si>
    <t>If you want this column analysed, add a row pointing to column WC on the Open, Closed, Hybrid, or Demographics sheet. If it isn't needed, delete the column on Responses.</t>
  </si>
  <si>
    <t>If you want this column analysed, add a row pointing to column WD on the Open, Closed, Hybrid, or Demographics sheet. If it isn't needed, delete the column on Responses.</t>
  </si>
  <si>
    <t>If you want this column analysed, add a row pointing to column WE on the Open, Closed, Hybrid, or Demographics sheet. If it isn't needed, delete the column on Responses.</t>
  </si>
  <si>
    <t>If you want this column analysed, add a row pointing to column WF on the Open, Closed, Hybrid, or Demographics sheet. If it isn't needed, delete the column on Responses.</t>
  </si>
  <si>
    <t>If you want this column analysed, add a row pointing to column WG on the Open, Closed, Hybrid, or Demographics sheet. If it isn't needed, delete the column on Responses.</t>
  </si>
  <si>
    <t>If you want this column analysed, add a row pointing to column WH on the Open, Closed, Hybrid, or Demographics sheet. If it isn't needed, delete the column on Responses.</t>
  </si>
  <si>
    <t>If you want this column analysed, add a row pointing to column WI on the Open, Closed, Hybrid, or Demographics sheet. If it isn't needed, delete the column on Responses.</t>
  </si>
  <si>
    <t>If you want this column analysed, add a row pointing to column WJ on the Open, Closed, Hybrid, or Demographics sheet. If it isn't needed, delete the column on Responses.</t>
  </si>
  <si>
    <t>If you want this column analysed, add a row pointing to column WK on the Open, Closed, Hybrid, or Demographics sheet. If it isn't needed, delete the column on Responses.</t>
  </si>
  <si>
    <t>If you want this column analysed, add a row pointing to column WL on the Open, Closed, Hybrid, or Demographics sheet. If it isn't needed, delete the column on Responses.</t>
  </si>
  <si>
    <t>If you want this column analysed, add a row pointing to column WM on the Open, Closed, Hybrid, or Demographics sheet. If it isn't needed, delete the column on Responses.</t>
  </si>
  <si>
    <t>If you want this column analysed, add a row pointing to column WN on the Open, Closed, Hybrid, or Demographics sheet. If it isn't needed, delete the column on Responses.</t>
  </si>
  <si>
    <t>If you want this column analysed, add a row pointing to column WO on the Open, Closed, Hybrid, or Demographics sheet. If it isn't needed, delete the column on Responses.</t>
  </si>
  <si>
    <t>If you want this column analysed, add a row pointing to column WP on the Open, Closed, Hybrid, or Demographics sheet. If it isn't needed, delete the column on Responses.</t>
  </si>
  <si>
    <t>If you want this column analysed, add a row pointing to column WQ on the Open, Closed, Hybrid, or Demographics sheet. If it isn't needed, delete the column on Responses.</t>
  </si>
  <si>
    <t>If you want this column analysed, add a row pointing to column WR on the Open, Closed, Hybrid, or Demographics sheet. If it isn't needed, delete the column on Responses.</t>
  </si>
  <si>
    <t>If you want this column analysed, add a row pointing to column WS on the Open, Closed, Hybrid, or Demographics sheet. If it isn't needed, delete the column on Responses.</t>
  </si>
  <si>
    <t>If you want this column analysed, add a row pointing to column WT on the Open, Closed, Hybrid, or Demographics sheet. If it isn't needed, delete the column on Responses.</t>
  </si>
  <si>
    <t>If you want this column analysed, add a row pointing to column WU on the Open, Closed, Hybrid, or Demographics sheet. If it isn't needed, delete the column on Responses.</t>
  </si>
  <si>
    <t>If you want this column analysed, add a row pointing to column WV on the Open, Closed, Hybrid, or Demographics sheet. If it isn't needed, delete the column on Responses.</t>
  </si>
  <si>
    <t>If you want this column analysed, add a row pointing to column WW on the Open, Closed, Hybrid, or Demographics sheet. If it isn't needed, delete the column on Responses.</t>
  </si>
  <si>
    <t>If you want this column analysed, add a row pointing to column WX on the Open, Closed, Hybrid, or Demographics sheet. If it isn't needed, delete the column on Responses.</t>
  </si>
  <si>
    <t>If you want this column analysed, add a row pointing to column WY on the Open, Closed, Hybrid, or Demographics sheet. If it isn't needed, delete the column on Responses.</t>
  </si>
  <si>
    <t>If you want this column analysed, add a row pointing to column WZ on the Open, Closed, Hybrid, or Demographics sheet. If it isn't needed, delete the column on Responses.</t>
  </si>
  <si>
    <t>If you want this column analysed, add a row pointing to column XA on the Open, Closed, Hybrid, or Demographics sheet. If it isn't needed, delete the column on Responses.</t>
  </si>
  <si>
    <t>If you want this column analysed, add a row pointing to column XB on the Open, Closed, Hybrid, or Demographics sheet. If it isn't needed, delete the column on Responses.</t>
  </si>
  <si>
    <t>If you want this column analysed, add a row pointing to column XC on the Open, Closed, Hybrid, or Demographics sheet. If it isn't needed, delete the column on Responses.</t>
  </si>
  <si>
    <t>If you want this column analysed, add a row pointing to column XD on the Open, Closed, Hybrid, or Demographics sheet. If it isn't needed, delete the column on Responses.</t>
  </si>
  <si>
    <t>If you want this column analysed, add a row pointing to column XE on the Open, Closed, Hybrid, or Demographics sheet. If it isn't needed, delete the column on Responses.</t>
  </si>
  <si>
    <t>If you want this column analysed, add a row pointing to column XF on the Open, Closed, Hybrid, or Demographics sheet. If it isn't needed, delete the column on Responses.</t>
  </si>
  <si>
    <t>If you want this column analysed, add a row pointing to column XG on the Open, Closed, Hybrid, or Demographics sheet. If it isn't needed, delete the column on Responses.</t>
  </si>
  <si>
    <t>If you want this column analysed, add a row pointing to column XH on the Open, Closed, Hybrid, or Demographics sheet. If it isn't needed, delete the column on Responses.</t>
  </si>
  <si>
    <t>If you want this column analysed, add a row pointing to column XI on the Open, Closed, Hybrid, or Demographics sheet. If it isn't needed, delete the column on Responses.</t>
  </si>
  <si>
    <t>If you want this column analysed, add a row pointing to column XJ on the Open, Closed, Hybrid, or Demographics sheet. If it isn't needed, delete the column on Responses.</t>
  </si>
  <si>
    <t>If you want this column analysed, add a row pointing to column XK on the Open, Closed, Hybrid, or Demographics sheet. If it isn't needed, delete the column on Responses.</t>
  </si>
  <si>
    <t>If you want this column analysed, add a row pointing to column XL on the Open, Closed, Hybrid, or Demographics sheet. If it isn't needed, delete the column on Responses.</t>
  </si>
  <si>
    <t>If you want this column analysed, add a row pointing to column XM on the Open, Closed, Hybrid, or Demographics sheet. If it isn't needed, delete the column on Responses.</t>
  </si>
  <si>
    <t>If you want this column analysed, add a row pointing to column XN on the Open, Closed, Hybrid, or Demographics sheet. If it isn't needed, delete the column on Responses.</t>
  </si>
  <si>
    <t>If you want this column analysed, add a row pointing to column XO on the Open, Closed, Hybrid, or Demographics sheet. If it isn't needed, delete the column on Responses.</t>
  </si>
  <si>
    <t>If you want this column analysed, add a row pointing to column XP on the Open, Closed, Hybrid, or Demographics sheet. If it isn't needed, delete the column on Responses.</t>
  </si>
  <si>
    <t>If you want this column analysed, add a row pointing to column XQ on the Open, Closed, Hybrid, or Demographics sheet. If it isn't needed, delete the column on Responses.</t>
  </si>
  <si>
    <t>If you want this column analysed, add a row pointing to column XR on the Open, Closed, Hybrid, or Demographics sheet. If it isn't needed, delete the column on Responses.</t>
  </si>
  <si>
    <t>If you want this column analysed, add a row pointing to column XS on the Open, Closed, Hybrid, or Demographics sheet. If it isn't needed, delete the column on Responses.</t>
  </si>
  <si>
    <t>If you want this column analysed, add a row pointing to column XT on the Open, Closed, Hybrid, or Demographics sheet. If it isn't needed, delete the column on Responses.</t>
  </si>
  <si>
    <t>If you want this column analysed, add a row pointing to column XU on the Open, Closed, Hybrid, or Demographics sheet. If it isn't needed, delete the column on Responses.</t>
  </si>
  <si>
    <t>If you want this column analysed, add a row pointing to column XV on the Open, Closed, Hybrid, or Demographics sheet. If it isn't needed, delete the column on Responses.</t>
  </si>
  <si>
    <t>If you want this column analysed, add a row pointing to column XW on the Open, Closed, Hybrid, or Demographics sheet. If it isn't needed, delete the column on Responses.</t>
  </si>
  <si>
    <t>If you want this column analysed, add a row pointing to column XX on the Open, Closed, Hybrid, or Demographics sheet. If it isn't needed, delete the column on Responses.</t>
  </si>
  <si>
    <t>If you want this column analysed, add a row pointing to column XY on the Open, Closed, Hybrid, or Demographics sheet. If it isn't needed, delete the column on Responses.</t>
  </si>
  <si>
    <t>If you want this column analysed, add a row pointing to column XZ on the Open, Closed, Hybrid, or Demographics sheet. If it isn't needed, delete the column on Responses.</t>
  </si>
  <si>
    <t>If you want this column analysed, add a row pointing to column YA on the Open, Closed, Hybrid, or Demographics sheet. If it isn't needed, delete the column on Responses.</t>
  </si>
  <si>
    <t>If you want this column analysed, add a row pointing to column YB on the Open, Closed, Hybrid, or Demographics sheet. If it isn't needed, delete the column on Responses.</t>
  </si>
  <si>
    <t>If you want this column analysed, add a row pointing to column YC on the Open, Closed, Hybrid, or Demographics sheet. If it isn't needed, delete the column on Responses.</t>
  </si>
  <si>
    <t>If you want this column analysed, add a row pointing to column YD on the Open, Closed, Hybrid, or Demographics sheet. If it isn't needed, delete the column on Responses.</t>
  </si>
  <si>
    <t>If you want this column analysed, add a row pointing to column YE on the Open, Closed, Hybrid, or Demographics sheet. If it isn't needed, delete the column on Responses.</t>
  </si>
  <si>
    <t>If you want this column analysed, add a row pointing to column YF on the Open, Closed, Hybrid, or Demographics sheet. If it isn't needed, delete the column on Responses.</t>
  </si>
  <si>
    <t>If you want this column analysed, add a row pointing to column YG on the Open, Closed, Hybrid, or Demographics sheet. If it isn't needed, delete the column on Responses.</t>
  </si>
  <si>
    <t>If you want this column analysed, add a row pointing to column YH on the Open, Closed, Hybrid, or Demographics sheet. If it isn't needed, delete the column on Responses.</t>
  </si>
  <si>
    <t>If you want this column analysed, add a row pointing to column YI on the Open, Closed, Hybrid, or Demographics sheet. If it isn't needed, delete the column on Responses.</t>
  </si>
  <si>
    <t>If you want this column analysed, add a row pointing to column YJ on the Open, Closed, Hybrid, or Demographics sheet. If it isn't needed, delete the column on Responses.</t>
  </si>
  <si>
    <t>If you want this column analysed, add a row pointing to column YK on the Open, Closed, Hybrid, or Demographics sheet. If it isn't needed, delete the column on Responses.</t>
  </si>
  <si>
    <t>If you want this column analysed, add a row pointing to column YL on the Open, Closed, Hybrid, or Demographics sheet. If it isn't needed, delete the column on Responses.</t>
  </si>
  <si>
    <t>If you want this column analysed, add a row pointing to column YM on the Open, Closed, Hybrid, or Demographics sheet. If it isn't needed, delete the column on Responses.</t>
  </si>
  <si>
    <t>If you want this column analysed, add a row pointing to column YN on the Open, Closed, Hybrid, or Demographics sheet. If it isn't needed, delete the column on Responses.</t>
  </si>
  <si>
    <t>If you want this column analysed, add a row pointing to column YO on the Open, Closed, Hybrid, or Demographics sheet. If it isn't needed, delete the column on Responses.</t>
  </si>
  <si>
    <t>If you want this column analysed, add a row pointing to column YP on the Open, Closed, Hybrid, or Demographics sheet. If it isn't needed, delete the column on Responses.</t>
  </si>
  <si>
    <t>If you want this column analysed, add a row pointing to column YQ on the Open, Closed, Hybrid, or Demographics sheet. If it isn't needed, delete the column on Responses.</t>
  </si>
  <si>
    <t>If you want this column analysed, add a row pointing to column YR on the Open, Closed, Hybrid, or Demographics sheet. If it isn't needed, delete the column on Responses.</t>
  </si>
  <si>
    <t>If you want this column analysed, add a row pointing to column YS on the Open, Closed, Hybrid, or Demographics sheet. If it isn't needed, delete the column on Responses.</t>
  </si>
  <si>
    <t>If you want this column analysed, add a row pointing to column YT on the Open, Closed, Hybrid, or Demographics sheet. If it isn't needed, delete the column on Responses.</t>
  </si>
  <si>
    <t>If you want this column analysed, add a row pointing to column YU on the Open, Closed, Hybrid, or Demographics sheet. If it isn't needed, delete the column on Responses.</t>
  </si>
  <si>
    <t>If you want this column analysed, add a row pointing to column YV on the Open, Closed, Hybrid, or Demographics sheet. If it isn't needed, delete the column on Responses.</t>
  </si>
  <si>
    <t>If you want this column analysed, add a row pointing to column YW on the Open, Closed, Hybrid, or Demographics sheet. If it isn't needed, delete the column on Responses.</t>
  </si>
  <si>
    <t>If you want this column analysed, add a row pointing to column YX on the Open, Closed, Hybrid, or Demographics sheet. If it isn't needed, delete the column on Responses.</t>
  </si>
  <si>
    <t>If you want this column analysed, add a row pointing to column YY on the Open, Closed, Hybrid, or Demographics sheet. If it isn't needed, delete the column on Responses.</t>
  </si>
  <si>
    <t>If you want this column analysed, add a row pointing to column YZ on the Open, Closed, Hybrid, or Demographics sheet. If it isn't needed, delete the column on Responses.</t>
  </si>
  <si>
    <t>If you want this column analysed, add a row pointing to column ZA on the Open, Closed, Hybrid, or Demographics sheet. If it isn't needed, delete the column on Responses.</t>
  </si>
  <si>
    <t>If you want this column analysed, add a row pointing to column ZB on the Open, Closed, Hybrid, or Demographics sheet. If it isn't needed, delete the column on Responses.</t>
  </si>
  <si>
    <t>If you want this column analysed, add a row pointing to column ZC on the Open, Closed, Hybrid, or Demographics sheet. If it isn't needed, delete the column on Responses.</t>
  </si>
  <si>
    <t>If you want this column analysed, add a row pointing to column ZD on the Open, Closed, Hybrid, or Demographics sheet. If it isn't needed, delete the column on Responses.</t>
  </si>
  <si>
    <t>If you want this column analysed, add a row pointing to column ZE on the Open, Closed, Hybrid, or Demographics sheet. If it isn't needed, delete the column on Responses.</t>
  </si>
  <si>
    <t>If you want this column analysed, add a row pointing to column ZF on the Open, Closed, Hybrid, or Demographics sheet. If it isn't needed, delete the column on Responses.</t>
  </si>
  <si>
    <t>If you want this column analysed, add a row pointing to column ZG on the Open, Closed, Hybrid, or Demographics sheet. If it isn't needed, delete the column on Responses.</t>
  </si>
  <si>
    <t>If you want this column analysed, add a row pointing to column ZH on the Open, Closed, Hybrid, or Demographics sheet. If it isn't needed, delete the column on Responses.</t>
  </si>
  <si>
    <t>If you want this column analysed, add a row pointing to column ZI on the Open, Closed, Hybrid, or Demographics sheet. If it isn't needed, delete the column on Responses.</t>
  </si>
  <si>
    <t>If you want this column analysed, add a row pointing to column ZJ on the Open, Closed, Hybrid, or Demographics sheet. If it isn't needed, delete the column on Responses.</t>
  </si>
  <si>
    <t>If you want this column analysed, add a row pointing to column ZK on the Open, Closed, Hybrid, or Demographics sheet. If it isn't needed, delete the column on Responses.</t>
  </si>
  <si>
    <t>If you want this column analysed, add a row pointing to column ZL on the Open, Closed, Hybrid, or Demographics sheet. If it isn't needed, delete the column on Responses.</t>
  </si>
  <si>
    <t>If you want this column analysed, add a row pointing to column ZM on the Open, Closed, Hybrid, or Demographics sheet. If it isn't needed, delete the column on Responses.</t>
  </si>
  <si>
    <t>If you want this column analysed, add a row pointing to column ZN on the Open, Closed, Hybrid, or Demographics sheet. If it isn't needed, delete the column on Responses.</t>
  </si>
  <si>
    <t>If you want this column analysed, add a row pointing to column ZO on the Open, Closed, Hybrid, or Demographics sheet. If it isn't needed, delete the column on Responses.</t>
  </si>
  <si>
    <t>If you want this column analysed, add a row pointing to column ZP on the Open, Closed, Hybrid, or Demographics sheet. If it isn't needed, delete the column on Responses.</t>
  </si>
  <si>
    <t>If you want this column analysed, add a row pointing to column ZQ on the Open, Closed, Hybrid, or Demographics sheet. If it isn't needed, delete the column on Responses.</t>
  </si>
  <si>
    <t>If you want this column analysed, add a row pointing to column ZR on the Open, Closed, Hybrid, or Demographics sheet. If it isn't needed, delete the column on Responses.</t>
  </si>
  <si>
    <t>If you want this column analysed, add a row pointing to column ZS on the Open, Closed, Hybrid, or Demographics sheet. If it isn't needed, delete the column on Responses.</t>
  </si>
  <si>
    <t>If you want this column analysed, add a row pointing to column ZT on the Open, Closed, Hybrid, or Demographics sheet. If it isn't needed, delete the column on Responses.</t>
  </si>
  <si>
    <t>If you want this column analysed, add a row pointing to column ZU on the Open, Closed, Hybrid, or Demographics sheet. If it isn't needed, delete the column on Responses.</t>
  </si>
  <si>
    <t>If you want this column analysed, add a row pointing to column ZV on the Open, Closed, Hybrid, or Demographics sheet. If it isn't needed, delete the column on Responses.</t>
  </si>
  <si>
    <t>If you want this column analysed, add a row pointing to column ZW on the Open, Closed, Hybrid, or Demographics sheet. If it isn't needed, delete the column on Responses.</t>
  </si>
  <si>
    <t>If you want this column analysed, add a row pointing to column ZX on the Open, Closed, Hybrid, or Demographics sheet. If it isn't needed, delete the column on Responses.</t>
  </si>
  <si>
    <t>If you want this column analysed, add a row pointing to column ZY on the Open, Closed, Hybrid, or Demographics sheet. If it isn't needed, delete the column on Responses.</t>
  </si>
  <si>
    <t>If you want this column analysed, add a row pointing to column ZZ on the Open, Closed, Hybrid, or Demographics sheet. If it isn't needed, delete the column on Responses.</t>
  </si>
  <si>
    <t>question_text differs from Responses header</t>
  </si>
  <si>
    <t>Check the column letter is correct, or update the question wording so it matches the header on the Responses sheet.</t>
  </si>
  <si>
    <t>question_text differs from closed_column header</t>
  </si>
  <si>
    <t>Check the closed_column letter is correct, or update the question wording so it matches the Responses header.</t>
  </si>
  <si>
    <t>question_text differs from open_column header</t>
  </si>
  <si>
    <t>Check the open_column letter is correct, or update the question wording so it matches the Responses header.</t>
  </si>
  <si>
    <t>Active issues</t>
  </si>
  <si>
    <t>Errors:</t>
  </si>
  <si>
    <t>To check:</t>
  </si>
  <si>
    <t>Errors MUST be fixed before running the consultation — they will stop the pipeline. "To check" items are heuristic flags; please review each one and confirm it's intentional (they may be fine). This sheet updates automatically as you edit the Demographics, Open, Closed and Hybrid sheets. See the Guide tab for what each sheet is for and what good questions look like. The 'My Notes' column on the right is the only editable column — use it to record what you checked.</t>
  </si>
  <si>
    <t>My Notes — provide a short description of what you checked here</t>
  </si>
  <si>
    <t>Consultation data template — Guide</t>
  </si>
  <si>
    <t>⚠  OPEN THIS FILE IN MICROSOFT EXCEL ONLY.
Google Sheets, Apple Numbers and LibreOffice strip out the formulas this workbook relies on. The Active issues tab will appear empty or broken in those apps. If you don't have Excel, ask your team — don't fill the workbook in elsewhere and copy-paste across.</t>
  </si>
  <si>
    <t>How to use this workbook to format your consultation data for 'Consult'</t>
  </si>
  <si>
    <t>The Responses sheet holds your raw answers. The Demographics, Open questions, Multiple Choice Questions and Hybrid Questions sheets sit alongside it and tell Consult how to interpret each column on Responses — which columns hold demographics, which hold free-text, which hold multiple-choice, and what each question was actually asking. Without these sheets, Consult sees an undifferentiated grid of answers; with them, it can theme the right columns the right way.</t>
  </si>
  <si>
    <t>1. Paste responses into the Responses Sheet</t>
  </si>
  <si>
    <t>Replace the dummy data on the Responses tab with your real survey export. The first row must contain headers (e.g. the question text or demographic name) and the rows below must contain responses from each respondent. Each question or demographic should be in its own column.</t>
  </si>
  <si>
    <t>2. Fill in Demographics, Open, Closed and Hybrid sheets</t>
  </si>
  <si>
    <t>These four sheets are how you tell Consult to interpret your data. For each row, type the column LETTER (e.g. A, D, BF) from the Responses sheet plus the metadata (question text, etc.) so Consult knows what that column contains.</t>
  </si>
  <si>
    <t>3. Watch Active issues</t>
  </si>
  <si>
    <t>Every edit re-runs the checks against the data you have provided. Active issues lists everything currently flagged — fix Errors, review 'To check' items.</t>
  </si>
  <si>
    <t>4. Confirm no errors remain</t>
  </si>
  <si>
    <t>When Active issues shows zero Errors, the workbook may be ready for  to share with iAI. Some warnings may be false positives, but do check each one and confirm it's intentional.</t>
  </si>
  <si>
    <t>Severity — what Errors and 'To check' mean</t>
  </si>
  <si>
    <t>MUST be fixed before running the consultation. The pipeline cannot proceed — e.g. a row references a column letter that doesn't exist on Responses, or a question_number is missing or duplicated.</t>
  </si>
  <si>
    <t xml:space="preserve">Please review each one and decided whether a fix is needed. For example, there might be a mismatch between the label that you have provided in the question_text column and the header on the Responses sheet, which causes a 'To check' flag — if you intended those to be different, you can ignore the warning. </t>
  </si>
  <si>
    <t>What each sheet is for</t>
  </si>
  <si>
    <t>Live dashboard. Lists every Error and 'To check' item across the workbook, updated as you edit. Start and end your session here.</t>
  </si>
  <si>
    <t>Your raw survey export. Each column holds the respondents' answers to one question or one demographic. Row 1 is the header for each column.</t>
  </si>
  <si>
    <t>Maps Responses columns that hold demographics (e.g. region, age, organisation type) to short labels. Used to filter and segment results.</t>
  </si>
  <si>
    <t>One row per free-text question. Points at a Responses column whose answers are free and open text.</t>
  </si>
  <si>
    <t>One row per multiple-choice question. Points at a Responses column whose answers come from a fixed list (e.g. Yes/No, Agree/Disagree, …).</t>
  </si>
  <si>
    <t>One row per question that has BOTH a multiple-choice part and a free-text 'why?' part — points at the two Responses columns that hold them.</t>
  </si>
  <si>
    <t>What good question text looks like</t>
  </si>
  <si>
    <t>IMPORTANT: the Question text is the title that Consult — and the AI model behind it — sees when analysing each response. It is the model's main signal for what was actually asked. If the question text is vague, truncated, or missing the framing the respondent saw, the model will misinterpret answers and the themes it generates will be off. Treat this column as the prompt you're giving the AI: give it enough context to understand the question on its own, without you in the room to explain.</t>
  </si>
  <si>
    <t>•</t>
  </si>
  <si>
    <t>Reads as a complete, standalone question — the AI model (and any analyst) should be able to understand what respondents were asked from this row alone.</t>
  </si>
  <si>
    <t>Includes the preamble or framing that appeared with the question on the form (e.g. 'Considering the proposed boundary changes, …'). Without it, the model loses the topic the question is about.</t>
  </si>
  <si>
    <t>Matches the wording on the Responses header reasonably closely (the label-similarity check flags large mismatches as 'To check').</t>
  </si>
  <si>
    <t>Is a single question with just enough context — not a paragraph of background. Don't paste in policy notes or explanatory waffle that wasn't shown to respondents; that adds noise the model has to wade through.</t>
  </si>
  <si>
    <t>No leading numbering like 'Q1.' / 'Question 3:' — put the number in the Question number column instead.</t>
  </si>
  <si>
    <t>Examples — Open Questions</t>
  </si>
  <si>
    <t>Example</t>
  </si>
  <si>
    <t>Why</t>
  </si>
  <si>
    <t>Good</t>
  </si>
  <si>
    <t>What role would you and/or your organisation play in achieving the proposed outcomes?</t>
  </si>
  <si>
    <t>Reads as a full, self-contained question. The AI knows it's asking about the respondent's role in delivering the proposal — so it can correctly group answers like 'we'd run training' under a 'role: training provider' theme.</t>
  </si>
  <si>
    <t>Bad</t>
  </si>
  <si>
    <t>role played</t>
  </si>
  <si>
    <t>Two words with no context. The model has no idea what role, in what, or whose. It can't tell whether 'we organised workshops' is on-topic or not, so themes will be generic and noisy.</t>
  </si>
  <si>
    <t>Considering the proposal in section 3, please explain the most important factors to achieving the proposed outcomes.</t>
  </si>
  <si>
    <t>Names the proposal being asked about and the type of answer expected (factors, not opinions). The model can anchor themes to 'enablers of the section 3 proposal'.</t>
  </si>
  <si>
    <t>Section 3 — see attached policy paper for the full background and context, including the previous consultation responses from 2023, the impact assessment, and the equality screening. Free text.</t>
  </si>
  <si>
    <t>Mostly background admin that the respondent never saw. The actual question is buried (or missing). The model wastes its context budget on irrelevant framing.</t>
  </si>
  <si>
    <t>Examples — Multiple Choice Questions</t>
  </si>
  <si>
    <t>To what extent do you agree or disagree that the proposed councils are the right size to be efficient?</t>
  </si>
  <si>
    <t>Specifies the dimension being judged (size → efficiency) and the scale of answer. Free-text rationales attached to it can be themed against that specific claim.</t>
  </si>
  <si>
    <t>Q3 size</t>
  </si>
  <si>
    <t>Just an internal reference. The model doesn't know what about size was being judged, what the scale was, or which proposal.</t>
  </si>
  <si>
    <t>Examples — Hybrid Questions</t>
  </si>
  <si>
    <t>Where do each of the proposed outcomes sit on a scale from very useful to not useful at all? Please explain your answer.</t>
  </si>
  <si>
    <t>Captures both halves of the hybrid in one sentence: the scale (very useful → not useful) and the prompt for free-text reasoning. The model can connect each rating with its rationale.</t>
  </si>
  <si>
    <t>See attached. (open + closed combined)</t>
  </si>
  <si>
    <t>Tells the AI nothing — there's no attached document at analysis time. Themes will collapse across unrelated outcomes because the model can't tell them apart.</t>
  </si>
  <si>
    <t>Examples — Demographics labels</t>
  </si>
  <si>
    <t>Short, neutral, fits in dashboard filter chips. Analysts can scan a dropdown of demographics and immediately know what this one slices by.</t>
  </si>
  <si>
    <t>Q12 — In which of the following capacities are you responding to this consultation? (please tick one)</t>
  </si>
  <si>
    <t>That's the question wording, not a label. It won't fit in a filter UI and 'Q12' is meaningless to anyone outside the drafting team.</t>
  </si>
  <si>
    <t>Cross-sheet column references</t>
  </si>
  <si>
    <t>Whenever Demographics, Open, Closed or Hybrid asks for a 'column letter', it always means a column on the Responses sheet. So if Responses!I1 has the header 'What role would you play?', type 'I' in the column-letter cell on the relevant Demographics / Open / Closed / Hybrid sheet. The workbook automatically pink-fills cells whose letter doesn't match a populated Responses header.</t>
  </si>
</sst>
</file>

<file path=xl/styles.xml><?xml version="1.0" encoding="utf-8"?>
<styleSheet xmlns="http://schemas.openxmlformats.org/spreadsheetml/2006/main">
  <fonts count="9">
    <font>
      <sz val="11"/>
      <color theme="1"/>
      <name val="Calibri"/>
      <family val="2"/>
      <scheme val="minor"/>
    </font>
    <font>
      <b/>
      <sz val="14"/>
      <color theme="1"/>
      <name val="Calibri"/>
      <family val="2"/>
      <scheme val="minor"/>
    </font>
    <font>
      <b/>
      <sz val="14"/>
      <color rgb="FF9C0006"/>
      <name val="Calibri"/>
      <family val="2"/>
      <scheme val="minor"/>
    </font>
    <font>
      <b/>
      <sz val="13"/>
      <color theme="1"/>
      <name val="Calibri"/>
      <family val="2"/>
      <scheme val="minor"/>
    </font>
    <font>
      <b/>
      <sz val="11"/>
      <color theme="1"/>
      <name val="Calibri"/>
      <family val="2"/>
      <scheme val="minor"/>
    </font>
    <font>
      <b/>
      <sz val="14"/>
      <color rgb="FFC00000"/>
      <name val="Calibri"/>
      <family val="2"/>
      <scheme val="minor"/>
    </font>
    <font>
      <b/>
      <sz val="14"/>
      <color rgb="FFB25E00"/>
      <name val="Calibri"/>
      <family val="2"/>
      <scheme val="minor"/>
    </font>
    <font>
      <i/>
      <sz val="11"/>
      <color theme="1"/>
      <name val="Calibri"/>
      <family val="2"/>
      <scheme val="minor"/>
    </font>
    <font>
      <sz val="8"/>
      <color indexed="81"/>
      <name val="Tahoma"/>
      <family val="2"/>
    </font>
  </fonts>
  <fills count="8">
    <fill>
      <patternFill patternType="none"/>
    </fill>
    <fill>
      <patternFill patternType="gray125"/>
    </fill>
    <fill>
      <patternFill patternType="solid">
        <fgColor rgb="FFFFE699"/>
        <bgColor indexed="64"/>
      </patternFill>
    </fill>
    <fill>
      <patternFill patternType="solid">
        <fgColor rgb="FFD9E1F2"/>
        <bgColor indexed="64"/>
      </patternFill>
    </fill>
    <fill>
      <patternFill patternType="solid">
        <fgColor rgb="FFF4B6B6"/>
        <bgColor indexed="64"/>
      </patternFill>
    </fill>
    <fill>
      <patternFill patternType="solid">
        <fgColor rgb="FFFCE4D6"/>
        <bgColor indexed="64"/>
      </patternFill>
    </fill>
    <fill>
      <patternFill patternType="solid">
        <fgColor rgb="FFE2EFDA"/>
        <bgColor indexed="64"/>
      </patternFill>
    </fill>
    <fill>
      <patternFill patternType="solid">
        <fgColor rgb="FFFFFCE6"/>
        <bgColor indexed="64"/>
      </patternFill>
    </fill>
  </fills>
  <borders count="5">
    <border>
      <left/>
      <right/>
      <top/>
      <bottom/>
      <diagonal/>
    </border>
    <border>
      <left style="medium">
        <color rgb="FF9C0006"/>
      </left>
      <right style="medium">
        <color rgb="FF9C0006"/>
      </right>
      <top style="medium">
        <color rgb="FF9C0006"/>
      </top>
      <bottom style="medium">
        <color rgb="FF9C0006"/>
      </bottom>
      <diagonal/>
    </border>
    <border>
      <left style="thin">
        <color auto="1"/>
      </left>
      <right style="thin">
        <color auto="1"/>
      </right>
      <top style="thin">
        <color auto="1"/>
      </top>
      <bottom style="thin">
        <color auto="1"/>
      </bottom>
      <diagonal/>
    </border>
    <border>
      <left style="thin">
        <color rgb="FFA9D08E"/>
      </left>
      <right style="thin">
        <color rgb="FFA9D08E"/>
      </right>
      <top style="thin">
        <color rgb="FFA9D08E"/>
      </top>
      <bottom style="thin">
        <color rgb="FFA9D08E"/>
      </bottom>
      <diagonal/>
    </border>
    <border>
      <left style="thin">
        <color rgb="FFE0928E"/>
      </left>
      <right style="thin">
        <color rgb="FFE0928E"/>
      </right>
      <top style="thin">
        <color rgb="FFE0928E"/>
      </top>
      <bottom style="thin">
        <color rgb="FFE0928E"/>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left" vertical="top" wrapText="1"/>
    </xf>
    <xf numFmtId="0" fontId="3" fillId="3" borderId="0" xfId="0" applyFont="1" applyFill="1" applyAlignment="1">
      <alignment vertical="top"/>
    </xf>
    <xf numFmtId="0" fontId="0" fillId="0" borderId="0" xfId="0" applyAlignment="1">
      <alignment vertical="top" wrapText="1"/>
    </xf>
    <xf numFmtId="0" fontId="4" fillId="0" borderId="0" xfId="0" applyFont="1" applyAlignment="1">
      <alignment vertical="top"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3" borderId="2" xfId="0" applyFont="1" applyFill="1" applyBorder="1" applyAlignment="1">
      <alignment vertical="top"/>
    </xf>
    <xf numFmtId="0" fontId="0" fillId="6" borderId="3" xfId="0" applyFill="1" applyBorder="1" applyAlignment="1">
      <alignment vertical="top" wrapText="1"/>
    </xf>
    <xf numFmtId="0" fontId="0" fillId="5" borderId="4" xfId="0" applyFill="1" applyBorder="1" applyAlignment="1">
      <alignment vertical="top" wrapText="1"/>
    </xf>
    <xf numFmtId="0" fontId="0" fillId="7" borderId="0" xfId="0" applyFill="1" applyAlignment="1" applyProtection="1">
      <alignment vertical="top" wrapText="1"/>
      <protection locked="0"/>
    </xf>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vertical="top" wrapText="1"/>
    </xf>
    <xf numFmtId="0" fontId="4" fillId="3" borderId="0" xfId="0" applyFont="1" applyFill="1"/>
    <xf numFmtId="0" fontId="4" fillId="2" borderId="0" xfId="0" applyFont="1" applyFill="1" applyAlignment="1">
      <alignment vertical="top" wrapText="1"/>
    </xf>
    <xf numFmtId="1" fontId="0" fillId="0" borderId="0" xfId="0" applyNumberFormat="1"/>
  </cellXfs>
  <cellStyles count="1">
    <cellStyle name="Normal" xfId="0" builtinId="0"/>
  </cellStyles>
  <dxfs count="2">
    <dxf>
      <fill>
        <patternFill>
          <bgColor rgb="FFFCE4D6"/>
        </patternFill>
      </fill>
    </dxf>
    <dxf>
      <fill>
        <patternFill>
          <bgColor rgb="FFF4B6B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C58"/>
  <sheetViews>
    <sheetView showGridLines="0" tabSelected="1" workbookViewId="0">
      <pane ySplit="1" topLeftCell="A2" activePane="bottomLeft" state="frozen"/>
      <selection pane="bottomLeft"/>
    </sheetView>
  </sheetViews>
  <sheetFormatPr defaultRowHeight="15"/>
  <cols>
    <col min="1" max="1" width="16.7109375" customWidth="1"/>
    <col min="2" max="3" width="60.7109375" customWidth="1"/>
  </cols>
  <sheetData>
    <row r="1" spans="1:3" ht="26" customHeight="1">
      <c r="A1" s="1" t="s">
        <v>2530</v>
      </c>
      <c r="B1" s="1"/>
      <c r="C1" s="1"/>
    </row>
    <row r="2" spans="1:3" ht="28" customHeight="1">
      <c r="A2" s="2" t="s">
        <v>2531</v>
      </c>
      <c r="B2" s="2"/>
      <c r="C2" s="2"/>
    </row>
    <row r="3" spans="1:3" ht="28" customHeight="1">
      <c r="A3" s="2"/>
      <c r="B3" s="2"/>
      <c r="C3" s="2"/>
    </row>
    <row r="4" spans="1:3" ht="28" customHeight="1">
      <c r="A4" s="2"/>
      <c r="B4" s="2"/>
      <c r="C4" s="2"/>
    </row>
    <row r="6" spans="1:3" ht="22" customHeight="1">
      <c r="A6" s="3" t="s">
        <v>2532</v>
      </c>
      <c r="B6" s="3"/>
      <c r="C6" s="3"/>
    </row>
    <row r="7" spans="1:3" ht="100" customHeight="1">
      <c r="A7" s="4" t="s">
        <v>2533</v>
      </c>
      <c r="B7" s="4"/>
      <c r="C7" s="4"/>
    </row>
    <row r="8" spans="1:3" ht="50" customHeight="1">
      <c r="A8" s="5" t="s">
        <v>2534</v>
      </c>
      <c r="B8" s="4" t="s">
        <v>2535</v>
      </c>
      <c r="C8" s="4"/>
    </row>
    <row r="9" spans="1:3" ht="80" customHeight="1">
      <c r="A9" s="5" t="s">
        <v>2536</v>
      </c>
      <c r="B9" s="4" t="s">
        <v>2537</v>
      </c>
      <c r="C9" s="4"/>
    </row>
    <row r="10" spans="1:3" ht="50" customHeight="1">
      <c r="A10" s="5" t="s">
        <v>2538</v>
      </c>
      <c r="B10" s="4" t="s">
        <v>2539</v>
      </c>
      <c r="C10" s="4"/>
    </row>
    <row r="11" spans="1:3" ht="38" customHeight="1">
      <c r="A11" s="5" t="s">
        <v>2540</v>
      </c>
      <c r="B11" s="4" t="s">
        <v>2541</v>
      </c>
      <c r="C11" s="4"/>
    </row>
    <row r="13" spans="1:3" ht="22" customHeight="1">
      <c r="A13" s="3" t="s">
        <v>2542</v>
      </c>
      <c r="B13" s="3"/>
      <c r="C13" s="3"/>
    </row>
    <row r="14" spans="1:3" ht="60" customHeight="1">
      <c r="A14" s="6" t="s">
        <v>165</v>
      </c>
      <c r="B14" s="4" t="s">
        <v>2543</v>
      </c>
    </row>
    <row r="15" spans="1:3" ht="80" customHeight="1">
      <c r="A15" s="7" t="s">
        <v>1808</v>
      </c>
      <c r="B15" s="4" t="s">
        <v>2544</v>
      </c>
    </row>
    <row r="17" spans="1:3" ht="22" customHeight="1">
      <c r="A17" s="3" t="s">
        <v>2545</v>
      </c>
      <c r="B17" s="3"/>
      <c r="C17" s="3"/>
    </row>
    <row r="18" spans="1:3" ht="52" customHeight="1">
      <c r="A18" s="5" t="s">
        <v>2525</v>
      </c>
      <c r="B18" s="4" t="s">
        <v>2546</v>
      </c>
      <c r="C18" s="4"/>
    </row>
    <row r="19" spans="1:3" ht="52" customHeight="1">
      <c r="A19" s="5" t="s">
        <v>334</v>
      </c>
      <c r="B19" s="4" t="s">
        <v>2547</v>
      </c>
      <c r="C19" s="4"/>
    </row>
    <row r="20" spans="1:3" ht="52" customHeight="1">
      <c r="A20" s="5" t="s">
        <v>162</v>
      </c>
      <c r="B20" s="4" t="s">
        <v>2548</v>
      </c>
      <c r="C20" s="4"/>
    </row>
    <row r="21" spans="1:3" ht="52" customHeight="1">
      <c r="A21" s="5" t="s">
        <v>216</v>
      </c>
      <c r="B21" s="4" t="s">
        <v>2549</v>
      </c>
      <c r="C21" s="4"/>
    </row>
    <row r="22" spans="1:3" ht="52" customHeight="1">
      <c r="A22" s="5" t="s">
        <v>218</v>
      </c>
      <c r="B22" s="4" t="s">
        <v>2550</v>
      </c>
      <c r="C22" s="4"/>
    </row>
    <row r="23" spans="1:3" ht="52" customHeight="1">
      <c r="A23" s="5" t="s">
        <v>271</v>
      </c>
      <c r="B23" s="4" t="s">
        <v>2551</v>
      </c>
      <c r="C23" s="4"/>
    </row>
    <row r="25" spans="1:3" ht="22" customHeight="1">
      <c r="A25" s="3" t="s">
        <v>2552</v>
      </c>
      <c r="B25" s="3"/>
      <c r="C25" s="3"/>
    </row>
    <row r="26" spans="1:3" ht="110" customHeight="1">
      <c r="A26" s="4" t="s">
        <v>2553</v>
      </c>
      <c r="B26" s="4"/>
      <c r="C26" s="4"/>
    </row>
    <row r="27" spans="1:3" ht="38" customHeight="1">
      <c r="A27" s="5" t="s">
        <v>2554</v>
      </c>
      <c r="B27" s="4" t="s">
        <v>2555</v>
      </c>
      <c r="C27" s="4"/>
    </row>
    <row r="28" spans="1:3" ht="38" customHeight="1">
      <c r="A28" s="5" t="s">
        <v>2554</v>
      </c>
      <c r="B28" s="4" t="s">
        <v>2556</v>
      </c>
      <c r="C28" s="4"/>
    </row>
    <row r="29" spans="1:3" ht="38" customHeight="1">
      <c r="A29" s="5" t="s">
        <v>2554</v>
      </c>
      <c r="B29" s="4" t="s">
        <v>2557</v>
      </c>
      <c r="C29" s="4"/>
    </row>
    <row r="30" spans="1:3" ht="38" customHeight="1">
      <c r="A30" s="5" t="s">
        <v>2554</v>
      </c>
      <c r="B30" s="4" t="s">
        <v>2558</v>
      </c>
      <c r="C30" s="4"/>
    </row>
    <row r="31" spans="1:3" ht="38" customHeight="1">
      <c r="A31" s="5" t="s">
        <v>2554</v>
      </c>
      <c r="B31" s="4" t="s">
        <v>2559</v>
      </c>
      <c r="C31" s="4"/>
    </row>
    <row r="33" spans="1:3" ht="22" customHeight="1">
      <c r="A33" s="3" t="s">
        <v>2560</v>
      </c>
      <c r="B33" s="3"/>
      <c r="C33" s="3"/>
    </row>
    <row r="34" spans="1:3" ht="22" customHeight="1">
      <c r="A34" s="8"/>
      <c r="B34" s="8" t="s">
        <v>2561</v>
      </c>
      <c r="C34" s="8" t="s">
        <v>2562</v>
      </c>
    </row>
    <row r="35" spans="1:3" ht="44" customHeight="1">
      <c r="A35" s="9" t="s">
        <v>2563</v>
      </c>
      <c r="B35" s="9" t="s">
        <v>2564</v>
      </c>
      <c r="C35" s="9" t="s">
        <v>2565</v>
      </c>
    </row>
    <row r="36" spans="1:3" ht="44" customHeight="1">
      <c r="A36" s="10" t="s">
        <v>2566</v>
      </c>
      <c r="B36" s="10" t="s">
        <v>2567</v>
      </c>
      <c r="C36" s="10" t="s">
        <v>2568</v>
      </c>
    </row>
    <row r="38" spans="1:3" ht="22" customHeight="1">
      <c r="A38" s="8"/>
      <c r="B38" s="8" t="s">
        <v>2561</v>
      </c>
      <c r="C38" s="8" t="s">
        <v>2562</v>
      </c>
    </row>
    <row r="39" spans="1:3" ht="78" customHeight="1">
      <c r="A39" s="9" t="s">
        <v>2563</v>
      </c>
      <c r="B39" s="9" t="s">
        <v>2569</v>
      </c>
      <c r="C39" s="9" t="s">
        <v>2570</v>
      </c>
    </row>
    <row r="40" spans="1:3" ht="78" customHeight="1">
      <c r="A40" s="10" t="s">
        <v>2566</v>
      </c>
      <c r="B40" s="10" t="s">
        <v>2571</v>
      </c>
      <c r="C40" s="10" t="s">
        <v>2572</v>
      </c>
    </row>
    <row r="42" spans="1:3" ht="22" customHeight="1">
      <c r="A42" s="3" t="s">
        <v>2573</v>
      </c>
      <c r="B42" s="3"/>
      <c r="C42" s="3"/>
    </row>
    <row r="43" spans="1:3" ht="22" customHeight="1">
      <c r="A43" s="8"/>
      <c r="B43" s="8" t="s">
        <v>2561</v>
      </c>
      <c r="C43" s="8" t="s">
        <v>2562</v>
      </c>
    </row>
    <row r="44" spans="1:3" ht="44" customHeight="1">
      <c r="A44" s="9" t="s">
        <v>2563</v>
      </c>
      <c r="B44" s="9" t="s">
        <v>2574</v>
      </c>
      <c r="C44" s="9" t="s">
        <v>2575</v>
      </c>
    </row>
    <row r="45" spans="1:3" ht="44" customHeight="1">
      <c r="A45" s="10" t="s">
        <v>2566</v>
      </c>
      <c r="B45" s="10" t="s">
        <v>2576</v>
      </c>
      <c r="C45" s="10" t="s">
        <v>2577</v>
      </c>
    </row>
    <row r="47" spans="1:3" ht="22" customHeight="1">
      <c r="A47" s="3" t="s">
        <v>2578</v>
      </c>
      <c r="B47" s="3"/>
      <c r="C47" s="3"/>
    </row>
    <row r="48" spans="1:3" ht="22" customHeight="1">
      <c r="A48" s="8"/>
      <c r="B48" s="8" t="s">
        <v>2561</v>
      </c>
      <c r="C48" s="8" t="s">
        <v>2562</v>
      </c>
    </row>
    <row r="49" spans="1:3" ht="60" customHeight="1">
      <c r="A49" s="9" t="s">
        <v>2563</v>
      </c>
      <c r="B49" s="9" t="s">
        <v>2579</v>
      </c>
      <c r="C49" s="9" t="s">
        <v>2580</v>
      </c>
    </row>
    <row r="50" spans="1:3" ht="60" customHeight="1">
      <c r="A50" s="10" t="s">
        <v>2566</v>
      </c>
      <c r="B50" s="10" t="s">
        <v>2581</v>
      </c>
      <c r="C50" s="10" t="s">
        <v>2582</v>
      </c>
    </row>
    <row r="52" spans="1:3" ht="22" customHeight="1">
      <c r="A52" s="3" t="s">
        <v>2583</v>
      </c>
      <c r="B52" s="3"/>
      <c r="C52" s="3"/>
    </row>
    <row r="53" spans="1:3" ht="22" customHeight="1">
      <c r="A53" s="8"/>
      <c r="B53" s="8" t="s">
        <v>2561</v>
      </c>
      <c r="C53" s="8" t="s">
        <v>2562</v>
      </c>
    </row>
    <row r="54" spans="1:3" ht="44" customHeight="1">
      <c r="A54" s="9" t="s">
        <v>2563</v>
      </c>
      <c r="B54" s="9" t="s">
        <v>138</v>
      </c>
      <c r="C54" s="9" t="s">
        <v>2584</v>
      </c>
    </row>
    <row r="55" spans="1:3" ht="44" customHeight="1">
      <c r="A55" s="10" t="s">
        <v>2566</v>
      </c>
      <c r="B55" s="10" t="s">
        <v>2585</v>
      </c>
      <c r="C55" s="10" t="s">
        <v>2586</v>
      </c>
    </row>
    <row r="57" spans="1:3" ht="22" customHeight="1">
      <c r="A57" s="3" t="s">
        <v>2587</v>
      </c>
      <c r="B57" s="3"/>
      <c r="C57" s="3"/>
    </row>
    <row r="58" spans="1:3" ht="96" customHeight="1">
      <c r="A58" s="4" t="s">
        <v>2588</v>
      </c>
      <c r="B58" s="4"/>
      <c r="C58" s="4"/>
    </row>
  </sheetData>
  <sheetProtection sheet="1" objects="1" scenarios="1"/>
  <mergeCells count="29">
    <mergeCell ref="A1:C1"/>
    <mergeCell ref="A2:C4"/>
    <mergeCell ref="A6:C6"/>
    <mergeCell ref="A7:C7"/>
    <mergeCell ref="B8:C8"/>
    <mergeCell ref="B9:C9"/>
    <mergeCell ref="B10:C10"/>
    <mergeCell ref="B11:C11"/>
    <mergeCell ref="A13:C13"/>
    <mergeCell ref="A17:C17"/>
    <mergeCell ref="B18:C18"/>
    <mergeCell ref="B19:C19"/>
    <mergeCell ref="B20:C20"/>
    <mergeCell ref="B21:C21"/>
    <mergeCell ref="B22:C22"/>
    <mergeCell ref="B23:C23"/>
    <mergeCell ref="A25:C25"/>
    <mergeCell ref="A26:C26"/>
    <mergeCell ref="B27:C27"/>
    <mergeCell ref="B28:C28"/>
    <mergeCell ref="B29:C29"/>
    <mergeCell ref="B30:C30"/>
    <mergeCell ref="B31:C31"/>
    <mergeCell ref="A33:C33"/>
    <mergeCell ref="A42:C42"/>
    <mergeCell ref="A47:C47"/>
    <mergeCell ref="A52:C52"/>
    <mergeCell ref="A57:C57"/>
    <mergeCell ref="A58:C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 min="7" max="7" width="50.7109375" style="11" customWidth="1"/>
  </cols>
  <sheetData>
    <row r="1" spans="1:7">
      <c r="A1" s="1" t="s">
        <v>2525</v>
      </c>
      <c r="B1" s="1"/>
      <c r="C1" s="1"/>
      <c r="D1" s="1"/>
      <c r="E1" s="1"/>
      <c r="F1" s="1"/>
      <c r="G1" s="1"/>
    </row>
    <row r="2" spans="1:7">
      <c r="A2" s="12" t="s">
        <v>2526</v>
      </c>
      <c r="B2" s="13">
        <f>SUMPRODUCT((Issues!E5:E3409&lt;&gt;"")*(Issues!D5:D3409="Error"))</f>
        <v>0</v>
      </c>
      <c r="C2" s="12" t="s">
        <v>2527</v>
      </c>
      <c r="D2" s="14">
        <f>SUMPRODUCT((Issues!E5:E3409&lt;&gt;"")*(Issues!D5:D3409="To check"))</f>
        <v>0</v>
      </c>
    </row>
    <row r="3" spans="1:7" ht="36" customHeight="1">
      <c r="A3" s="15" t="s">
        <v>2528</v>
      </c>
      <c r="B3" s="15"/>
      <c r="C3" s="15"/>
      <c r="D3" s="15"/>
      <c r="E3" s="15"/>
      <c r="F3" s="15"/>
      <c r="G3" s="15"/>
    </row>
    <row r="4" spans="1:7" ht="32" customHeight="1">
      <c r="A4" s="16" t="s">
        <v>156</v>
      </c>
      <c r="B4" s="16" t="s">
        <v>157</v>
      </c>
      <c r="C4" s="16" t="s">
        <v>158</v>
      </c>
      <c r="D4" s="16" t="s">
        <v>159</v>
      </c>
      <c r="E4" s="16" t="s">
        <v>160</v>
      </c>
      <c r="F4" s="16" t="s">
        <v>161</v>
      </c>
      <c r="G4" s="17" t="s">
        <v>2529</v>
      </c>
    </row>
    <row r="5" spans="1:7" ht="120" customHeight="1">
      <c r="A5" cm="1">
        <f t="array" ref="A5">_xlfn._xlws.FILTER(Issues!A5:F3409,Issues!E5:E3409&lt;&gt;"","No outstanding issues — fill in the Demographics, Open, Closed and Hybrid sheets to begin.")</f>
        <v>0</v>
      </c>
    </row>
    <row r="6" spans="1:7" ht="120" customHeight="1"/>
    <row r="7" spans="1:7" ht="120" customHeight="1"/>
    <row r="8" spans="1:7" ht="120" customHeight="1"/>
    <row r="9" spans="1:7" ht="120" customHeight="1"/>
    <row r="10" spans="1:7" ht="120" customHeight="1"/>
    <row r="11" spans="1:7" ht="120" customHeight="1"/>
    <row r="12" spans="1:7" ht="120" customHeight="1"/>
    <row r="13" spans="1:7" ht="120" customHeight="1"/>
    <row r="14" spans="1:7" ht="120" customHeight="1"/>
    <row r="15" spans="1:7" ht="120" customHeight="1"/>
    <row r="16" spans="1:7"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row r="1002" ht="120" customHeight="1"/>
    <row r="1003" ht="120" customHeight="1"/>
    <row r="1004" ht="120" customHeight="1"/>
    <row r="1005" ht="120" customHeight="1"/>
    <row r="1006" ht="120" customHeight="1"/>
    <row r="1007" ht="120" customHeight="1"/>
    <row r="1008" ht="120" customHeight="1"/>
    <row r="1009" ht="120" customHeight="1"/>
    <row r="1010" ht="120" customHeight="1"/>
    <row r="1011" ht="120" customHeight="1"/>
    <row r="1012" ht="120" customHeight="1"/>
    <row r="1013" ht="120" customHeight="1"/>
    <row r="1014" ht="120" customHeight="1"/>
    <row r="1015" ht="120" customHeight="1"/>
    <row r="1016" ht="120" customHeight="1"/>
    <row r="1017" ht="120" customHeight="1"/>
    <row r="1018" ht="120" customHeight="1"/>
    <row r="1019" ht="120" customHeight="1"/>
    <row r="1020" ht="120" customHeight="1"/>
    <row r="1021" ht="120" customHeight="1"/>
    <row r="1022" ht="120" customHeight="1"/>
    <row r="1023" ht="120" customHeight="1"/>
    <row r="1024" ht="120" customHeight="1"/>
    <row r="1025" ht="120" customHeight="1"/>
    <row r="1026" ht="120" customHeight="1"/>
    <row r="1027" ht="120" customHeight="1"/>
    <row r="1028" ht="120" customHeight="1"/>
    <row r="1029" ht="120" customHeight="1"/>
    <row r="1030" ht="120" customHeight="1"/>
    <row r="1031" ht="120" customHeight="1"/>
    <row r="1032" ht="120" customHeight="1"/>
    <row r="1033" ht="120" customHeight="1"/>
    <row r="1034" ht="120" customHeight="1"/>
    <row r="1035" ht="120" customHeight="1"/>
    <row r="1036" ht="120" customHeight="1"/>
    <row r="1037" ht="120" customHeight="1"/>
    <row r="1038" ht="120" customHeight="1"/>
    <row r="1039" ht="120" customHeight="1"/>
    <row r="1040" ht="120" customHeight="1"/>
    <row r="1041" ht="120" customHeight="1"/>
    <row r="1042" ht="120" customHeight="1"/>
    <row r="1043" ht="120" customHeight="1"/>
    <row r="1044" ht="120" customHeight="1"/>
    <row r="1045" ht="120" customHeight="1"/>
    <row r="1046" ht="120" customHeight="1"/>
    <row r="1047" ht="120" customHeight="1"/>
    <row r="1048" ht="120" customHeight="1"/>
    <row r="1049" ht="120" customHeight="1"/>
    <row r="1050" ht="120" customHeight="1"/>
    <row r="1051" ht="120" customHeight="1"/>
    <row r="1052" ht="120" customHeight="1"/>
    <row r="1053" ht="120" customHeight="1"/>
    <row r="1054" ht="120" customHeight="1"/>
    <row r="1055" ht="120" customHeight="1"/>
    <row r="1056" ht="120" customHeight="1"/>
    <row r="1057" ht="120" customHeight="1"/>
    <row r="1058" ht="120" customHeight="1"/>
    <row r="1059" ht="120" customHeight="1"/>
    <row r="1060" ht="120" customHeight="1"/>
    <row r="1061" ht="120" customHeight="1"/>
    <row r="1062" ht="120" customHeight="1"/>
    <row r="1063" ht="120" customHeight="1"/>
    <row r="1064" ht="120" customHeight="1"/>
    <row r="1065" ht="120" customHeight="1"/>
    <row r="1066" ht="120" customHeight="1"/>
    <row r="1067" ht="120" customHeight="1"/>
    <row r="1068" ht="120" customHeight="1"/>
    <row r="1069" ht="120" customHeight="1"/>
    <row r="1070" ht="120" customHeight="1"/>
    <row r="1071" ht="120" customHeight="1"/>
    <row r="1072" ht="120" customHeight="1"/>
    <row r="1073" ht="120" customHeight="1"/>
    <row r="1074" ht="120" customHeight="1"/>
    <row r="1075" ht="120" customHeight="1"/>
    <row r="1076" ht="120" customHeight="1"/>
    <row r="1077" ht="120" customHeight="1"/>
    <row r="1078" ht="120" customHeight="1"/>
    <row r="1079" ht="120" customHeight="1"/>
    <row r="1080" ht="120" customHeight="1"/>
    <row r="1081" ht="120" customHeight="1"/>
    <row r="1082" ht="120" customHeight="1"/>
    <row r="1083" ht="120" customHeight="1"/>
    <row r="1084" ht="120" customHeight="1"/>
    <row r="1085" ht="120" customHeight="1"/>
    <row r="1086" ht="120" customHeight="1"/>
    <row r="1087" ht="120" customHeight="1"/>
    <row r="1088" ht="120" customHeight="1"/>
    <row r="1089" ht="120" customHeight="1"/>
    <row r="1090" ht="120" customHeight="1"/>
    <row r="1091" ht="120" customHeight="1"/>
    <row r="1092" ht="120" customHeight="1"/>
    <row r="1093" ht="120" customHeight="1"/>
    <row r="1094" ht="120" customHeight="1"/>
    <row r="1095" ht="120" customHeight="1"/>
    <row r="1096" ht="120" customHeight="1"/>
    <row r="1097" ht="120" customHeight="1"/>
    <row r="1098" ht="120" customHeight="1"/>
    <row r="1099" ht="120" customHeight="1"/>
    <row r="1100" ht="120" customHeight="1"/>
    <row r="1101" ht="120" customHeight="1"/>
    <row r="1102" ht="120" customHeight="1"/>
    <row r="1103" ht="120" customHeight="1"/>
    <row r="1104" ht="120" customHeight="1"/>
    <row r="1105" ht="120" customHeight="1"/>
    <row r="1106" ht="120" customHeight="1"/>
    <row r="1107" ht="120" customHeight="1"/>
    <row r="1108" ht="120" customHeight="1"/>
    <row r="1109" ht="120" customHeight="1"/>
    <row r="1110" ht="120" customHeight="1"/>
    <row r="1111" ht="120" customHeight="1"/>
    <row r="1112" ht="120" customHeight="1"/>
    <row r="1113" ht="120" customHeight="1"/>
    <row r="1114" ht="120" customHeight="1"/>
    <row r="1115" ht="120" customHeight="1"/>
    <row r="1116" ht="120" customHeight="1"/>
    <row r="1117" ht="120" customHeight="1"/>
    <row r="1118" ht="120" customHeight="1"/>
    <row r="1119" ht="120" customHeight="1"/>
    <row r="1120" ht="120" customHeight="1"/>
    <row r="1121" ht="120" customHeight="1"/>
    <row r="1122" ht="120" customHeight="1"/>
    <row r="1123" ht="120" customHeight="1"/>
    <row r="1124" ht="120" customHeight="1"/>
    <row r="1125" ht="120" customHeight="1"/>
    <row r="1126" ht="120" customHeight="1"/>
    <row r="1127" ht="120" customHeight="1"/>
    <row r="1128" ht="120" customHeight="1"/>
    <row r="1129" ht="120" customHeight="1"/>
    <row r="1130" ht="120" customHeight="1"/>
    <row r="1131" ht="120" customHeight="1"/>
    <row r="1132" ht="120" customHeight="1"/>
    <row r="1133" ht="120" customHeight="1"/>
    <row r="1134" ht="120" customHeight="1"/>
    <row r="1135" ht="120" customHeight="1"/>
    <row r="1136" ht="120" customHeight="1"/>
    <row r="1137" ht="120" customHeight="1"/>
    <row r="1138" ht="120" customHeight="1"/>
    <row r="1139" ht="120" customHeight="1"/>
    <row r="1140" ht="120" customHeight="1"/>
    <row r="1141" ht="120" customHeight="1"/>
    <row r="1142" ht="120" customHeight="1"/>
    <row r="1143" ht="120" customHeight="1"/>
    <row r="1144" ht="120" customHeight="1"/>
    <row r="1145" ht="120" customHeight="1"/>
    <row r="1146" ht="120" customHeight="1"/>
    <row r="1147" ht="120" customHeight="1"/>
    <row r="1148" ht="120" customHeight="1"/>
    <row r="1149" ht="120" customHeight="1"/>
    <row r="1150" ht="120" customHeight="1"/>
    <row r="1151" ht="120" customHeight="1"/>
    <row r="1152" ht="120" customHeight="1"/>
    <row r="1153" ht="120" customHeight="1"/>
    <row r="1154" ht="120" customHeight="1"/>
    <row r="1155" ht="120" customHeight="1"/>
    <row r="1156" ht="120" customHeight="1"/>
    <row r="1157" ht="120" customHeight="1"/>
    <row r="1158" ht="120" customHeight="1"/>
    <row r="1159" ht="120" customHeight="1"/>
    <row r="1160" ht="120" customHeight="1"/>
    <row r="1161" ht="120" customHeight="1"/>
    <row r="1162" ht="120" customHeight="1"/>
    <row r="1163" ht="120" customHeight="1"/>
    <row r="1164" ht="120" customHeight="1"/>
    <row r="1165" ht="120" customHeight="1"/>
    <row r="1166" ht="120" customHeight="1"/>
    <row r="1167" ht="120" customHeight="1"/>
    <row r="1168" ht="120" customHeight="1"/>
    <row r="1169" ht="120" customHeight="1"/>
    <row r="1170" ht="120" customHeight="1"/>
    <row r="1171" ht="120" customHeight="1"/>
    <row r="1172" ht="120" customHeight="1"/>
    <row r="1173" ht="120" customHeight="1"/>
    <row r="1174" ht="120" customHeight="1"/>
    <row r="1175" ht="120" customHeight="1"/>
    <row r="1176" ht="120" customHeight="1"/>
    <row r="1177" ht="120" customHeight="1"/>
    <row r="1178" ht="120" customHeight="1"/>
    <row r="1179" ht="120" customHeight="1"/>
    <row r="1180" ht="120" customHeight="1"/>
    <row r="1181" ht="120" customHeight="1"/>
    <row r="1182" ht="120" customHeight="1"/>
    <row r="1183" ht="120" customHeight="1"/>
    <row r="1184" ht="120" customHeight="1"/>
    <row r="1185" ht="120" customHeight="1"/>
    <row r="1186" ht="120" customHeight="1"/>
    <row r="1187" ht="120" customHeight="1"/>
    <row r="1188" ht="120" customHeight="1"/>
    <row r="1189" ht="120" customHeight="1"/>
    <row r="1190" ht="120" customHeight="1"/>
    <row r="1191" ht="120" customHeight="1"/>
    <row r="1192" ht="120" customHeight="1"/>
    <row r="1193" ht="120" customHeight="1"/>
    <row r="1194" ht="120" customHeight="1"/>
    <row r="1195" ht="120" customHeight="1"/>
    <row r="1196" ht="120" customHeight="1"/>
    <row r="1197" ht="120" customHeight="1"/>
    <row r="1198" ht="120" customHeight="1"/>
    <row r="1199" ht="120" customHeight="1"/>
    <row r="1200" ht="120" customHeight="1"/>
    <row r="1201" ht="120" customHeight="1"/>
    <row r="1202" ht="120" customHeight="1"/>
    <row r="1203" ht="120" customHeight="1"/>
    <row r="1204" ht="120" customHeight="1"/>
    <row r="1205" ht="120" customHeight="1"/>
    <row r="1206" ht="120" customHeight="1"/>
    <row r="1207" ht="120" customHeight="1"/>
    <row r="1208" ht="120" customHeight="1"/>
    <row r="1209" ht="120" customHeight="1"/>
    <row r="1210" ht="120" customHeight="1"/>
    <row r="1211" ht="120" customHeight="1"/>
    <row r="1212" ht="120" customHeight="1"/>
    <row r="1213" ht="120" customHeight="1"/>
    <row r="1214" ht="120" customHeight="1"/>
    <row r="1215" ht="120" customHeight="1"/>
    <row r="1216" ht="120" customHeight="1"/>
    <row r="1217" ht="120" customHeight="1"/>
    <row r="1218" ht="120" customHeight="1"/>
    <row r="1219" ht="120" customHeight="1"/>
    <row r="1220" ht="120" customHeight="1"/>
    <row r="1221" ht="120" customHeight="1"/>
    <row r="1222" ht="120" customHeight="1"/>
    <row r="1223" ht="120" customHeight="1"/>
    <row r="1224" ht="120" customHeight="1"/>
    <row r="1225" ht="120" customHeight="1"/>
    <row r="1226" ht="120" customHeight="1"/>
    <row r="1227" ht="120" customHeight="1"/>
    <row r="1228" ht="120" customHeight="1"/>
    <row r="1229" ht="120" customHeight="1"/>
    <row r="1230" ht="120" customHeight="1"/>
    <row r="1231" ht="120" customHeight="1"/>
    <row r="1232" ht="120" customHeight="1"/>
    <row r="1233" ht="120" customHeight="1"/>
    <row r="1234" ht="120" customHeight="1"/>
    <row r="1235" ht="120" customHeight="1"/>
    <row r="1236" ht="120" customHeight="1"/>
    <row r="1237" ht="120" customHeight="1"/>
    <row r="1238" ht="120" customHeight="1"/>
    <row r="1239" ht="120" customHeight="1"/>
    <row r="1240" ht="120" customHeight="1"/>
    <row r="1241" ht="120" customHeight="1"/>
    <row r="1242" ht="120" customHeight="1"/>
    <row r="1243" ht="120" customHeight="1"/>
    <row r="1244" ht="120" customHeight="1"/>
    <row r="1245" ht="120" customHeight="1"/>
    <row r="1246" ht="120" customHeight="1"/>
    <row r="1247" ht="120" customHeight="1"/>
    <row r="1248" ht="120" customHeight="1"/>
    <row r="1249" ht="120" customHeight="1"/>
    <row r="1250" ht="120" customHeight="1"/>
    <row r="1251" ht="120" customHeight="1"/>
    <row r="1252" ht="120" customHeight="1"/>
    <row r="1253" ht="120" customHeight="1"/>
    <row r="1254" ht="120" customHeight="1"/>
    <row r="1255" ht="120" customHeight="1"/>
    <row r="1256" ht="120" customHeight="1"/>
    <row r="1257" ht="120" customHeight="1"/>
    <row r="1258" ht="120" customHeight="1"/>
    <row r="1259" ht="120" customHeight="1"/>
    <row r="1260" ht="120" customHeight="1"/>
    <row r="1261" ht="120" customHeight="1"/>
    <row r="1262" ht="120" customHeight="1"/>
    <row r="1263" ht="120" customHeight="1"/>
    <row r="1264" ht="120" customHeight="1"/>
    <row r="1265" ht="120" customHeight="1"/>
    <row r="1266" ht="120" customHeight="1"/>
    <row r="1267" ht="120" customHeight="1"/>
    <row r="1268" ht="120" customHeight="1"/>
    <row r="1269" ht="120" customHeight="1"/>
    <row r="1270" ht="120" customHeight="1"/>
    <row r="1271" ht="120" customHeight="1"/>
    <row r="1272" ht="120" customHeight="1"/>
    <row r="1273" ht="120" customHeight="1"/>
    <row r="1274" ht="120" customHeight="1"/>
    <row r="1275" ht="120" customHeight="1"/>
    <row r="1276" ht="120" customHeight="1"/>
    <row r="1277" ht="120" customHeight="1"/>
    <row r="1278" ht="120" customHeight="1"/>
    <row r="1279" ht="120" customHeight="1"/>
    <row r="1280" ht="120" customHeight="1"/>
    <row r="1281" ht="120" customHeight="1"/>
    <row r="1282" ht="120" customHeight="1"/>
    <row r="1283" ht="120" customHeight="1"/>
    <row r="1284" ht="120" customHeight="1"/>
    <row r="1285" ht="120" customHeight="1"/>
    <row r="1286" ht="120" customHeight="1"/>
    <row r="1287" ht="120" customHeight="1"/>
    <row r="1288" ht="120" customHeight="1"/>
    <row r="1289" ht="120" customHeight="1"/>
    <row r="1290" ht="120" customHeight="1"/>
    <row r="1291" ht="120" customHeight="1"/>
    <row r="1292" ht="120" customHeight="1"/>
    <row r="1293" ht="120" customHeight="1"/>
    <row r="1294" ht="120" customHeight="1"/>
    <row r="1295" ht="120" customHeight="1"/>
    <row r="1296" ht="120" customHeight="1"/>
    <row r="1297" ht="120" customHeight="1"/>
    <row r="1298" ht="120" customHeight="1"/>
    <row r="1299" ht="120" customHeight="1"/>
    <row r="1300" ht="120" customHeight="1"/>
    <row r="1301" ht="120" customHeight="1"/>
    <row r="1302" ht="120" customHeight="1"/>
    <row r="1303" ht="120" customHeight="1"/>
    <row r="1304" ht="120" customHeight="1"/>
    <row r="1305" ht="120" customHeight="1"/>
    <row r="1306" ht="120" customHeight="1"/>
    <row r="1307" ht="120" customHeight="1"/>
    <row r="1308" ht="120" customHeight="1"/>
    <row r="1309" ht="120" customHeight="1"/>
    <row r="1310" ht="120" customHeight="1"/>
    <row r="1311" ht="120" customHeight="1"/>
    <row r="1312" ht="120" customHeight="1"/>
    <row r="1313" ht="120" customHeight="1"/>
    <row r="1314" ht="120" customHeight="1"/>
    <row r="1315" ht="120" customHeight="1"/>
    <row r="1316" ht="120" customHeight="1"/>
    <row r="1317" ht="120" customHeight="1"/>
    <row r="1318" ht="120" customHeight="1"/>
    <row r="1319" ht="120" customHeight="1"/>
    <row r="1320" ht="120" customHeight="1"/>
    <row r="1321" ht="120" customHeight="1"/>
    <row r="1322" ht="120" customHeight="1"/>
    <row r="1323" ht="120" customHeight="1"/>
    <row r="1324" ht="120" customHeight="1"/>
    <row r="1325" ht="120" customHeight="1"/>
    <row r="1326" ht="120" customHeight="1"/>
    <row r="1327" ht="120" customHeight="1"/>
    <row r="1328" ht="120" customHeight="1"/>
    <row r="1329" ht="120" customHeight="1"/>
    <row r="1330" ht="120" customHeight="1"/>
    <row r="1331" ht="120" customHeight="1"/>
    <row r="1332" ht="120" customHeight="1"/>
    <row r="1333" ht="120" customHeight="1"/>
    <row r="1334" ht="120" customHeight="1"/>
    <row r="1335" ht="120" customHeight="1"/>
    <row r="1336" ht="120" customHeight="1"/>
    <row r="1337" ht="120" customHeight="1"/>
    <row r="1338" ht="120" customHeight="1"/>
    <row r="1339" ht="120" customHeight="1"/>
    <row r="1340" ht="120" customHeight="1"/>
    <row r="1341" ht="120" customHeight="1"/>
    <row r="1342" ht="120" customHeight="1"/>
    <row r="1343" ht="120" customHeight="1"/>
    <row r="1344" ht="120" customHeight="1"/>
    <row r="1345" ht="120" customHeight="1"/>
    <row r="1346" ht="120" customHeight="1"/>
    <row r="1347" ht="120" customHeight="1"/>
    <row r="1348" ht="120" customHeight="1"/>
    <row r="1349" ht="120" customHeight="1"/>
    <row r="1350" ht="120" customHeight="1"/>
    <row r="1351" ht="120" customHeight="1"/>
    <row r="1352" ht="120" customHeight="1"/>
    <row r="1353" ht="120" customHeight="1"/>
    <row r="1354" ht="120" customHeight="1"/>
    <row r="1355" ht="120" customHeight="1"/>
    <row r="1356" ht="120" customHeight="1"/>
    <row r="1357" ht="120" customHeight="1"/>
    <row r="1358" ht="120" customHeight="1"/>
    <row r="1359" ht="120" customHeight="1"/>
    <row r="1360" ht="120" customHeight="1"/>
    <row r="1361" ht="120" customHeight="1"/>
    <row r="1362" ht="120" customHeight="1"/>
    <row r="1363" ht="120" customHeight="1"/>
    <row r="1364" ht="120" customHeight="1"/>
    <row r="1365" ht="120" customHeight="1"/>
    <row r="1366" ht="120" customHeight="1"/>
    <row r="1367" ht="120" customHeight="1"/>
    <row r="1368" ht="120" customHeight="1"/>
    <row r="1369" ht="120" customHeight="1"/>
    <row r="1370" ht="120" customHeight="1"/>
    <row r="1371" ht="120" customHeight="1"/>
    <row r="1372" ht="120" customHeight="1"/>
    <row r="1373" ht="120" customHeight="1"/>
    <row r="1374" ht="120" customHeight="1"/>
    <row r="1375" ht="120" customHeight="1"/>
    <row r="1376" ht="120" customHeight="1"/>
    <row r="1377" ht="120" customHeight="1"/>
    <row r="1378" ht="120" customHeight="1"/>
    <row r="1379" ht="120" customHeight="1"/>
    <row r="1380" ht="120" customHeight="1"/>
    <row r="1381" ht="120" customHeight="1"/>
    <row r="1382" ht="120" customHeight="1"/>
    <row r="1383" ht="120" customHeight="1"/>
    <row r="1384" ht="120" customHeight="1"/>
    <row r="1385" ht="120" customHeight="1"/>
    <row r="1386" ht="120" customHeight="1"/>
    <row r="1387" ht="120" customHeight="1"/>
    <row r="1388" ht="120" customHeight="1"/>
    <row r="1389" ht="120" customHeight="1"/>
    <row r="1390" ht="120" customHeight="1"/>
    <row r="1391" ht="120" customHeight="1"/>
    <row r="1392" ht="120" customHeight="1"/>
    <row r="1393" ht="120" customHeight="1"/>
    <row r="1394" ht="120" customHeight="1"/>
    <row r="1395" ht="120" customHeight="1"/>
    <row r="1396" ht="120" customHeight="1"/>
    <row r="1397" ht="120" customHeight="1"/>
    <row r="1398" ht="120" customHeight="1"/>
    <row r="1399" ht="120" customHeight="1"/>
    <row r="1400" ht="120" customHeight="1"/>
    <row r="1401" ht="120" customHeight="1"/>
    <row r="1402" ht="120" customHeight="1"/>
    <row r="1403" ht="120" customHeight="1"/>
    <row r="1404" ht="120" customHeight="1"/>
    <row r="1405" ht="120" customHeight="1"/>
    <row r="1406" ht="120" customHeight="1"/>
    <row r="1407" ht="120" customHeight="1"/>
    <row r="1408" ht="120" customHeight="1"/>
    <row r="1409" ht="120" customHeight="1"/>
    <row r="1410" ht="120" customHeight="1"/>
    <row r="1411" ht="120" customHeight="1"/>
    <row r="1412" ht="120" customHeight="1"/>
    <row r="1413" ht="120" customHeight="1"/>
    <row r="1414" ht="120" customHeight="1"/>
    <row r="1415" ht="120" customHeight="1"/>
    <row r="1416" ht="120" customHeight="1"/>
    <row r="1417" ht="120" customHeight="1"/>
    <row r="1418" ht="120" customHeight="1"/>
    <row r="1419" ht="120" customHeight="1"/>
    <row r="1420" ht="120" customHeight="1"/>
    <row r="1421" ht="120" customHeight="1"/>
    <row r="1422" ht="120" customHeight="1"/>
    <row r="1423" ht="120" customHeight="1"/>
    <row r="1424" ht="120" customHeight="1"/>
    <row r="1425" ht="120" customHeight="1"/>
    <row r="1426" ht="120" customHeight="1"/>
    <row r="1427" ht="120" customHeight="1"/>
    <row r="1428" ht="120" customHeight="1"/>
    <row r="1429" ht="120" customHeight="1"/>
    <row r="1430" ht="120" customHeight="1"/>
    <row r="1431" ht="120" customHeight="1"/>
    <row r="1432" ht="120" customHeight="1"/>
    <row r="1433" ht="120" customHeight="1"/>
    <row r="1434" ht="120" customHeight="1"/>
    <row r="1435" ht="120" customHeight="1"/>
    <row r="1436" ht="120" customHeight="1"/>
    <row r="1437" ht="120" customHeight="1"/>
    <row r="1438" ht="120" customHeight="1"/>
    <row r="1439" ht="120" customHeight="1"/>
    <row r="1440" ht="120" customHeight="1"/>
    <row r="1441" ht="120" customHeight="1"/>
    <row r="1442" ht="120" customHeight="1"/>
    <row r="1443" ht="120" customHeight="1"/>
    <row r="1444" ht="120" customHeight="1"/>
    <row r="1445" ht="120" customHeight="1"/>
    <row r="1446" ht="120" customHeight="1"/>
    <row r="1447" ht="120" customHeight="1"/>
    <row r="1448" ht="120" customHeight="1"/>
    <row r="1449" ht="120" customHeight="1"/>
    <row r="1450" ht="120" customHeight="1"/>
    <row r="1451" ht="120" customHeight="1"/>
    <row r="1452" ht="120" customHeight="1"/>
    <row r="1453" ht="120" customHeight="1"/>
    <row r="1454" ht="120" customHeight="1"/>
    <row r="1455" ht="120" customHeight="1"/>
    <row r="1456" ht="120" customHeight="1"/>
    <row r="1457" ht="120" customHeight="1"/>
    <row r="1458" ht="120" customHeight="1"/>
    <row r="1459" ht="120" customHeight="1"/>
    <row r="1460" ht="120" customHeight="1"/>
    <row r="1461" ht="120" customHeight="1"/>
    <row r="1462" ht="120" customHeight="1"/>
    <row r="1463" ht="120" customHeight="1"/>
    <row r="1464" ht="120" customHeight="1"/>
    <row r="1465" ht="120" customHeight="1"/>
    <row r="1466" ht="120" customHeight="1"/>
    <row r="1467" ht="120" customHeight="1"/>
    <row r="1468" ht="120" customHeight="1"/>
    <row r="1469" ht="120" customHeight="1"/>
    <row r="1470" ht="120" customHeight="1"/>
    <row r="1471" ht="120" customHeight="1"/>
    <row r="1472" ht="120" customHeight="1"/>
    <row r="1473" ht="120" customHeight="1"/>
    <row r="1474" ht="120" customHeight="1"/>
    <row r="1475" ht="120" customHeight="1"/>
    <row r="1476" ht="120" customHeight="1"/>
    <row r="1477" ht="120" customHeight="1"/>
    <row r="1478" ht="120" customHeight="1"/>
    <row r="1479" ht="120" customHeight="1"/>
    <row r="1480" ht="120" customHeight="1"/>
    <row r="1481" ht="120" customHeight="1"/>
    <row r="1482" ht="120" customHeight="1"/>
    <row r="1483" ht="120" customHeight="1"/>
    <row r="1484" ht="120" customHeight="1"/>
    <row r="1485" ht="120" customHeight="1"/>
    <row r="1486" ht="120" customHeight="1"/>
    <row r="1487" ht="120" customHeight="1"/>
    <row r="1488" ht="120" customHeight="1"/>
    <row r="1489" ht="120" customHeight="1"/>
    <row r="1490" ht="120" customHeight="1"/>
    <row r="1491" ht="120" customHeight="1"/>
    <row r="1492" ht="120" customHeight="1"/>
    <row r="1493" ht="120" customHeight="1"/>
    <row r="1494" ht="120" customHeight="1"/>
    <row r="1495" ht="120" customHeight="1"/>
    <row r="1496" ht="120" customHeight="1"/>
    <row r="1497" ht="120" customHeight="1"/>
    <row r="1498" ht="120" customHeight="1"/>
    <row r="1499" ht="120" customHeight="1"/>
    <row r="1500" ht="120" customHeight="1"/>
    <row r="1501" ht="120" customHeight="1"/>
    <row r="1502" ht="120" customHeight="1"/>
    <row r="1503" ht="120" customHeight="1"/>
    <row r="1504" ht="120" customHeight="1"/>
    <row r="1505" ht="120" customHeight="1"/>
    <row r="1506" ht="120" customHeight="1"/>
    <row r="1507" ht="120" customHeight="1"/>
    <row r="1508" ht="120" customHeight="1"/>
    <row r="1509" ht="120" customHeight="1"/>
    <row r="1510" ht="120" customHeight="1"/>
    <row r="1511" ht="120" customHeight="1"/>
    <row r="1512" ht="120" customHeight="1"/>
    <row r="1513" ht="120" customHeight="1"/>
    <row r="1514" ht="120" customHeight="1"/>
    <row r="1515" ht="120" customHeight="1"/>
    <row r="1516" ht="120" customHeight="1"/>
    <row r="1517" ht="120" customHeight="1"/>
    <row r="1518" ht="120" customHeight="1"/>
    <row r="1519" ht="120" customHeight="1"/>
    <row r="1520" ht="120" customHeight="1"/>
    <row r="1521" ht="120" customHeight="1"/>
    <row r="1522" ht="120" customHeight="1"/>
    <row r="1523" ht="120" customHeight="1"/>
    <row r="1524" ht="120" customHeight="1"/>
    <row r="1525" ht="120" customHeight="1"/>
    <row r="1526" ht="120" customHeight="1"/>
    <row r="1527" ht="120" customHeight="1"/>
    <row r="1528" ht="120" customHeight="1"/>
    <row r="1529" ht="120" customHeight="1"/>
    <row r="1530" ht="120" customHeight="1"/>
    <row r="1531" ht="120" customHeight="1"/>
    <row r="1532" ht="120" customHeight="1"/>
    <row r="1533" ht="120" customHeight="1"/>
    <row r="1534" ht="120" customHeight="1"/>
    <row r="1535" ht="120" customHeight="1"/>
    <row r="1536" ht="120" customHeight="1"/>
    <row r="1537" ht="120" customHeight="1"/>
    <row r="1538" ht="120" customHeight="1"/>
    <row r="1539" ht="120" customHeight="1"/>
    <row r="1540" ht="120" customHeight="1"/>
    <row r="1541" ht="120" customHeight="1"/>
    <row r="1542" ht="120" customHeight="1"/>
    <row r="1543" ht="120" customHeight="1"/>
    <row r="1544" ht="120" customHeight="1"/>
    <row r="1545" ht="120" customHeight="1"/>
    <row r="1546" ht="120" customHeight="1"/>
    <row r="1547" ht="120" customHeight="1"/>
    <row r="1548" ht="120" customHeight="1"/>
    <row r="1549" ht="120" customHeight="1"/>
    <row r="1550" ht="120" customHeight="1"/>
    <row r="1551" ht="120" customHeight="1"/>
    <row r="1552" ht="120" customHeight="1"/>
    <row r="1553" ht="120" customHeight="1"/>
    <row r="1554" ht="120" customHeight="1"/>
    <row r="1555" ht="120" customHeight="1"/>
    <row r="1556" ht="120" customHeight="1"/>
    <row r="1557" ht="120" customHeight="1"/>
    <row r="1558" ht="120" customHeight="1"/>
    <row r="1559" ht="120" customHeight="1"/>
    <row r="1560" ht="120" customHeight="1"/>
    <row r="1561" ht="120" customHeight="1"/>
    <row r="1562" ht="120" customHeight="1"/>
    <row r="1563" ht="120" customHeight="1"/>
    <row r="1564" ht="120" customHeight="1"/>
    <row r="1565" ht="120" customHeight="1"/>
    <row r="1566" ht="120" customHeight="1"/>
    <row r="1567" ht="120" customHeight="1"/>
    <row r="1568" ht="120" customHeight="1"/>
    <row r="1569" ht="120" customHeight="1"/>
    <row r="1570" ht="120" customHeight="1"/>
    <row r="1571" ht="120" customHeight="1"/>
    <row r="1572" ht="120" customHeight="1"/>
    <row r="1573" ht="120" customHeight="1"/>
    <row r="1574" ht="120" customHeight="1"/>
    <row r="1575" ht="120" customHeight="1"/>
    <row r="1576" ht="120" customHeight="1"/>
    <row r="1577" ht="120" customHeight="1"/>
    <row r="1578" ht="120" customHeight="1"/>
    <row r="1579" ht="120" customHeight="1"/>
    <row r="1580" ht="120" customHeight="1"/>
    <row r="1581" ht="120" customHeight="1"/>
    <row r="1582" ht="120" customHeight="1"/>
    <row r="1583" ht="120" customHeight="1"/>
    <row r="1584" ht="120" customHeight="1"/>
    <row r="1585" ht="120" customHeight="1"/>
    <row r="1586" ht="120" customHeight="1"/>
    <row r="1587" ht="120" customHeight="1"/>
    <row r="1588" ht="120" customHeight="1"/>
    <row r="1589" ht="120" customHeight="1"/>
    <row r="1590" ht="120" customHeight="1"/>
    <row r="1591" ht="120" customHeight="1"/>
    <row r="1592" ht="120" customHeight="1"/>
    <row r="1593" ht="120" customHeight="1"/>
    <row r="1594" ht="120" customHeight="1"/>
    <row r="1595" ht="120" customHeight="1"/>
    <row r="1596" ht="120" customHeight="1"/>
    <row r="1597" ht="120" customHeight="1"/>
    <row r="1598" ht="120" customHeight="1"/>
    <row r="1599" ht="120" customHeight="1"/>
    <row r="1600" ht="120" customHeight="1"/>
    <row r="1601" ht="120" customHeight="1"/>
    <row r="1602" ht="120" customHeight="1"/>
    <row r="1603" ht="120" customHeight="1"/>
    <row r="1604" ht="120" customHeight="1"/>
    <row r="1605" ht="120" customHeight="1"/>
    <row r="1606" ht="120" customHeight="1"/>
    <row r="1607" ht="120" customHeight="1"/>
    <row r="1608" ht="120" customHeight="1"/>
    <row r="1609" ht="120" customHeight="1"/>
    <row r="1610" ht="120" customHeight="1"/>
    <row r="1611" ht="120" customHeight="1"/>
    <row r="1612" ht="120" customHeight="1"/>
    <row r="1613" ht="120" customHeight="1"/>
    <row r="1614" ht="120" customHeight="1"/>
    <row r="1615" ht="120" customHeight="1"/>
    <row r="1616" ht="120" customHeight="1"/>
    <row r="1617" ht="120" customHeight="1"/>
    <row r="1618" ht="120" customHeight="1"/>
    <row r="1619" ht="120" customHeight="1"/>
    <row r="1620" ht="120" customHeight="1"/>
    <row r="1621" ht="120" customHeight="1"/>
    <row r="1622" ht="120" customHeight="1"/>
    <row r="1623" ht="120" customHeight="1"/>
    <row r="1624" ht="120" customHeight="1"/>
    <row r="1625" ht="120" customHeight="1"/>
    <row r="1626" ht="120" customHeight="1"/>
    <row r="1627" ht="120" customHeight="1"/>
    <row r="1628" ht="120" customHeight="1"/>
    <row r="1629" ht="120" customHeight="1"/>
    <row r="1630" ht="120" customHeight="1"/>
    <row r="1631" ht="120" customHeight="1"/>
    <row r="1632" ht="120" customHeight="1"/>
    <row r="1633" ht="120" customHeight="1"/>
    <row r="1634" ht="120" customHeight="1"/>
    <row r="1635" ht="120" customHeight="1"/>
    <row r="1636" ht="120" customHeight="1"/>
    <row r="1637" ht="120" customHeight="1"/>
    <row r="1638" ht="120" customHeight="1"/>
    <row r="1639" ht="120" customHeight="1"/>
    <row r="1640" ht="120" customHeight="1"/>
    <row r="1641" ht="120" customHeight="1"/>
    <row r="1642" ht="120" customHeight="1"/>
    <row r="1643" ht="120" customHeight="1"/>
    <row r="1644" ht="120" customHeight="1"/>
    <row r="1645" ht="120" customHeight="1"/>
    <row r="1646" ht="120" customHeight="1"/>
    <row r="1647" ht="120" customHeight="1"/>
    <row r="1648" ht="120" customHeight="1"/>
    <row r="1649" ht="120" customHeight="1"/>
    <row r="1650" ht="120" customHeight="1"/>
    <row r="1651" ht="120" customHeight="1"/>
    <row r="1652" ht="120" customHeight="1"/>
    <row r="1653" ht="120" customHeight="1"/>
    <row r="1654" ht="120" customHeight="1"/>
    <row r="1655" ht="120" customHeight="1"/>
    <row r="1656" ht="120" customHeight="1"/>
    <row r="1657" ht="120" customHeight="1"/>
    <row r="1658" ht="120" customHeight="1"/>
    <row r="1659" ht="120" customHeight="1"/>
    <row r="1660" ht="120" customHeight="1"/>
    <row r="1661" ht="120" customHeight="1"/>
    <row r="1662" ht="120" customHeight="1"/>
    <row r="1663" ht="120" customHeight="1"/>
    <row r="1664" ht="120" customHeight="1"/>
    <row r="1665" ht="120" customHeight="1"/>
    <row r="1666" ht="120" customHeight="1"/>
    <row r="1667" ht="120" customHeight="1"/>
    <row r="1668" ht="120" customHeight="1"/>
    <row r="1669" ht="120" customHeight="1"/>
    <row r="1670" ht="120" customHeight="1"/>
    <row r="1671" ht="120" customHeight="1"/>
    <row r="1672" ht="120" customHeight="1"/>
    <row r="1673" ht="120" customHeight="1"/>
    <row r="1674" ht="120" customHeight="1"/>
    <row r="1675" ht="120" customHeight="1"/>
    <row r="1676" ht="120" customHeight="1"/>
    <row r="1677" ht="120" customHeight="1"/>
    <row r="1678" ht="120" customHeight="1"/>
    <row r="1679" ht="120" customHeight="1"/>
    <row r="1680" ht="120" customHeight="1"/>
    <row r="1681" ht="120" customHeight="1"/>
    <row r="1682" ht="120" customHeight="1"/>
    <row r="1683" ht="120" customHeight="1"/>
    <row r="1684" ht="120" customHeight="1"/>
    <row r="1685" ht="120" customHeight="1"/>
    <row r="1686" ht="120" customHeight="1"/>
    <row r="1687" ht="120" customHeight="1"/>
    <row r="1688" ht="120" customHeight="1"/>
    <row r="1689" ht="120" customHeight="1"/>
    <row r="1690" ht="120" customHeight="1"/>
    <row r="1691" ht="120" customHeight="1"/>
    <row r="1692" ht="120" customHeight="1"/>
    <row r="1693" ht="120" customHeight="1"/>
    <row r="1694" ht="120" customHeight="1"/>
    <row r="1695" ht="120" customHeight="1"/>
    <row r="1696" ht="120" customHeight="1"/>
    <row r="1697" ht="120" customHeight="1"/>
    <row r="1698" ht="120" customHeight="1"/>
    <row r="1699" ht="120" customHeight="1"/>
    <row r="1700" ht="120" customHeight="1"/>
    <row r="1701" ht="120" customHeight="1"/>
    <row r="1702" ht="120" customHeight="1"/>
    <row r="1703" ht="120" customHeight="1"/>
    <row r="1704" ht="120" customHeight="1"/>
    <row r="1705" ht="120" customHeight="1"/>
    <row r="1706" ht="120" customHeight="1"/>
    <row r="1707" ht="120" customHeight="1"/>
    <row r="1708" ht="120" customHeight="1"/>
    <row r="1709" ht="120" customHeight="1"/>
    <row r="1710" ht="120" customHeight="1"/>
    <row r="1711" ht="120" customHeight="1"/>
    <row r="1712" ht="120" customHeight="1"/>
    <row r="1713" ht="120" customHeight="1"/>
    <row r="1714" ht="120" customHeight="1"/>
    <row r="1715" ht="120" customHeight="1"/>
    <row r="1716" ht="120" customHeight="1"/>
    <row r="1717" ht="120" customHeight="1"/>
    <row r="1718" ht="120" customHeight="1"/>
    <row r="1719" ht="120" customHeight="1"/>
    <row r="1720" ht="120" customHeight="1"/>
    <row r="1721" ht="120" customHeight="1"/>
    <row r="1722" ht="120" customHeight="1"/>
    <row r="1723" ht="120" customHeight="1"/>
    <row r="1724" ht="120" customHeight="1"/>
    <row r="1725" ht="120" customHeight="1"/>
    <row r="1726" ht="120" customHeight="1"/>
    <row r="1727" ht="120" customHeight="1"/>
    <row r="1728" ht="120" customHeight="1"/>
    <row r="1729" ht="120" customHeight="1"/>
    <row r="1730" ht="120" customHeight="1"/>
    <row r="1731" ht="120" customHeight="1"/>
    <row r="1732" ht="120" customHeight="1"/>
    <row r="1733" ht="120" customHeight="1"/>
    <row r="1734" ht="120" customHeight="1"/>
    <row r="1735" ht="120" customHeight="1"/>
    <row r="1736" ht="120" customHeight="1"/>
    <row r="1737" ht="120" customHeight="1"/>
    <row r="1738" ht="120" customHeight="1"/>
    <row r="1739" ht="120" customHeight="1"/>
    <row r="1740" ht="120" customHeight="1"/>
    <row r="1741" ht="120" customHeight="1"/>
    <row r="1742" ht="120" customHeight="1"/>
    <row r="1743" ht="120" customHeight="1"/>
    <row r="1744" ht="120" customHeight="1"/>
    <row r="1745" ht="120" customHeight="1"/>
    <row r="1746" ht="120" customHeight="1"/>
    <row r="1747" ht="120" customHeight="1"/>
    <row r="1748" ht="120" customHeight="1"/>
    <row r="1749" ht="120" customHeight="1"/>
    <row r="1750" ht="120" customHeight="1"/>
    <row r="1751" ht="120" customHeight="1"/>
    <row r="1752" ht="120" customHeight="1"/>
    <row r="1753" ht="120" customHeight="1"/>
    <row r="1754" ht="120" customHeight="1"/>
    <row r="1755" ht="120" customHeight="1"/>
    <row r="1756" ht="120" customHeight="1"/>
    <row r="1757" ht="120" customHeight="1"/>
    <row r="1758" ht="120" customHeight="1"/>
    <row r="1759" ht="120" customHeight="1"/>
    <row r="1760" ht="120" customHeight="1"/>
    <row r="1761" ht="120" customHeight="1"/>
    <row r="1762" ht="120" customHeight="1"/>
    <row r="1763" ht="120" customHeight="1"/>
    <row r="1764" ht="120" customHeight="1"/>
    <row r="1765" ht="120" customHeight="1"/>
    <row r="1766" ht="120" customHeight="1"/>
    <row r="1767" ht="120" customHeight="1"/>
    <row r="1768" ht="120" customHeight="1"/>
    <row r="1769" ht="120" customHeight="1"/>
    <row r="1770" ht="120" customHeight="1"/>
    <row r="1771" ht="120" customHeight="1"/>
    <row r="1772" ht="120" customHeight="1"/>
    <row r="1773" ht="120" customHeight="1"/>
    <row r="1774" ht="120" customHeight="1"/>
    <row r="1775" ht="120" customHeight="1"/>
    <row r="1776" ht="120" customHeight="1"/>
    <row r="1777" ht="120" customHeight="1"/>
    <row r="1778" ht="120" customHeight="1"/>
    <row r="1779" ht="120" customHeight="1"/>
    <row r="1780" ht="120" customHeight="1"/>
    <row r="1781" ht="120" customHeight="1"/>
    <row r="1782" ht="120" customHeight="1"/>
    <row r="1783" ht="120" customHeight="1"/>
    <row r="1784" ht="120" customHeight="1"/>
    <row r="1785" ht="120" customHeight="1"/>
    <row r="1786" ht="120" customHeight="1"/>
    <row r="1787" ht="120" customHeight="1"/>
    <row r="1788" ht="120" customHeight="1"/>
    <row r="1789" ht="120" customHeight="1"/>
    <row r="1790" ht="120" customHeight="1"/>
    <row r="1791" ht="120" customHeight="1"/>
    <row r="1792" ht="120" customHeight="1"/>
    <row r="1793" ht="120" customHeight="1"/>
    <row r="1794" ht="120" customHeight="1"/>
    <row r="1795" ht="120" customHeight="1"/>
    <row r="1796" ht="120" customHeight="1"/>
    <row r="1797" ht="120" customHeight="1"/>
    <row r="1798" ht="120" customHeight="1"/>
    <row r="1799" ht="120" customHeight="1"/>
    <row r="1800" ht="120" customHeight="1"/>
    <row r="1801" ht="120" customHeight="1"/>
    <row r="1802" ht="120" customHeight="1"/>
    <row r="1803" ht="120" customHeight="1"/>
    <row r="1804" ht="120" customHeight="1"/>
    <row r="1805" ht="120" customHeight="1"/>
    <row r="1806" ht="120" customHeight="1"/>
    <row r="1807" ht="120" customHeight="1"/>
    <row r="1808" ht="120" customHeight="1"/>
    <row r="1809" ht="120" customHeight="1"/>
    <row r="1810" ht="120" customHeight="1"/>
    <row r="1811" ht="120" customHeight="1"/>
    <row r="1812" ht="120" customHeight="1"/>
    <row r="1813" ht="120" customHeight="1"/>
    <row r="1814" ht="120" customHeight="1"/>
    <row r="1815" ht="120" customHeight="1"/>
    <row r="1816" ht="120" customHeight="1"/>
    <row r="1817" ht="120" customHeight="1"/>
    <row r="1818" ht="120" customHeight="1"/>
    <row r="1819" ht="120" customHeight="1"/>
    <row r="1820" ht="120" customHeight="1"/>
    <row r="1821" ht="120" customHeight="1"/>
    <row r="1822" ht="120" customHeight="1"/>
    <row r="1823" ht="120" customHeight="1"/>
    <row r="1824" ht="120" customHeight="1"/>
    <row r="1825" ht="120" customHeight="1"/>
    <row r="1826" ht="120" customHeight="1"/>
    <row r="1827" ht="120" customHeight="1"/>
    <row r="1828" ht="120" customHeight="1"/>
    <row r="1829" ht="120" customHeight="1"/>
    <row r="1830" ht="120" customHeight="1"/>
    <row r="1831" ht="120" customHeight="1"/>
    <row r="1832" ht="120" customHeight="1"/>
    <row r="1833" ht="120" customHeight="1"/>
    <row r="1834" ht="120" customHeight="1"/>
    <row r="1835" ht="120" customHeight="1"/>
    <row r="1836" ht="120" customHeight="1"/>
    <row r="1837" ht="120" customHeight="1"/>
    <row r="1838" ht="120" customHeight="1"/>
    <row r="1839" ht="120" customHeight="1"/>
    <row r="1840" ht="120" customHeight="1"/>
    <row r="1841" ht="120" customHeight="1"/>
    <row r="1842" ht="120" customHeight="1"/>
    <row r="1843" ht="120" customHeight="1"/>
    <row r="1844" ht="120" customHeight="1"/>
    <row r="1845" ht="120" customHeight="1"/>
    <row r="1846" ht="120" customHeight="1"/>
    <row r="1847" ht="120" customHeight="1"/>
    <row r="1848" ht="120" customHeight="1"/>
    <row r="1849" ht="120" customHeight="1"/>
    <row r="1850" ht="120" customHeight="1"/>
    <row r="1851" ht="120" customHeight="1"/>
    <row r="1852" ht="120" customHeight="1"/>
    <row r="1853" ht="120" customHeight="1"/>
    <row r="1854" ht="120" customHeight="1"/>
    <row r="1855" ht="120" customHeight="1"/>
    <row r="1856" ht="120" customHeight="1"/>
    <row r="1857" ht="120" customHeight="1"/>
    <row r="1858" ht="120" customHeight="1"/>
    <row r="1859" ht="120" customHeight="1"/>
    <row r="1860" ht="120" customHeight="1"/>
    <row r="1861" ht="120" customHeight="1"/>
    <row r="1862" ht="120" customHeight="1"/>
    <row r="1863" ht="120" customHeight="1"/>
    <row r="1864" ht="120" customHeight="1"/>
    <row r="1865" ht="120" customHeight="1"/>
    <row r="1866" ht="120" customHeight="1"/>
    <row r="1867" ht="120" customHeight="1"/>
    <row r="1868" ht="120" customHeight="1"/>
    <row r="1869" ht="120" customHeight="1"/>
    <row r="1870" ht="120" customHeight="1"/>
    <row r="1871" ht="120" customHeight="1"/>
    <row r="1872" ht="120" customHeight="1"/>
    <row r="1873" ht="120" customHeight="1"/>
    <row r="1874" ht="120" customHeight="1"/>
    <row r="1875" ht="120" customHeight="1"/>
    <row r="1876" ht="120" customHeight="1"/>
    <row r="1877" ht="120" customHeight="1"/>
    <row r="1878" ht="120" customHeight="1"/>
    <row r="1879" ht="120" customHeight="1"/>
    <row r="1880" ht="120" customHeight="1"/>
    <row r="1881" ht="120" customHeight="1"/>
    <row r="1882" ht="120" customHeight="1"/>
    <row r="1883" ht="120" customHeight="1"/>
    <row r="1884" ht="120" customHeight="1"/>
    <row r="1885" ht="120" customHeight="1"/>
    <row r="1886" ht="120" customHeight="1"/>
    <row r="1887" ht="120" customHeight="1"/>
    <row r="1888" ht="120" customHeight="1"/>
    <row r="1889" ht="120" customHeight="1"/>
    <row r="1890" ht="120" customHeight="1"/>
    <row r="1891" ht="120" customHeight="1"/>
    <row r="1892" ht="120" customHeight="1"/>
    <row r="1893" ht="120" customHeight="1"/>
    <row r="1894" ht="120" customHeight="1"/>
    <row r="1895" ht="120" customHeight="1"/>
    <row r="1896" ht="120" customHeight="1"/>
    <row r="1897" ht="120" customHeight="1"/>
    <row r="1898" ht="120" customHeight="1"/>
    <row r="1899" ht="120" customHeight="1"/>
    <row r="1900" ht="120" customHeight="1"/>
    <row r="1901" ht="120" customHeight="1"/>
    <row r="1902" ht="120" customHeight="1"/>
    <row r="1903" ht="120" customHeight="1"/>
    <row r="1904" ht="120" customHeight="1"/>
    <row r="1905" ht="120" customHeight="1"/>
    <row r="1906" ht="120" customHeight="1"/>
    <row r="1907" ht="120" customHeight="1"/>
    <row r="1908" ht="120" customHeight="1"/>
    <row r="1909" ht="120" customHeight="1"/>
    <row r="1910" ht="120" customHeight="1"/>
    <row r="1911" ht="120" customHeight="1"/>
    <row r="1912" ht="120" customHeight="1"/>
    <row r="1913" ht="120" customHeight="1"/>
    <row r="1914" ht="120" customHeight="1"/>
    <row r="1915" ht="120" customHeight="1"/>
    <row r="1916" ht="120" customHeight="1"/>
    <row r="1917" ht="120" customHeight="1"/>
    <row r="1918" ht="120" customHeight="1"/>
    <row r="1919" ht="120" customHeight="1"/>
    <row r="1920" ht="120" customHeight="1"/>
    <row r="1921" ht="120" customHeight="1"/>
    <row r="1922" ht="120" customHeight="1"/>
    <row r="1923" ht="120" customHeight="1"/>
    <row r="1924" ht="120" customHeight="1"/>
    <row r="1925" ht="120" customHeight="1"/>
    <row r="1926" ht="120" customHeight="1"/>
    <row r="1927" ht="120" customHeight="1"/>
    <row r="1928" ht="120" customHeight="1"/>
    <row r="1929" ht="120" customHeight="1"/>
    <row r="1930" ht="120" customHeight="1"/>
    <row r="1931" ht="120" customHeight="1"/>
    <row r="1932" ht="120" customHeight="1"/>
    <row r="1933" ht="120" customHeight="1"/>
    <row r="1934" ht="120" customHeight="1"/>
    <row r="1935" ht="120" customHeight="1"/>
    <row r="1936" ht="120" customHeight="1"/>
    <row r="1937" ht="120" customHeight="1"/>
    <row r="1938" ht="120" customHeight="1"/>
    <row r="1939" ht="120" customHeight="1"/>
    <row r="1940" ht="120" customHeight="1"/>
    <row r="1941" ht="120" customHeight="1"/>
    <row r="1942" ht="120" customHeight="1"/>
    <row r="1943" ht="120" customHeight="1"/>
    <row r="1944" ht="120" customHeight="1"/>
    <row r="1945" ht="120" customHeight="1"/>
    <row r="1946" ht="120" customHeight="1"/>
    <row r="1947" ht="120" customHeight="1"/>
    <row r="1948" ht="120" customHeight="1"/>
    <row r="1949" ht="120" customHeight="1"/>
    <row r="1950" ht="120" customHeight="1"/>
    <row r="1951" ht="120" customHeight="1"/>
    <row r="1952" ht="120" customHeight="1"/>
    <row r="1953" ht="120" customHeight="1"/>
    <row r="1954" ht="120" customHeight="1"/>
    <row r="1955" ht="120" customHeight="1"/>
    <row r="1956" ht="120" customHeight="1"/>
    <row r="1957" ht="120" customHeight="1"/>
    <row r="1958" ht="120" customHeight="1"/>
    <row r="1959" ht="120" customHeight="1"/>
    <row r="1960" ht="120" customHeight="1"/>
    <row r="1961" ht="120" customHeight="1"/>
    <row r="1962" ht="120" customHeight="1"/>
    <row r="1963" ht="120" customHeight="1"/>
    <row r="1964" ht="120" customHeight="1"/>
    <row r="1965" ht="120" customHeight="1"/>
    <row r="1966" ht="120" customHeight="1"/>
    <row r="1967" ht="120" customHeight="1"/>
    <row r="1968" ht="120" customHeight="1"/>
    <row r="1969" ht="120" customHeight="1"/>
    <row r="1970" ht="120" customHeight="1"/>
    <row r="1971" ht="120" customHeight="1"/>
    <row r="1972" ht="120" customHeight="1"/>
    <row r="1973" ht="120" customHeight="1"/>
    <row r="1974" ht="120" customHeight="1"/>
    <row r="1975" ht="120" customHeight="1"/>
    <row r="1976" ht="120" customHeight="1"/>
    <row r="1977" ht="120" customHeight="1"/>
    <row r="1978" ht="120" customHeight="1"/>
    <row r="1979" ht="120" customHeight="1"/>
    <row r="1980" ht="120" customHeight="1"/>
    <row r="1981" ht="120" customHeight="1"/>
    <row r="1982" ht="120" customHeight="1"/>
    <row r="1983" ht="120" customHeight="1"/>
    <row r="1984" ht="120" customHeight="1"/>
    <row r="1985" ht="120" customHeight="1"/>
    <row r="1986" ht="120" customHeight="1"/>
    <row r="1987" ht="120" customHeight="1"/>
    <row r="1988" ht="120" customHeight="1"/>
    <row r="1989" ht="120" customHeight="1"/>
    <row r="1990" ht="120" customHeight="1"/>
    <row r="1991" ht="120" customHeight="1"/>
    <row r="1992" ht="120" customHeight="1"/>
    <row r="1993" ht="120" customHeight="1"/>
    <row r="1994" ht="120" customHeight="1"/>
    <row r="1995" ht="120" customHeight="1"/>
    <row r="1996" ht="120" customHeight="1"/>
    <row r="1997" ht="120" customHeight="1"/>
    <row r="1998" ht="120" customHeight="1"/>
    <row r="1999" ht="120" customHeight="1"/>
    <row r="2000" ht="120" customHeight="1"/>
    <row r="2001" ht="120" customHeight="1"/>
    <row r="2002" ht="120" customHeight="1"/>
    <row r="2003" ht="120" customHeight="1"/>
    <row r="2004" ht="120" customHeight="1"/>
    <row r="2005" ht="120" customHeight="1"/>
    <row r="2006" ht="120" customHeight="1"/>
    <row r="2007" ht="120" customHeight="1"/>
    <row r="2008" ht="120" customHeight="1"/>
    <row r="2009" ht="120" customHeight="1"/>
    <row r="2010" ht="120" customHeight="1"/>
    <row r="2011" ht="120" customHeight="1"/>
    <row r="2012" ht="120" customHeight="1"/>
    <row r="2013" ht="120" customHeight="1"/>
    <row r="2014" ht="120" customHeight="1"/>
    <row r="2015" ht="120" customHeight="1"/>
    <row r="2016" ht="120" customHeight="1"/>
    <row r="2017" ht="120" customHeight="1"/>
    <row r="2018" ht="120" customHeight="1"/>
    <row r="2019" ht="120" customHeight="1"/>
    <row r="2020" ht="120" customHeight="1"/>
    <row r="2021" ht="120" customHeight="1"/>
    <row r="2022" ht="120" customHeight="1"/>
    <row r="2023" ht="120" customHeight="1"/>
    <row r="2024" ht="120" customHeight="1"/>
    <row r="2025" ht="120" customHeight="1"/>
    <row r="2026" ht="120" customHeight="1"/>
    <row r="2027" ht="120" customHeight="1"/>
    <row r="2028" ht="120" customHeight="1"/>
    <row r="2029" ht="120" customHeight="1"/>
    <row r="2030" ht="120" customHeight="1"/>
    <row r="2031" ht="120" customHeight="1"/>
    <row r="2032" ht="120" customHeight="1"/>
    <row r="2033" ht="120" customHeight="1"/>
    <row r="2034" ht="120" customHeight="1"/>
    <row r="2035" ht="120" customHeight="1"/>
    <row r="2036" ht="120" customHeight="1"/>
    <row r="2037" ht="120" customHeight="1"/>
    <row r="2038" ht="120" customHeight="1"/>
    <row r="2039" ht="120" customHeight="1"/>
    <row r="2040" ht="120" customHeight="1"/>
    <row r="2041" ht="120" customHeight="1"/>
    <row r="2042" ht="120" customHeight="1"/>
    <row r="2043" ht="120" customHeight="1"/>
    <row r="2044" ht="120" customHeight="1"/>
    <row r="2045" ht="120" customHeight="1"/>
    <row r="2046" ht="120" customHeight="1"/>
    <row r="2047" ht="120" customHeight="1"/>
    <row r="2048" ht="120" customHeight="1"/>
    <row r="2049" ht="120" customHeight="1"/>
    <row r="2050" ht="120" customHeight="1"/>
    <row r="2051" ht="120" customHeight="1"/>
    <row r="2052" ht="120" customHeight="1"/>
    <row r="2053" ht="120" customHeight="1"/>
    <row r="2054" ht="120" customHeight="1"/>
    <row r="2055" ht="120" customHeight="1"/>
    <row r="2056" ht="120" customHeight="1"/>
    <row r="2057" ht="120" customHeight="1"/>
    <row r="2058" ht="120" customHeight="1"/>
    <row r="2059" ht="120" customHeight="1"/>
    <row r="2060" ht="120" customHeight="1"/>
    <row r="2061" ht="120" customHeight="1"/>
    <row r="2062" ht="120" customHeight="1"/>
    <row r="2063" ht="120" customHeight="1"/>
    <row r="2064" ht="120" customHeight="1"/>
    <row r="2065" ht="120" customHeight="1"/>
    <row r="2066" ht="120" customHeight="1"/>
    <row r="2067" ht="120" customHeight="1"/>
    <row r="2068" ht="120" customHeight="1"/>
    <row r="2069" ht="120" customHeight="1"/>
    <row r="2070" ht="120" customHeight="1"/>
    <row r="2071" ht="120" customHeight="1"/>
    <row r="2072" ht="120" customHeight="1"/>
    <row r="2073" ht="120" customHeight="1"/>
    <row r="2074" ht="120" customHeight="1"/>
    <row r="2075" ht="120" customHeight="1"/>
    <row r="2076" ht="120" customHeight="1"/>
    <row r="2077" ht="120" customHeight="1"/>
    <row r="2078" ht="120" customHeight="1"/>
    <row r="2079" ht="120" customHeight="1"/>
    <row r="2080" ht="120" customHeight="1"/>
    <row r="2081" ht="120" customHeight="1"/>
    <row r="2082" ht="120" customHeight="1"/>
    <row r="2083" ht="120" customHeight="1"/>
    <row r="2084" ht="120" customHeight="1"/>
    <row r="2085" ht="120" customHeight="1"/>
    <row r="2086" ht="120" customHeight="1"/>
    <row r="2087" ht="120" customHeight="1"/>
    <row r="2088" ht="120" customHeight="1"/>
    <row r="2089" ht="120" customHeight="1"/>
    <row r="2090" ht="120" customHeight="1"/>
    <row r="2091" ht="120" customHeight="1"/>
    <row r="2092" ht="120" customHeight="1"/>
    <row r="2093" ht="120" customHeight="1"/>
    <row r="2094" ht="120" customHeight="1"/>
    <row r="2095" ht="120" customHeight="1"/>
    <row r="2096" ht="120" customHeight="1"/>
    <row r="2097" ht="120" customHeight="1"/>
    <row r="2098" ht="120" customHeight="1"/>
    <row r="2099" ht="120" customHeight="1"/>
    <row r="2100" ht="120" customHeight="1"/>
    <row r="2101" ht="120" customHeight="1"/>
    <row r="2102" ht="120" customHeight="1"/>
    <row r="2103" ht="120" customHeight="1"/>
    <row r="2104" ht="120" customHeight="1"/>
    <row r="2105" ht="120" customHeight="1"/>
    <row r="2106" ht="120" customHeight="1"/>
    <row r="2107" ht="120" customHeight="1"/>
    <row r="2108" ht="120" customHeight="1"/>
    <row r="2109" ht="120" customHeight="1"/>
    <row r="2110" ht="120" customHeight="1"/>
    <row r="2111" ht="120" customHeight="1"/>
    <row r="2112" ht="120" customHeight="1"/>
    <row r="2113" ht="120" customHeight="1"/>
    <row r="2114" ht="120" customHeight="1"/>
    <row r="2115" ht="120" customHeight="1"/>
    <row r="2116" ht="120" customHeight="1"/>
    <row r="2117" ht="120" customHeight="1"/>
    <row r="2118" ht="120" customHeight="1"/>
    <row r="2119" ht="120" customHeight="1"/>
    <row r="2120" ht="120" customHeight="1"/>
    <row r="2121" ht="120" customHeight="1"/>
    <row r="2122" ht="120" customHeight="1"/>
    <row r="2123" ht="120" customHeight="1"/>
    <row r="2124" ht="120" customHeight="1"/>
    <row r="2125" ht="120" customHeight="1"/>
    <row r="2126" ht="120" customHeight="1"/>
    <row r="2127" ht="120" customHeight="1"/>
    <row r="2128" ht="120" customHeight="1"/>
    <row r="2129" ht="120" customHeight="1"/>
    <row r="2130" ht="120" customHeight="1"/>
    <row r="2131" ht="120" customHeight="1"/>
    <row r="2132" ht="120" customHeight="1"/>
    <row r="2133" ht="120" customHeight="1"/>
    <row r="2134" ht="120" customHeight="1"/>
    <row r="2135" ht="120" customHeight="1"/>
    <row r="2136" ht="120" customHeight="1"/>
    <row r="2137" ht="120" customHeight="1"/>
    <row r="2138" ht="120" customHeight="1"/>
    <row r="2139" ht="120" customHeight="1"/>
    <row r="2140" ht="120" customHeight="1"/>
    <row r="2141" ht="120" customHeight="1"/>
    <row r="2142" ht="120" customHeight="1"/>
    <row r="2143" ht="120" customHeight="1"/>
    <row r="2144" ht="120" customHeight="1"/>
    <row r="2145" ht="120" customHeight="1"/>
    <row r="2146" ht="120" customHeight="1"/>
    <row r="2147" ht="120" customHeight="1"/>
    <row r="2148" ht="120" customHeight="1"/>
    <row r="2149" ht="120" customHeight="1"/>
    <row r="2150" ht="120" customHeight="1"/>
    <row r="2151" ht="120" customHeight="1"/>
    <row r="2152" ht="120" customHeight="1"/>
    <row r="2153" ht="120" customHeight="1"/>
    <row r="2154" ht="120" customHeight="1"/>
    <row r="2155" ht="120" customHeight="1"/>
    <row r="2156" ht="120" customHeight="1"/>
    <row r="2157" ht="120" customHeight="1"/>
    <row r="2158" ht="120" customHeight="1"/>
    <row r="2159" ht="120" customHeight="1"/>
    <row r="2160" ht="120" customHeight="1"/>
    <row r="2161" ht="120" customHeight="1"/>
    <row r="2162" ht="120" customHeight="1"/>
    <row r="2163" ht="120" customHeight="1"/>
    <row r="2164" ht="120" customHeight="1"/>
    <row r="2165" ht="120" customHeight="1"/>
    <row r="2166" ht="120" customHeight="1"/>
    <row r="2167" ht="120" customHeight="1"/>
    <row r="2168" ht="120" customHeight="1"/>
    <row r="2169" ht="120" customHeight="1"/>
    <row r="2170" ht="120" customHeight="1"/>
    <row r="2171" ht="120" customHeight="1"/>
    <row r="2172" ht="120" customHeight="1"/>
    <row r="2173" ht="120" customHeight="1"/>
    <row r="2174" ht="120" customHeight="1"/>
    <row r="2175" ht="120" customHeight="1"/>
    <row r="2176" ht="120" customHeight="1"/>
    <row r="2177" ht="120" customHeight="1"/>
    <row r="2178" ht="120" customHeight="1"/>
    <row r="2179" ht="120" customHeight="1"/>
    <row r="2180" ht="120" customHeight="1"/>
    <row r="2181" ht="120" customHeight="1"/>
    <row r="2182" ht="120" customHeight="1"/>
    <row r="2183" ht="120" customHeight="1"/>
    <row r="2184" ht="120" customHeight="1"/>
    <row r="2185" ht="120" customHeight="1"/>
    <row r="2186" ht="120" customHeight="1"/>
    <row r="2187" ht="120" customHeight="1"/>
    <row r="2188" ht="120" customHeight="1"/>
    <row r="2189" ht="120" customHeight="1"/>
    <row r="2190" ht="120" customHeight="1"/>
    <row r="2191" ht="120" customHeight="1"/>
    <row r="2192" ht="120" customHeight="1"/>
    <row r="2193" ht="120" customHeight="1"/>
    <row r="2194" ht="120" customHeight="1"/>
    <row r="2195" ht="120" customHeight="1"/>
    <row r="2196" ht="120" customHeight="1"/>
    <row r="2197" ht="120" customHeight="1"/>
    <row r="2198" ht="120" customHeight="1"/>
    <row r="2199" ht="120" customHeight="1"/>
    <row r="2200" ht="120" customHeight="1"/>
    <row r="2201" ht="120" customHeight="1"/>
    <row r="2202" ht="120" customHeight="1"/>
    <row r="2203" ht="120" customHeight="1"/>
    <row r="2204" ht="120" customHeight="1"/>
    <row r="2205" ht="120" customHeight="1"/>
    <row r="2206" ht="120" customHeight="1"/>
    <row r="2207" ht="120" customHeight="1"/>
    <row r="2208" ht="120" customHeight="1"/>
    <row r="2209" ht="120" customHeight="1"/>
    <row r="2210" ht="120" customHeight="1"/>
    <row r="2211" ht="120" customHeight="1"/>
    <row r="2212" ht="120" customHeight="1"/>
    <row r="2213" ht="120" customHeight="1"/>
    <row r="2214" ht="120" customHeight="1"/>
    <row r="2215" ht="120" customHeight="1"/>
    <row r="2216" ht="120" customHeight="1"/>
    <row r="2217" ht="120" customHeight="1"/>
    <row r="2218" ht="120" customHeight="1"/>
    <row r="2219" ht="120" customHeight="1"/>
    <row r="2220" ht="120" customHeight="1"/>
    <row r="2221" ht="120" customHeight="1"/>
    <row r="2222" ht="120" customHeight="1"/>
    <row r="2223" ht="120" customHeight="1"/>
    <row r="2224" ht="120" customHeight="1"/>
    <row r="2225" ht="120" customHeight="1"/>
    <row r="2226" ht="120" customHeight="1"/>
    <row r="2227" ht="120" customHeight="1"/>
    <row r="2228" ht="120" customHeight="1"/>
    <row r="2229" ht="120" customHeight="1"/>
    <row r="2230" ht="120" customHeight="1"/>
    <row r="2231" ht="120" customHeight="1"/>
    <row r="2232" ht="120" customHeight="1"/>
    <row r="2233" ht="120" customHeight="1"/>
    <row r="2234" ht="120" customHeight="1"/>
    <row r="2235" ht="120" customHeight="1"/>
    <row r="2236" ht="120" customHeight="1"/>
    <row r="2237" ht="120" customHeight="1"/>
    <row r="2238" ht="120" customHeight="1"/>
    <row r="2239" ht="120" customHeight="1"/>
    <row r="2240" ht="120" customHeight="1"/>
    <row r="2241" ht="120" customHeight="1"/>
    <row r="2242" ht="120" customHeight="1"/>
    <row r="2243" ht="120" customHeight="1"/>
    <row r="2244" ht="120" customHeight="1"/>
    <row r="2245" ht="120" customHeight="1"/>
    <row r="2246" ht="120" customHeight="1"/>
    <row r="2247" ht="120" customHeight="1"/>
    <row r="2248" ht="120" customHeight="1"/>
    <row r="2249" ht="120" customHeight="1"/>
    <row r="2250" ht="120" customHeight="1"/>
    <row r="2251" ht="120" customHeight="1"/>
    <row r="2252" ht="120" customHeight="1"/>
    <row r="2253" ht="120" customHeight="1"/>
    <row r="2254" ht="120" customHeight="1"/>
    <row r="2255" ht="120" customHeight="1"/>
    <row r="2256" ht="120" customHeight="1"/>
    <row r="2257" ht="120" customHeight="1"/>
    <row r="2258" ht="120" customHeight="1"/>
    <row r="2259" ht="120" customHeight="1"/>
    <row r="2260" ht="120" customHeight="1"/>
    <row r="2261" ht="120" customHeight="1"/>
    <row r="2262" ht="120" customHeight="1"/>
    <row r="2263" ht="120" customHeight="1"/>
    <row r="2264" ht="120" customHeight="1"/>
    <row r="2265" ht="120" customHeight="1"/>
    <row r="2266" ht="120" customHeight="1"/>
    <row r="2267" ht="120" customHeight="1"/>
    <row r="2268" ht="120" customHeight="1"/>
    <row r="2269" ht="120" customHeight="1"/>
    <row r="2270" ht="120" customHeight="1"/>
    <row r="2271" ht="120" customHeight="1"/>
    <row r="2272" ht="120" customHeight="1"/>
    <row r="2273" ht="120" customHeight="1"/>
    <row r="2274" ht="120" customHeight="1"/>
    <row r="2275" ht="120" customHeight="1"/>
    <row r="2276" ht="120" customHeight="1"/>
    <row r="2277" ht="120" customHeight="1"/>
    <row r="2278" ht="120" customHeight="1"/>
    <row r="2279" ht="120" customHeight="1"/>
    <row r="2280" ht="120" customHeight="1"/>
    <row r="2281" ht="120" customHeight="1"/>
    <row r="2282" ht="120" customHeight="1"/>
    <row r="2283" ht="120" customHeight="1"/>
    <row r="2284" ht="120" customHeight="1"/>
    <row r="2285" ht="120" customHeight="1"/>
    <row r="2286" ht="120" customHeight="1"/>
    <row r="2287" ht="120" customHeight="1"/>
    <row r="2288" ht="120" customHeight="1"/>
    <row r="2289" ht="120" customHeight="1"/>
    <row r="2290" ht="120" customHeight="1"/>
    <row r="2291" ht="120" customHeight="1"/>
    <row r="2292" ht="120" customHeight="1"/>
    <row r="2293" ht="120" customHeight="1"/>
    <row r="2294" ht="120" customHeight="1"/>
    <row r="2295" ht="120" customHeight="1"/>
    <row r="2296" ht="120" customHeight="1"/>
    <row r="2297" ht="120" customHeight="1"/>
    <row r="2298" ht="120" customHeight="1"/>
    <row r="2299" ht="120" customHeight="1"/>
    <row r="2300" ht="120" customHeight="1"/>
    <row r="2301" ht="120" customHeight="1"/>
    <row r="2302" ht="120" customHeight="1"/>
    <row r="2303" ht="120" customHeight="1"/>
    <row r="2304" ht="120" customHeight="1"/>
    <row r="2305" ht="120" customHeight="1"/>
    <row r="2306" ht="120" customHeight="1"/>
    <row r="2307" ht="120" customHeight="1"/>
    <row r="2308" ht="120" customHeight="1"/>
    <row r="2309" ht="120" customHeight="1"/>
    <row r="2310" ht="120" customHeight="1"/>
    <row r="2311" ht="120" customHeight="1"/>
    <row r="2312" ht="120" customHeight="1"/>
    <row r="2313" ht="120" customHeight="1"/>
    <row r="2314" ht="120" customHeight="1"/>
    <row r="2315" ht="120" customHeight="1"/>
    <row r="2316" ht="120" customHeight="1"/>
    <row r="2317" ht="120" customHeight="1"/>
    <row r="2318" ht="120" customHeight="1"/>
    <row r="2319" ht="120" customHeight="1"/>
    <row r="2320" ht="120" customHeight="1"/>
    <row r="2321" ht="120" customHeight="1"/>
    <row r="2322" ht="120" customHeight="1"/>
    <row r="2323" ht="120" customHeight="1"/>
    <row r="2324" ht="120" customHeight="1"/>
    <row r="2325" ht="120" customHeight="1"/>
    <row r="2326" ht="120" customHeight="1"/>
    <row r="2327" ht="120" customHeight="1"/>
    <row r="2328" ht="120" customHeight="1"/>
    <row r="2329" ht="120" customHeight="1"/>
    <row r="2330" ht="120" customHeight="1"/>
    <row r="2331" ht="120" customHeight="1"/>
    <row r="2332" ht="120" customHeight="1"/>
    <row r="2333" ht="120" customHeight="1"/>
    <row r="2334" ht="120" customHeight="1"/>
    <row r="2335" ht="120" customHeight="1"/>
    <row r="2336" ht="120" customHeight="1"/>
    <row r="2337" ht="120" customHeight="1"/>
    <row r="2338" ht="120" customHeight="1"/>
    <row r="2339" ht="120" customHeight="1"/>
    <row r="2340" ht="120" customHeight="1"/>
    <row r="2341" ht="120" customHeight="1"/>
    <row r="2342" ht="120" customHeight="1"/>
    <row r="2343" ht="120" customHeight="1"/>
    <row r="2344" ht="120" customHeight="1"/>
    <row r="2345" ht="120" customHeight="1"/>
    <row r="2346" ht="120" customHeight="1"/>
    <row r="2347" ht="120" customHeight="1"/>
    <row r="2348" ht="120" customHeight="1"/>
    <row r="2349" ht="120" customHeight="1"/>
    <row r="2350" ht="120" customHeight="1"/>
    <row r="2351" ht="120" customHeight="1"/>
    <row r="2352" ht="120" customHeight="1"/>
    <row r="2353" ht="120" customHeight="1"/>
    <row r="2354" ht="120" customHeight="1"/>
    <row r="2355" ht="120" customHeight="1"/>
    <row r="2356" ht="120" customHeight="1"/>
    <row r="2357" ht="120" customHeight="1"/>
    <row r="2358" ht="120" customHeight="1"/>
    <row r="2359" ht="120" customHeight="1"/>
    <row r="2360" ht="120" customHeight="1"/>
    <row r="2361" ht="120" customHeight="1"/>
    <row r="2362" ht="120" customHeight="1"/>
    <row r="2363" ht="120" customHeight="1"/>
    <row r="2364" ht="120" customHeight="1"/>
    <row r="2365" ht="120" customHeight="1"/>
    <row r="2366" ht="120" customHeight="1"/>
    <row r="2367" ht="120" customHeight="1"/>
    <row r="2368" ht="120" customHeight="1"/>
    <row r="2369" ht="120" customHeight="1"/>
    <row r="2370" ht="120" customHeight="1"/>
    <row r="2371" ht="120" customHeight="1"/>
    <row r="2372" ht="120" customHeight="1"/>
    <row r="2373" ht="120" customHeight="1"/>
    <row r="2374" ht="120" customHeight="1"/>
    <row r="2375" ht="120" customHeight="1"/>
    <row r="2376" ht="120" customHeight="1"/>
    <row r="2377" ht="120" customHeight="1"/>
    <row r="2378" ht="120" customHeight="1"/>
    <row r="2379" ht="120" customHeight="1"/>
    <row r="2380" ht="120" customHeight="1"/>
    <row r="2381" ht="120" customHeight="1"/>
    <row r="2382" ht="120" customHeight="1"/>
    <row r="2383" ht="120" customHeight="1"/>
    <row r="2384" ht="120" customHeight="1"/>
    <row r="2385" ht="120" customHeight="1"/>
    <row r="2386" ht="120" customHeight="1"/>
    <row r="2387" ht="120" customHeight="1"/>
    <row r="2388" ht="120" customHeight="1"/>
    <row r="2389" ht="120" customHeight="1"/>
    <row r="2390" ht="120" customHeight="1"/>
    <row r="2391" ht="120" customHeight="1"/>
    <row r="2392" ht="120" customHeight="1"/>
    <row r="2393" ht="120" customHeight="1"/>
    <row r="2394" ht="120" customHeight="1"/>
    <row r="2395" ht="120" customHeight="1"/>
    <row r="2396" ht="120" customHeight="1"/>
    <row r="2397" ht="120" customHeight="1"/>
    <row r="2398" ht="120" customHeight="1"/>
    <row r="2399" ht="120" customHeight="1"/>
    <row r="2400" ht="120" customHeight="1"/>
    <row r="2401" ht="120" customHeight="1"/>
    <row r="2402" ht="120" customHeight="1"/>
    <row r="2403" ht="120" customHeight="1"/>
    <row r="2404" ht="120" customHeight="1"/>
    <row r="2405" ht="120" customHeight="1"/>
    <row r="2406" ht="120" customHeight="1"/>
    <row r="2407" ht="120" customHeight="1"/>
    <row r="2408" ht="120" customHeight="1"/>
    <row r="2409" ht="120" customHeight="1"/>
    <row r="2410" ht="120" customHeight="1"/>
    <row r="2411" ht="120" customHeight="1"/>
    <row r="2412" ht="120" customHeight="1"/>
    <row r="2413" ht="120" customHeight="1"/>
    <row r="2414" ht="120" customHeight="1"/>
    <row r="2415" ht="120" customHeight="1"/>
    <row r="2416" ht="120" customHeight="1"/>
    <row r="2417" ht="120" customHeight="1"/>
    <row r="2418" ht="120" customHeight="1"/>
    <row r="2419" ht="120" customHeight="1"/>
    <row r="2420" ht="120" customHeight="1"/>
    <row r="2421" ht="120" customHeight="1"/>
    <row r="2422" ht="120" customHeight="1"/>
    <row r="2423" ht="120" customHeight="1"/>
    <row r="2424" ht="120" customHeight="1"/>
    <row r="2425" ht="120" customHeight="1"/>
    <row r="2426" ht="120" customHeight="1"/>
    <row r="2427" ht="120" customHeight="1"/>
    <row r="2428" ht="120" customHeight="1"/>
    <row r="2429" ht="120" customHeight="1"/>
    <row r="2430" ht="120" customHeight="1"/>
    <row r="2431" ht="120" customHeight="1"/>
    <row r="2432" ht="120" customHeight="1"/>
    <row r="2433" ht="120" customHeight="1"/>
    <row r="2434" ht="120" customHeight="1"/>
    <row r="2435" ht="120" customHeight="1"/>
    <row r="2436" ht="120" customHeight="1"/>
    <row r="2437" ht="120" customHeight="1"/>
    <row r="2438" ht="120" customHeight="1"/>
    <row r="2439" ht="120" customHeight="1"/>
    <row r="2440" ht="120" customHeight="1"/>
    <row r="2441" ht="120" customHeight="1"/>
    <row r="2442" ht="120" customHeight="1"/>
    <row r="2443" ht="120" customHeight="1"/>
    <row r="2444" ht="120" customHeight="1"/>
    <row r="2445" ht="120" customHeight="1"/>
    <row r="2446" ht="120" customHeight="1"/>
    <row r="2447" ht="120" customHeight="1"/>
    <row r="2448" ht="120" customHeight="1"/>
    <row r="2449" ht="120" customHeight="1"/>
    <row r="2450" ht="120" customHeight="1"/>
    <row r="2451" ht="120" customHeight="1"/>
    <row r="2452" ht="120" customHeight="1"/>
    <row r="2453" ht="120" customHeight="1"/>
    <row r="2454" ht="120" customHeight="1"/>
    <row r="2455" ht="120" customHeight="1"/>
    <row r="2456" ht="120" customHeight="1"/>
    <row r="2457" ht="120" customHeight="1"/>
    <row r="2458" ht="120" customHeight="1"/>
    <row r="2459" ht="120" customHeight="1"/>
    <row r="2460" ht="120" customHeight="1"/>
    <row r="2461" ht="120" customHeight="1"/>
    <row r="2462" ht="120" customHeight="1"/>
    <row r="2463" ht="120" customHeight="1"/>
    <row r="2464" ht="120" customHeight="1"/>
    <row r="2465" ht="120" customHeight="1"/>
    <row r="2466" ht="120" customHeight="1"/>
    <row r="2467" ht="120" customHeight="1"/>
    <row r="2468" ht="120" customHeight="1"/>
    <row r="2469" ht="120" customHeight="1"/>
    <row r="2470" ht="120" customHeight="1"/>
    <row r="2471" ht="120" customHeight="1"/>
    <row r="2472" ht="120" customHeight="1"/>
    <row r="2473" ht="120" customHeight="1"/>
    <row r="2474" ht="120" customHeight="1"/>
    <row r="2475" ht="120" customHeight="1"/>
    <row r="2476" ht="120" customHeight="1"/>
    <row r="2477" ht="120" customHeight="1"/>
    <row r="2478" ht="120" customHeight="1"/>
    <row r="2479" ht="120" customHeight="1"/>
    <row r="2480" ht="120" customHeight="1"/>
    <row r="2481" ht="120" customHeight="1"/>
    <row r="2482" ht="120" customHeight="1"/>
    <row r="2483" ht="120" customHeight="1"/>
    <row r="2484" ht="120" customHeight="1"/>
    <row r="2485" ht="120" customHeight="1"/>
    <row r="2486" ht="120" customHeight="1"/>
    <row r="2487" ht="120" customHeight="1"/>
    <row r="2488" ht="120" customHeight="1"/>
    <row r="2489" ht="120" customHeight="1"/>
    <row r="2490" ht="120" customHeight="1"/>
    <row r="2491" ht="120" customHeight="1"/>
    <row r="2492" ht="120" customHeight="1"/>
    <row r="2493" ht="120" customHeight="1"/>
    <row r="2494" ht="120" customHeight="1"/>
    <row r="2495" ht="120" customHeight="1"/>
    <row r="2496" ht="120" customHeight="1"/>
    <row r="2497" ht="120" customHeight="1"/>
    <row r="2498" ht="120" customHeight="1"/>
    <row r="2499" ht="120" customHeight="1"/>
    <row r="2500" ht="120" customHeight="1"/>
    <row r="2501" ht="120" customHeight="1"/>
    <row r="2502" ht="120" customHeight="1"/>
    <row r="2503" ht="120" customHeight="1"/>
    <row r="2504" ht="120" customHeight="1"/>
    <row r="2505" ht="120" customHeight="1"/>
    <row r="2506" ht="120" customHeight="1"/>
    <row r="2507" ht="120" customHeight="1"/>
    <row r="2508" ht="120" customHeight="1"/>
    <row r="2509" ht="120" customHeight="1"/>
    <row r="2510" ht="120" customHeight="1"/>
    <row r="2511" ht="120" customHeight="1"/>
    <row r="2512" ht="120" customHeight="1"/>
    <row r="2513" ht="120" customHeight="1"/>
    <row r="2514" ht="120" customHeight="1"/>
    <row r="2515" ht="120" customHeight="1"/>
    <row r="2516" ht="120" customHeight="1"/>
    <row r="2517" ht="120" customHeight="1"/>
    <row r="2518" ht="120" customHeight="1"/>
    <row r="2519" ht="120" customHeight="1"/>
    <row r="2520" ht="120" customHeight="1"/>
    <row r="2521" ht="120" customHeight="1"/>
    <row r="2522" ht="120" customHeight="1"/>
    <row r="2523" ht="120" customHeight="1"/>
    <row r="2524" ht="120" customHeight="1"/>
    <row r="2525" ht="120" customHeight="1"/>
    <row r="2526" ht="120" customHeight="1"/>
    <row r="2527" ht="120" customHeight="1"/>
    <row r="2528" ht="120" customHeight="1"/>
    <row r="2529" ht="120" customHeight="1"/>
    <row r="2530" ht="120" customHeight="1"/>
    <row r="2531" ht="120" customHeight="1"/>
    <row r="2532" ht="120" customHeight="1"/>
    <row r="2533" ht="120" customHeight="1"/>
    <row r="2534" ht="120" customHeight="1"/>
    <row r="2535" ht="120" customHeight="1"/>
    <row r="2536" ht="120" customHeight="1"/>
    <row r="2537" ht="120" customHeight="1"/>
    <row r="2538" ht="120" customHeight="1"/>
    <row r="2539" ht="120" customHeight="1"/>
    <row r="2540" ht="120" customHeight="1"/>
    <row r="2541" ht="120" customHeight="1"/>
    <row r="2542" ht="120" customHeight="1"/>
    <row r="2543" ht="120" customHeight="1"/>
    <row r="2544" ht="120" customHeight="1"/>
    <row r="2545" ht="120" customHeight="1"/>
    <row r="2546" ht="120" customHeight="1"/>
    <row r="2547" ht="120" customHeight="1"/>
    <row r="2548" ht="120" customHeight="1"/>
    <row r="2549" ht="120" customHeight="1"/>
    <row r="2550" ht="120" customHeight="1"/>
    <row r="2551" ht="120" customHeight="1"/>
    <row r="2552" ht="120" customHeight="1"/>
    <row r="2553" ht="120" customHeight="1"/>
    <row r="2554" ht="120" customHeight="1"/>
    <row r="2555" ht="120" customHeight="1"/>
    <row r="2556" ht="120" customHeight="1"/>
    <row r="2557" ht="120" customHeight="1"/>
    <row r="2558" ht="120" customHeight="1"/>
    <row r="2559" ht="120" customHeight="1"/>
    <row r="2560" ht="120" customHeight="1"/>
    <row r="2561" ht="120" customHeight="1"/>
    <row r="2562" ht="120" customHeight="1"/>
    <row r="2563" ht="120" customHeight="1"/>
    <row r="2564" ht="120" customHeight="1"/>
    <row r="2565" ht="120" customHeight="1"/>
    <row r="2566" ht="120" customHeight="1"/>
    <row r="2567" ht="120" customHeight="1"/>
    <row r="2568" ht="120" customHeight="1"/>
    <row r="2569" ht="120" customHeight="1"/>
    <row r="2570" ht="120" customHeight="1"/>
    <row r="2571" ht="120" customHeight="1"/>
    <row r="2572" ht="120" customHeight="1"/>
    <row r="2573" ht="120" customHeight="1"/>
    <row r="2574" ht="120" customHeight="1"/>
    <row r="2575" ht="120" customHeight="1"/>
    <row r="2576" ht="120" customHeight="1"/>
    <row r="2577" ht="120" customHeight="1"/>
    <row r="2578" ht="120" customHeight="1"/>
    <row r="2579" ht="120" customHeight="1"/>
    <row r="2580" ht="120" customHeight="1"/>
    <row r="2581" ht="120" customHeight="1"/>
    <row r="2582" ht="120" customHeight="1"/>
    <row r="2583" ht="120" customHeight="1"/>
    <row r="2584" ht="120" customHeight="1"/>
    <row r="2585" ht="120" customHeight="1"/>
    <row r="2586" ht="120" customHeight="1"/>
    <row r="2587" ht="120" customHeight="1"/>
    <row r="2588" ht="120" customHeight="1"/>
    <row r="2589" ht="120" customHeight="1"/>
    <row r="2590" ht="120" customHeight="1"/>
    <row r="2591" ht="120" customHeight="1"/>
    <row r="2592" ht="120" customHeight="1"/>
    <row r="2593" ht="120" customHeight="1"/>
    <row r="2594" ht="120" customHeight="1"/>
    <row r="2595" ht="120" customHeight="1"/>
    <row r="2596" ht="120" customHeight="1"/>
    <row r="2597" ht="120" customHeight="1"/>
    <row r="2598" ht="120" customHeight="1"/>
    <row r="2599" ht="120" customHeight="1"/>
    <row r="2600" ht="120" customHeight="1"/>
    <row r="2601" ht="120" customHeight="1"/>
    <row r="2602" ht="120" customHeight="1"/>
    <row r="2603" ht="120" customHeight="1"/>
    <row r="2604" ht="120" customHeight="1"/>
    <row r="2605" ht="120" customHeight="1"/>
    <row r="2606" ht="120" customHeight="1"/>
    <row r="2607" ht="120" customHeight="1"/>
    <row r="2608" ht="120" customHeight="1"/>
    <row r="2609" ht="120" customHeight="1"/>
    <row r="2610" ht="120" customHeight="1"/>
    <row r="2611" ht="120" customHeight="1"/>
    <row r="2612" ht="120" customHeight="1"/>
    <row r="2613" ht="120" customHeight="1"/>
    <row r="2614" ht="120" customHeight="1"/>
    <row r="2615" ht="120" customHeight="1"/>
    <row r="2616" ht="120" customHeight="1"/>
    <row r="2617" ht="120" customHeight="1"/>
    <row r="2618" ht="120" customHeight="1"/>
    <row r="2619" ht="120" customHeight="1"/>
    <row r="2620" ht="120" customHeight="1"/>
    <row r="2621" ht="120" customHeight="1"/>
    <row r="2622" ht="120" customHeight="1"/>
    <row r="2623" ht="120" customHeight="1"/>
    <row r="2624" ht="120" customHeight="1"/>
    <row r="2625" ht="120" customHeight="1"/>
    <row r="2626" ht="120" customHeight="1"/>
    <row r="2627" ht="120" customHeight="1"/>
    <row r="2628" ht="120" customHeight="1"/>
    <row r="2629" ht="120" customHeight="1"/>
    <row r="2630" ht="120" customHeight="1"/>
    <row r="2631" ht="120" customHeight="1"/>
    <row r="2632" ht="120" customHeight="1"/>
    <row r="2633" ht="120" customHeight="1"/>
    <row r="2634" ht="120" customHeight="1"/>
    <row r="2635" ht="120" customHeight="1"/>
    <row r="2636" ht="120" customHeight="1"/>
    <row r="2637" ht="120" customHeight="1"/>
    <row r="2638" ht="120" customHeight="1"/>
    <row r="2639" ht="120" customHeight="1"/>
    <row r="2640" ht="120" customHeight="1"/>
    <row r="2641" ht="120" customHeight="1"/>
    <row r="2642" ht="120" customHeight="1"/>
    <row r="2643" ht="120" customHeight="1"/>
    <row r="2644" ht="120" customHeight="1"/>
    <row r="2645" ht="120" customHeight="1"/>
    <row r="2646" ht="120" customHeight="1"/>
    <row r="2647" ht="120" customHeight="1"/>
    <row r="2648" ht="120" customHeight="1"/>
    <row r="2649" ht="120" customHeight="1"/>
    <row r="2650" ht="120" customHeight="1"/>
    <row r="2651" ht="120" customHeight="1"/>
    <row r="2652" ht="120" customHeight="1"/>
    <row r="2653" ht="120" customHeight="1"/>
    <row r="2654" ht="120" customHeight="1"/>
    <row r="2655" ht="120" customHeight="1"/>
    <row r="2656" ht="120" customHeight="1"/>
    <row r="2657" ht="120" customHeight="1"/>
    <row r="2658" ht="120" customHeight="1"/>
    <row r="2659" ht="120" customHeight="1"/>
    <row r="2660" ht="120" customHeight="1"/>
    <row r="2661" ht="120" customHeight="1"/>
    <row r="2662" ht="120" customHeight="1"/>
    <row r="2663" ht="120" customHeight="1"/>
    <row r="2664" ht="120" customHeight="1"/>
    <row r="2665" ht="120" customHeight="1"/>
    <row r="2666" ht="120" customHeight="1"/>
    <row r="2667" ht="120" customHeight="1"/>
    <row r="2668" ht="120" customHeight="1"/>
    <row r="2669" ht="120" customHeight="1"/>
    <row r="2670" ht="120" customHeight="1"/>
    <row r="2671" ht="120" customHeight="1"/>
    <row r="2672" ht="120" customHeight="1"/>
    <row r="2673" ht="120" customHeight="1"/>
    <row r="2674" ht="120" customHeight="1"/>
    <row r="2675" ht="120" customHeight="1"/>
    <row r="2676" ht="120" customHeight="1"/>
    <row r="2677" ht="120" customHeight="1"/>
    <row r="2678" ht="120" customHeight="1"/>
    <row r="2679" ht="120" customHeight="1"/>
    <row r="2680" ht="120" customHeight="1"/>
    <row r="2681" ht="120" customHeight="1"/>
    <row r="2682" ht="120" customHeight="1"/>
    <row r="2683" ht="120" customHeight="1"/>
    <row r="2684" ht="120" customHeight="1"/>
    <row r="2685" ht="120" customHeight="1"/>
    <row r="2686" ht="120" customHeight="1"/>
    <row r="2687" ht="120" customHeight="1"/>
    <row r="2688" ht="120" customHeight="1"/>
    <row r="2689" ht="120" customHeight="1"/>
    <row r="2690" ht="120" customHeight="1"/>
    <row r="2691" ht="120" customHeight="1"/>
    <row r="2692" ht="120" customHeight="1"/>
    <row r="2693" ht="120" customHeight="1"/>
    <row r="2694" ht="120" customHeight="1"/>
    <row r="2695" ht="120" customHeight="1"/>
    <row r="2696" ht="120" customHeight="1"/>
    <row r="2697" ht="120" customHeight="1"/>
    <row r="2698" ht="120" customHeight="1"/>
    <row r="2699" ht="120" customHeight="1"/>
    <row r="2700" ht="120" customHeight="1"/>
    <row r="2701" ht="120" customHeight="1"/>
    <row r="2702" ht="120" customHeight="1"/>
    <row r="2703" ht="120" customHeight="1"/>
    <row r="2704" ht="120" customHeight="1"/>
    <row r="2705" ht="120" customHeight="1"/>
    <row r="2706" ht="120" customHeight="1"/>
    <row r="2707" ht="120" customHeight="1"/>
    <row r="2708" ht="120" customHeight="1"/>
    <row r="2709" ht="120" customHeight="1"/>
    <row r="2710" ht="120" customHeight="1"/>
    <row r="2711" ht="120" customHeight="1"/>
    <row r="2712" ht="120" customHeight="1"/>
    <row r="2713" ht="120" customHeight="1"/>
    <row r="2714" ht="120" customHeight="1"/>
    <row r="2715" ht="120" customHeight="1"/>
    <row r="2716" ht="120" customHeight="1"/>
    <row r="2717" ht="120" customHeight="1"/>
    <row r="2718" ht="120" customHeight="1"/>
    <row r="2719" ht="120" customHeight="1"/>
    <row r="2720" ht="120" customHeight="1"/>
    <row r="2721" ht="120" customHeight="1"/>
    <row r="2722" ht="120" customHeight="1"/>
    <row r="2723" ht="120" customHeight="1"/>
    <row r="2724" ht="120" customHeight="1"/>
    <row r="2725" ht="120" customHeight="1"/>
    <row r="2726" ht="120" customHeight="1"/>
    <row r="2727" ht="120" customHeight="1"/>
    <row r="2728" ht="120" customHeight="1"/>
    <row r="2729" ht="120" customHeight="1"/>
    <row r="2730" ht="120" customHeight="1"/>
    <row r="2731" ht="120" customHeight="1"/>
    <row r="2732" ht="120" customHeight="1"/>
    <row r="2733" ht="120" customHeight="1"/>
    <row r="2734" ht="120" customHeight="1"/>
    <row r="2735" ht="120" customHeight="1"/>
    <row r="2736" ht="120" customHeight="1"/>
    <row r="2737" ht="120" customHeight="1"/>
    <row r="2738" ht="120" customHeight="1"/>
    <row r="2739" ht="120" customHeight="1"/>
    <row r="2740" ht="120" customHeight="1"/>
    <row r="2741" ht="120" customHeight="1"/>
    <row r="2742" ht="120" customHeight="1"/>
    <row r="2743" ht="120" customHeight="1"/>
    <row r="2744" ht="120" customHeight="1"/>
    <row r="2745" ht="120" customHeight="1"/>
    <row r="2746" ht="120" customHeight="1"/>
    <row r="2747" ht="120" customHeight="1"/>
    <row r="2748" ht="120" customHeight="1"/>
    <row r="2749" ht="120" customHeight="1"/>
    <row r="2750" ht="120" customHeight="1"/>
    <row r="2751" ht="120" customHeight="1"/>
    <row r="2752" ht="120" customHeight="1"/>
    <row r="2753" ht="120" customHeight="1"/>
    <row r="2754" ht="120" customHeight="1"/>
    <row r="2755" ht="120" customHeight="1"/>
    <row r="2756" ht="120" customHeight="1"/>
    <row r="2757" ht="120" customHeight="1"/>
    <row r="2758" ht="120" customHeight="1"/>
    <row r="2759" ht="120" customHeight="1"/>
    <row r="2760" ht="120" customHeight="1"/>
    <row r="2761" ht="120" customHeight="1"/>
    <row r="2762" ht="120" customHeight="1"/>
    <row r="2763" ht="120" customHeight="1"/>
    <row r="2764" ht="120" customHeight="1"/>
    <row r="2765" ht="120" customHeight="1"/>
    <row r="2766" ht="120" customHeight="1"/>
    <row r="2767" ht="120" customHeight="1"/>
    <row r="2768" ht="120" customHeight="1"/>
    <row r="2769" ht="120" customHeight="1"/>
    <row r="2770" ht="120" customHeight="1"/>
    <row r="2771" ht="120" customHeight="1"/>
    <row r="2772" ht="120" customHeight="1"/>
    <row r="2773" ht="120" customHeight="1"/>
    <row r="2774" ht="120" customHeight="1"/>
    <row r="2775" ht="120" customHeight="1"/>
    <row r="2776" ht="120" customHeight="1"/>
    <row r="2777" ht="120" customHeight="1"/>
    <row r="2778" ht="120" customHeight="1"/>
    <row r="2779" ht="120" customHeight="1"/>
    <row r="2780" ht="120" customHeight="1"/>
    <row r="2781" ht="120" customHeight="1"/>
    <row r="2782" ht="120" customHeight="1"/>
    <row r="2783" ht="120" customHeight="1"/>
    <row r="2784" ht="120" customHeight="1"/>
    <row r="2785" ht="120" customHeight="1"/>
    <row r="2786" ht="120" customHeight="1"/>
    <row r="2787" ht="120" customHeight="1"/>
    <row r="2788" ht="120" customHeight="1"/>
    <row r="2789" ht="120" customHeight="1"/>
    <row r="2790" ht="120" customHeight="1"/>
    <row r="2791" ht="120" customHeight="1"/>
    <row r="2792" ht="120" customHeight="1"/>
    <row r="2793" ht="120" customHeight="1"/>
    <row r="2794" ht="120" customHeight="1"/>
    <row r="2795" ht="120" customHeight="1"/>
    <row r="2796" ht="120" customHeight="1"/>
    <row r="2797" ht="120" customHeight="1"/>
    <row r="2798" ht="120" customHeight="1"/>
    <row r="2799" ht="120" customHeight="1"/>
    <row r="2800" ht="120" customHeight="1"/>
    <row r="2801" ht="120" customHeight="1"/>
    <row r="2802" ht="120" customHeight="1"/>
    <row r="2803" ht="120" customHeight="1"/>
    <row r="2804" ht="120" customHeight="1"/>
    <row r="2805" ht="120" customHeight="1"/>
    <row r="2806" ht="120" customHeight="1"/>
    <row r="2807" ht="120" customHeight="1"/>
    <row r="2808" ht="120" customHeight="1"/>
    <row r="2809" ht="120" customHeight="1"/>
    <row r="2810" ht="120" customHeight="1"/>
    <row r="2811" ht="120" customHeight="1"/>
    <row r="2812" ht="120" customHeight="1"/>
    <row r="2813" ht="120" customHeight="1"/>
    <row r="2814" ht="120" customHeight="1"/>
    <row r="2815" ht="120" customHeight="1"/>
    <row r="2816" ht="120" customHeight="1"/>
    <row r="2817" ht="120" customHeight="1"/>
    <row r="2818" ht="120" customHeight="1"/>
    <row r="2819" ht="120" customHeight="1"/>
    <row r="2820" ht="120" customHeight="1"/>
    <row r="2821" ht="120" customHeight="1"/>
    <row r="2822" ht="120" customHeight="1"/>
    <row r="2823" ht="120" customHeight="1"/>
    <row r="2824" ht="120" customHeight="1"/>
    <row r="2825" ht="120" customHeight="1"/>
    <row r="2826" ht="120" customHeight="1"/>
    <row r="2827" ht="120" customHeight="1"/>
    <row r="2828" ht="120" customHeight="1"/>
    <row r="2829" ht="120" customHeight="1"/>
    <row r="2830" ht="120" customHeight="1"/>
    <row r="2831" ht="120" customHeight="1"/>
    <row r="2832" ht="120" customHeight="1"/>
    <row r="2833" ht="120" customHeight="1"/>
    <row r="2834" ht="120" customHeight="1"/>
    <row r="2835" ht="120" customHeight="1"/>
    <row r="2836" ht="120" customHeight="1"/>
    <row r="2837" ht="120" customHeight="1"/>
    <row r="2838" ht="120" customHeight="1"/>
    <row r="2839" ht="120" customHeight="1"/>
    <row r="2840" ht="120" customHeight="1"/>
    <row r="2841" ht="120" customHeight="1"/>
    <row r="2842" ht="120" customHeight="1"/>
    <row r="2843" ht="120" customHeight="1"/>
    <row r="2844" ht="120" customHeight="1"/>
    <row r="2845" ht="120" customHeight="1"/>
    <row r="2846" ht="120" customHeight="1"/>
    <row r="2847" ht="120" customHeight="1"/>
    <row r="2848" ht="120" customHeight="1"/>
    <row r="2849" ht="120" customHeight="1"/>
    <row r="2850" ht="120" customHeight="1"/>
    <row r="2851" ht="120" customHeight="1"/>
    <row r="2852" ht="120" customHeight="1"/>
    <row r="2853" ht="120" customHeight="1"/>
    <row r="2854" ht="120" customHeight="1"/>
    <row r="2855" ht="120" customHeight="1"/>
    <row r="2856" ht="120" customHeight="1"/>
    <row r="2857" ht="120" customHeight="1"/>
    <row r="2858" ht="120" customHeight="1"/>
    <row r="2859" ht="120" customHeight="1"/>
    <row r="2860" ht="120" customHeight="1"/>
    <row r="2861" ht="120" customHeight="1"/>
    <row r="2862" ht="120" customHeight="1"/>
    <row r="2863" ht="120" customHeight="1"/>
    <row r="2864" ht="120" customHeight="1"/>
    <row r="2865" ht="120" customHeight="1"/>
    <row r="2866" ht="120" customHeight="1"/>
    <row r="2867" ht="120" customHeight="1"/>
    <row r="2868" ht="120" customHeight="1"/>
    <row r="2869" ht="120" customHeight="1"/>
    <row r="2870" ht="120" customHeight="1"/>
    <row r="2871" ht="120" customHeight="1"/>
    <row r="2872" ht="120" customHeight="1"/>
    <row r="2873" ht="120" customHeight="1"/>
    <row r="2874" ht="120" customHeight="1"/>
    <row r="2875" ht="120" customHeight="1"/>
    <row r="2876" ht="120" customHeight="1"/>
    <row r="2877" ht="120" customHeight="1"/>
    <row r="2878" ht="120" customHeight="1"/>
    <row r="2879" ht="120" customHeight="1"/>
    <row r="2880" ht="120" customHeight="1"/>
    <row r="2881" ht="120" customHeight="1"/>
    <row r="2882" ht="120" customHeight="1"/>
    <row r="2883" ht="120" customHeight="1"/>
    <row r="2884" ht="120" customHeight="1"/>
    <row r="2885" ht="120" customHeight="1"/>
    <row r="2886" ht="120" customHeight="1"/>
    <row r="2887" ht="120" customHeight="1"/>
    <row r="2888" ht="120" customHeight="1"/>
    <row r="2889" ht="120" customHeight="1"/>
    <row r="2890" ht="120" customHeight="1"/>
    <row r="2891" ht="120" customHeight="1"/>
    <row r="2892" ht="120" customHeight="1"/>
    <row r="2893" ht="120" customHeight="1"/>
    <row r="2894" ht="120" customHeight="1"/>
    <row r="2895" ht="120" customHeight="1"/>
    <row r="2896" ht="120" customHeight="1"/>
    <row r="2897" ht="120" customHeight="1"/>
    <row r="2898" ht="120" customHeight="1"/>
    <row r="2899" ht="120" customHeight="1"/>
    <row r="2900" ht="120" customHeight="1"/>
    <row r="2901" ht="120" customHeight="1"/>
    <row r="2902" ht="120" customHeight="1"/>
    <row r="2903" ht="120" customHeight="1"/>
    <row r="2904" ht="120" customHeight="1"/>
    <row r="2905" ht="120" customHeight="1"/>
    <row r="2906" ht="120" customHeight="1"/>
    <row r="2907" ht="120" customHeight="1"/>
    <row r="2908" ht="120" customHeight="1"/>
    <row r="2909" ht="120" customHeight="1"/>
    <row r="2910" ht="120" customHeight="1"/>
    <row r="2911" ht="120" customHeight="1"/>
    <row r="2912" ht="120" customHeight="1"/>
    <row r="2913" ht="120" customHeight="1"/>
    <row r="2914" ht="120" customHeight="1"/>
    <row r="2915" ht="120" customHeight="1"/>
    <row r="2916" ht="120" customHeight="1"/>
    <row r="2917" ht="120" customHeight="1"/>
    <row r="2918" ht="120" customHeight="1"/>
    <row r="2919" ht="120" customHeight="1"/>
    <row r="2920" ht="120" customHeight="1"/>
    <row r="2921" ht="120" customHeight="1"/>
    <row r="2922" ht="120" customHeight="1"/>
    <row r="2923" ht="120" customHeight="1"/>
    <row r="2924" ht="120" customHeight="1"/>
    <row r="2925" ht="120" customHeight="1"/>
    <row r="2926" ht="120" customHeight="1"/>
    <row r="2927" ht="120" customHeight="1"/>
    <row r="2928" ht="120" customHeight="1"/>
    <row r="2929" ht="120" customHeight="1"/>
    <row r="2930" ht="120" customHeight="1"/>
    <row r="2931" ht="120" customHeight="1"/>
    <row r="2932" ht="120" customHeight="1"/>
    <row r="2933" ht="120" customHeight="1"/>
    <row r="2934" ht="120" customHeight="1"/>
    <row r="2935" ht="120" customHeight="1"/>
    <row r="2936" ht="120" customHeight="1"/>
    <row r="2937" ht="120" customHeight="1"/>
    <row r="2938" ht="120" customHeight="1"/>
    <row r="2939" ht="120" customHeight="1"/>
    <row r="2940" ht="120" customHeight="1"/>
    <row r="2941" ht="120" customHeight="1"/>
    <row r="2942" ht="120" customHeight="1"/>
    <row r="2943" ht="120" customHeight="1"/>
    <row r="2944" ht="120" customHeight="1"/>
    <row r="2945" ht="120" customHeight="1"/>
    <row r="2946" ht="120" customHeight="1"/>
    <row r="2947" ht="120" customHeight="1"/>
    <row r="2948" ht="120" customHeight="1"/>
    <row r="2949" ht="120" customHeight="1"/>
    <row r="2950" ht="120" customHeight="1"/>
    <row r="2951" ht="120" customHeight="1"/>
    <row r="2952" ht="120" customHeight="1"/>
    <row r="2953" ht="120" customHeight="1"/>
    <row r="2954" ht="120" customHeight="1"/>
    <row r="2955" ht="120" customHeight="1"/>
    <row r="2956" ht="120" customHeight="1"/>
    <row r="2957" ht="120" customHeight="1"/>
    <row r="2958" ht="120" customHeight="1"/>
    <row r="2959" ht="120" customHeight="1"/>
    <row r="2960" ht="120" customHeight="1"/>
    <row r="2961" ht="120" customHeight="1"/>
    <row r="2962" ht="120" customHeight="1"/>
    <row r="2963" ht="120" customHeight="1"/>
    <row r="2964" ht="120" customHeight="1"/>
    <row r="2965" ht="120" customHeight="1"/>
    <row r="2966" ht="120" customHeight="1"/>
    <row r="2967" ht="120" customHeight="1"/>
    <row r="2968" ht="120" customHeight="1"/>
    <row r="2969" ht="120" customHeight="1"/>
    <row r="2970" ht="120" customHeight="1"/>
    <row r="2971" ht="120" customHeight="1"/>
    <row r="2972" ht="120" customHeight="1"/>
    <row r="2973" ht="120" customHeight="1"/>
    <row r="2974" ht="120" customHeight="1"/>
    <row r="2975" ht="120" customHeight="1"/>
    <row r="2976" ht="120" customHeight="1"/>
    <row r="2977" ht="120" customHeight="1"/>
    <row r="2978" ht="120" customHeight="1"/>
    <row r="2979" ht="120" customHeight="1"/>
    <row r="2980" ht="120" customHeight="1"/>
    <row r="2981" ht="120" customHeight="1"/>
    <row r="2982" ht="120" customHeight="1"/>
    <row r="2983" ht="120" customHeight="1"/>
    <row r="2984" ht="120" customHeight="1"/>
    <row r="2985" ht="120" customHeight="1"/>
    <row r="2986" ht="120" customHeight="1"/>
    <row r="2987" ht="120" customHeight="1"/>
    <row r="2988" ht="120" customHeight="1"/>
    <row r="2989" ht="120" customHeight="1"/>
    <row r="2990" ht="120" customHeight="1"/>
    <row r="2991" ht="120" customHeight="1"/>
    <row r="2992" ht="120" customHeight="1"/>
    <row r="2993" ht="120" customHeight="1"/>
    <row r="2994" ht="120" customHeight="1"/>
    <row r="2995" ht="120" customHeight="1"/>
    <row r="2996" ht="120" customHeight="1"/>
    <row r="2997" ht="120" customHeight="1"/>
    <row r="2998" ht="120" customHeight="1"/>
    <row r="2999" ht="120" customHeight="1"/>
    <row r="3000" ht="120" customHeight="1"/>
    <row r="3001" ht="120" customHeight="1"/>
    <row r="3002" ht="120" customHeight="1"/>
    <row r="3003" ht="120" customHeight="1"/>
    <row r="3004" ht="120" customHeight="1"/>
    <row r="3005" ht="120" customHeight="1"/>
    <row r="3006" ht="120" customHeight="1"/>
    <row r="3007" ht="120" customHeight="1"/>
    <row r="3008" ht="120" customHeight="1"/>
    <row r="3009" ht="120" customHeight="1"/>
    <row r="3010" ht="120" customHeight="1"/>
    <row r="3011" ht="120" customHeight="1"/>
    <row r="3012" ht="120" customHeight="1"/>
    <row r="3013" ht="120" customHeight="1"/>
    <row r="3014" ht="120" customHeight="1"/>
    <row r="3015" ht="120" customHeight="1"/>
    <row r="3016" ht="120" customHeight="1"/>
    <row r="3017" ht="120" customHeight="1"/>
    <row r="3018" ht="120" customHeight="1"/>
    <row r="3019" ht="120" customHeight="1"/>
    <row r="3020" ht="120" customHeight="1"/>
    <row r="3021" ht="120" customHeight="1"/>
    <row r="3022" ht="120" customHeight="1"/>
    <row r="3023" ht="120" customHeight="1"/>
    <row r="3024" ht="120" customHeight="1"/>
    <row r="3025" ht="120" customHeight="1"/>
    <row r="3026" ht="120" customHeight="1"/>
    <row r="3027" ht="120" customHeight="1"/>
    <row r="3028" ht="120" customHeight="1"/>
    <row r="3029" ht="120" customHeight="1"/>
    <row r="3030" ht="120" customHeight="1"/>
    <row r="3031" ht="120" customHeight="1"/>
    <row r="3032" ht="120" customHeight="1"/>
    <row r="3033" ht="120" customHeight="1"/>
    <row r="3034" ht="120" customHeight="1"/>
    <row r="3035" ht="120" customHeight="1"/>
    <row r="3036" ht="120" customHeight="1"/>
    <row r="3037" ht="120" customHeight="1"/>
    <row r="3038" ht="120" customHeight="1"/>
    <row r="3039" ht="120" customHeight="1"/>
    <row r="3040" ht="120" customHeight="1"/>
    <row r="3041" ht="120" customHeight="1"/>
    <row r="3042" ht="120" customHeight="1"/>
    <row r="3043" ht="120" customHeight="1"/>
    <row r="3044" ht="120" customHeight="1"/>
    <row r="3045" ht="120" customHeight="1"/>
    <row r="3046" ht="120" customHeight="1"/>
    <row r="3047" ht="120" customHeight="1"/>
    <row r="3048" ht="120" customHeight="1"/>
    <row r="3049" ht="120" customHeight="1"/>
    <row r="3050" ht="120" customHeight="1"/>
    <row r="3051" ht="120" customHeight="1"/>
    <row r="3052" ht="120" customHeight="1"/>
    <row r="3053" ht="120" customHeight="1"/>
    <row r="3054" ht="120" customHeight="1"/>
    <row r="3055" ht="120" customHeight="1"/>
    <row r="3056" ht="120" customHeight="1"/>
    <row r="3057" ht="120" customHeight="1"/>
    <row r="3058" ht="120" customHeight="1"/>
    <row r="3059" ht="120" customHeight="1"/>
    <row r="3060" ht="120" customHeight="1"/>
    <row r="3061" ht="120" customHeight="1"/>
    <row r="3062" ht="120" customHeight="1"/>
    <row r="3063" ht="120" customHeight="1"/>
    <row r="3064" ht="120" customHeight="1"/>
    <row r="3065" ht="120" customHeight="1"/>
    <row r="3066" ht="120" customHeight="1"/>
    <row r="3067" ht="120" customHeight="1"/>
    <row r="3068" ht="120" customHeight="1"/>
    <row r="3069" ht="120" customHeight="1"/>
    <row r="3070" ht="120" customHeight="1"/>
    <row r="3071" ht="120" customHeight="1"/>
    <row r="3072" ht="120" customHeight="1"/>
    <row r="3073" ht="120" customHeight="1"/>
    <row r="3074" ht="120" customHeight="1"/>
    <row r="3075" ht="120" customHeight="1"/>
    <row r="3076" ht="120" customHeight="1"/>
    <row r="3077" ht="120" customHeight="1"/>
    <row r="3078" ht="120" customHeight="1"/>
    <row r="3079" ht="120" customHeight="1"/>
    <row r="3080" ht="120" customHeight="1"/>
    <row r="3081" ht="120" customHeight="1"/>
    <row r="3082" ht="120" customHeight="1"/>
    <row r="3083" ht="120" customHeight="1"/>
    <row r="3084" ht="120" customHeight="1"/>
    <row r="3085" ht="120" customHeight="1"/>
    <row r="3086" ht="120" customHeight="1"/>
    <row r="3087" ht="120" customHeight="1"/>
    <row r="3088" ht="120" customHeight="1"/>
    <row r="3089" ht="120" customHeight="1"/>
    <row r="3090" ht="120" customHeight="1"/>
    <row r="3091" ht="120" customHeight="1"/>
    <row r="3092" ht="120" customHeight="1"/>
    <row r="3093" ht="120" customHeight="1"/>
    <row r="3094" ht="120" customHeight="1"/>
    <row r="3095" ht="120" customHeight="1"/>
    <row r="3096" ht="120" customHeight="1"/>
    <row r="3097" ht="120" customHeight="1"/>
    <row r="3098" ht="120" customHeight="1"/>
    <row r="3099" ht="120" customHeight="1"/>
    <row r="3100" ht="120" customHeight="1"/>
    <row r="3101" ht="120" customHeight="1"/>
    <row r="3102" ht="120" customHeight="1"/>
    <row r="3103" ht="120" customHeight="1"/>
    <row r="3104" ht="120" customHeight="1"/>
    <row r="3105" ht="120" customHeight="1"/>
    <row r="3106" ht="120" customHeight="1"/>
    <row r="3107" ht="120" customHeight="1"/>
    <row r="3108" ht="120" customHeight="1"/>
    <row r="3109" ht="120" customHeight="1"/>
    <row r="3110" ht="120" customHeight="1"/>
    <row r="3111" ht="120" customHeight="1"/>
    <row r="3112" ht="120" customHeight="1"/>
    <row r="3113" ht="120" customHeight="1"/>
    <row r="3114" ht="120" customHeight="1"/>
    <row r="3115" ht="120" customHeight="1"/>
    <row r="3116" ht="120" customHeight="1"/>
    <row r="3117" ht="120" customHeight="1"/>
    <row r="3118" ht="120" customHeight="1"/>
    <row r="3119" ht="120" customHeight="1"/>
    <row r="3120" ht="120" customHeight="1"/>
    <row r="3121" ht="120" customHeight="1"/>
    <row r="3122" ht="120" customHeight="1"/>
    <row r="3123" ht="120" customHeight="1"/>
    <row r="3124" ht="120" customHeight="1"/>
    <row r="3125" ht="120" customHeight="1"/>
    <row r="3126" ht="120" customHeight="1"/>
    <row r="3127" ht="120" customHeight="1"/>
    <row r="3128" ht="120" customHeight="1"/>
    <row r="3129" ht="120" customHeight="1"/>
    <row r="3130" ht="120" customHeight="1"/>
    <row r="3131" ht="120" customHeight="1"/>
    <row r="3132" ht="120" customHeight="1"/>
    <row r="3133" ht="120" customHeight="1"/>
    <row r="3134" ht="120" customHeight="1"/>
    <row r="3135" ht="120" customHeight="1"/>
    <row r="3136" ht="120" customHeight="1"/>
    <row r="3137" ht="120" customHeight="1"/>
    <row r="3138" ht="120" customHeight="1"/>
    <row r="3139" ht="120" customHeight="1"/>
    <row r="3140" ht="120" customHeight="1"/>
    <row r="3141" ht="120" customHeight="1"/>
    <row r="3142" ht="120" customHeight="1"/>
    <row r="3143" ht="120" customHeight="1"/>
    <row r="3144" ht="120" customHeight="1"/>
    <row r="3145" ht="120" customHeight="1"/>
    <row r="3146" ht="120" customHeight="1"/>
    <row r="3147" ht="120" customHeight="1"/>
    <row r="3148" ht="120" customHeight="1"/>
    <row r="3149" ht="120" customHeight="1"/>
    <row r="3150" ht="120" customHeight="1"/>
    <row r="3151" ht="120" customHeight="1"/>
    <row r="3152" ht="120" customHeight="1"/>
    <row r="3153" ht="120" customHeight="1"/>
    <row r="3154" ht="120" customHeight="1"/>
    <row r="3155" ht="120" customHeight="1"/>
    <row r="3156" ht="120" customHeight="1"/>
    <row r="3157" ht="120" customHeight="1"/>
    <row r="3158" ht="120" customHeight="1"/>
    <row r="3159" ht="120" customHeight="1"/>
    <row r="3160" ht="120" customHeight="1"/>
    <row r="3161" ht="120" customHeight="1"/>
    <row r="3162" ht="120" customHeight="1"/>
    <row r="3163" ht="120" customHeight="1"/>
    <row r="3164" ht="120" customHeight="1"/>
    <row r="3165" ht="120" customHeight="1"/>
    <row r="3166" ht="120" customHeight="1"/>
    <row r="3167" ht="120" customHeight="1"/>
    <row r="3168" ht="120" customHeight="1"/>
    <row r="3169" ht="120" customHeight="1"/>
    <row r="3170" ht="120" customHeight="1"/>
    <row r="3171" ht="120" customHeight="1"/>
    <row r="3172" ht="120" customHeight="1"/>
    <row r="3173" ht="120" customHeight="1"/>
    <row r="3174" ht="120" customHeight="1"/>
    <row r="3175" ht="120" customHeight="1"/>
    <row r="3176" ht="120" customHeight="1"/>
    <row r="3177" ht="120" customHeight="1"/>
    <row r="3178" ht="120" customHeight="1"/>
    <row r="3179" ht="120" customHeight="1"/>
    <row r="3180" ht="120" customHeight="1"/>
    <row r="3181" ht="120" customHeight="1"/>
    <row r="3182" ht="120" customHeight="1"/>
    <row r="3183" ht="120" customHeight="1"/>
    <row r="3184" ht="120" customHeight="1"/>
    <row r="3185" ht="120" customHeight="1"/>
    <row r="3186" ht="120" customHeight="1"/>
    <row r="3187" ht="120" customHeight="1"/>
    <row r="3188" ht="120" customHeight="1"/>
    <row r="3189" ht="120" customHeight="1"/>
    <row r="3190" ht="120" customHeight="1"/>
    <row r="3191" ht="120" customHeight="1"/>
    <row r="3192" ht="120" customHeight="1"/>
    <row r="3193" ht="120" customHeight="1"/>
    <row r="3194" ht="120" customHeight="1"/>
    <row r="3195" ht="120" customHeight="1"/>
    <row r="3196" ht="120" customHeight="1"/>
    <row r="3197" ht="120" customHeight="1"/>
    <row r="3198" ht="120" customHeight="1"/>
    <row r="3199" ht="120" customHeight="1"/>
    <row r="3200" ht="120" customHeight="1"/>
    <row r="3201" ht="120" customHeight="1"/>
    <row r="3202" ht="120" customHeight="1"/>
    <row r="3203" ht="120" customHeight="1"/>
    <row r="3204" ht="120" customHeight="1"/>
    <row r="3205" ht="120" customHeight="1"/>
    <row r="3206" ht="120" customHeight="1"/>
    <row r="3207" ht="120" customHeight="1"/>
    <row r="3208" ht="120" customHeight="1"/>
    <row r="3209" ht="120" customHeight="1"/>
    <row r="3210" ht="120" customHeight="1"/>
    <row r="3211" ht="120" customHeight="1"/>
    <row r="3212" ht="120" customHeight="1"/>
    <row r="3213" ht="120" customHeight="1"/>
    <row r="3214" ht="120" customHeight="1"/>
    <row r="3215" ht="120" customHeight="1"/>
    <row r="3216" ht="120" customHeight="1"/>
    <row r="3217" ht="120" customHeight="1"/>
    <row r="3218" ht="120" customHeight="1"/>
    <row r="3219" ht="120" customHeight="1"/>
    <row r="3220" ht="120" customHeight="1"/>
    <row r="3221" ht="120" customHeight="1"/>
    <row r="3222" ht="120" customHeight="1"/>
    <row r="3223" ht="120" customHeight="1"/>
    <row r="3224" ht="120" customHeight="1"/>
    <row r="3225" ht="120" customHeight="1"/>
    <row r="3226" ht="120" customHeight="1"/>
    <row r="3227" ht="120" customHeight="1"/>
    <row r="3228" ht="120" customHeight="1"/>
    <row r="3229" ht="120" customHeight="1"/>
    <row r="3230" ht="120" customHeight="1"/>
    <row r="3231" ht="120" customHeight="1"/>
    <row r="3232" ht="120" customHeight="1"/>
    <row r="3233" ht="120" customHeight="1"/>
    <row r="3234" ht="120" customHeight="1"/>
    <row r="3235" ht="120" customHeight="1"/>
    <row r="3236" ht="120" customHeight="1"/>
    <row r="3237" ht="120" customHeight="1"/>
    <row r="3238" ht="120" customHeight="1"/>
    <row r="3239" ht="120" customHeight="1"/>
    <row r="3240" ht="120" customHeight="1"/>
    <row r="3241" ht="120" customHeight="1"/>
    <row r="3242" ht="120" customHeight="1"/>
    <row r="3243" ht="120" customHeight="1"/>
    <row r="3244" ht="120" customHeight="1"/>
    <row r="3245" ht="120" customHeight="1"/>
    <row r="3246" ht="120" customHeight="1"/>
    <row r="3247" ht="120" customHeight="1"/>
    <row r="3248" ht="120" customHeight="1"/>
    <row r="3249" ht="120" customHeight="1"/>
    <row r="3250" ht="120" customHeight="1"/>
    <row r="3251" ht="120" customHeight="1"/>
    <row r="3252" ht="120" customHeight="1"/>
    <row r="3253" ht="120" customHeight="1"/>
    <row r="3254" ht="120" customHeight="1"/>
    <row r="3255" ht="120" customHeight="1"/>
    <row r="3256" ht="120" customHeight="1"/>
    <row r="3257" ht="120" customHeight="1"/>
    <row r="3258" ht="120" customHeight="1"/>
    <row r="3259" ht="120" customHeight="1"/>
    <row r="3260" ht="120" customHeight="1"/>
    <row r="3261" ht="120" customHeight="1"/>
    <row r="3262" ht="120" customHeight="1"/>
    <row r="3263" ht="120" customHeight="1"/>
    <row r="3264" ht="120" customHeight="1"/>
    <row r="3265" ht="120" customHeight="1"/>
    <row r="3266" ht="120" customHeight="1"/>
    <row r="3267" ht="120" customHeight="1"/>
    <row r="3268" ht="120" customHeight="1"/>
    <row r="3269" ht="120" customHeight="1"/>
    <row r="3270" ht="120" customHeight="1"/>
    <row r="3271" ht="120" customHeight="1"/>
    <row r="3272" ht="120" customHeight="1"/>
    <row r="3273" ht="120" customHeight="1"/>
    <row r="3274" ht="120" customHeight="1"/>
    <row r="3275" ht="120" customHeight="1"/>
    <row r="3276" ht="120" customHeight="1"/>
    <row r="3277" ht="120" customHeight="1"/>
    <row r="3278" ht="120" customHeight="1"/>
    <row r="3279" ht="120" customHeight="1"/>
    <row r="3280" ht="120" customHeight="1"/>
    <row r="3281" ht="120" customHeight="1"/>
    <row r="3282" ht="120" customHeight="1"/>
    <row r="3283" ht="120" customHeight="1"/>
    <row r="3284" ht="120" customHeight="1"/>
    <row r="3285" ht="120" customHeight="1"/>
    <row r="3286" ht="120" customHeight="1"/>
    <row r="3287" ht="120" customHeight="1"/>
    <row r="3288" ht="120" customHeight="1"/>
    <row r="3289" ht="120" customHeight="1"/>
    <row r="3290" ht="120" customHeight="1"/>
    <row r="3291" ht="120" customHeight="1"/>
    <row r="3292" ht="120" customHeight="1"/>
    <row r="3293" ht="120" customHeight="1"/>
    <row r="3294" ht="120" customHeight="1"/>
    <row r="3295" ht="120" customHeight="1"/>
    <row r="3296" ht="120" customHeight="1"/>
    <row r="3297" ht="120" customHeight="1"/>
    <row r="3298" ht="120" customHeight="1"/>
    <row r="3299" ht="120" customHeight="1"/>
    <row r="3300" ht="120" customHeight="1"/>
    <row r="3301" ht="120" customHeight="1"/>
    <row r="3302" ht="120" customHeight="1"/>
    <row r="3303" ht="120" customHeight="1"/>
    <row r="3304" ht="120" customHeight="1"/>
    <row r="3305" ht="120" customHeight="1"/>
    <row r="3306" ht="120" customHeight="1"/>
    <row r="3307" ht="120" customHeight="1"/>
    <row r="3308" ht="120" customHeight="1"/>
    <row r="3309" ht="120" customHeight="1"/>
    <row r="3310" ht="120" customHeight="1"/>
    <row r="3311" ht="120" customHeight="1"/>
    <row r="3312" ht="120" customHeight="1"/>
    <row r="3313" ht="120" customHeight="1"/>
    <row r="3314" ht="120" customHeight="1"/>
    <row r="3315" ht="120" customHeight="1"/>
    <row r="3316" ht="120" customHeight="1"/>
    <row r="3317" ht="120" customHeight="1"/>
    <row r="3318" ht="120" customHeight="1"/>
    <row r="3319" ht="120" customHeight="1"/>
    <row r="3320" ht="120" customHeight="1"/>
    <row r="3321" ht="120" customHeight="1"/>
    <row r="3322" ht="120" customHeight="1"/>
    <row r="3323" ht="120" customHeight="1"/>
    <row r="3324" ht="120" customHeight="1"/>
    <row r="3325" ht="120" customHeight="1"/>
    <row r="3326" ht="120" customHeight="1"/>
    <row r="3327" ht="120" customHeight="1"/>
    <row r="3328" ht="120" customHeight="1"/>
    <row r="3329" ht="120" customHeight="1"/>
    <row r="3330" ht="120" customHeight="1"/>
    <row r="3331" ht="120" customHeight="1"/>
    <row r="3332" ht="120" customHeight="1"/>
    <row r="3333" ht="120" customHeight="1"/>
    <row r="3334" ht="120" customHeight="1"/>
    <row r="3335" ht="120" customHeight="1"/>
    <row r="3336" ht="120" customHeight="1"/>
    <row r="3337" ht="120" customHeight="1"/>
    <row r="3338" ht="120" customHeight="1"/>
    <row r="3339" ht="120" customHeight="1"/>
    <row r="3340" ht="120" customHeight="1"/>
    <row r="3341" ht="120" customHeight="1"/>
    <row r="3342" ht="120" customHeight="1"/>
    <row r="3343" ht="120" customHeight="1"/>
    <row r="3344" ht="120" customHeight="1"/>
    <row r="3345" ht="120" customHeight="1"/>
    <row r="3346" ht="120" customHeight="1"/>
    <row r="3347" ht="120" customHeight="1"/>
    <row r="3348" ht="120" customHeight="1"/>
    <row r="3349" ht="120" customHeight="1"/>
    <row r="3350" ht="120" customHeight="1"/>
    <row r="3351" ht="120" customHeight="1"/>
    <row r="3352" ht="120" customHeight="1"/>
    <row r="3353" ht="120" customHeight="1"/>
    <row r="3354" ht="120" customHeight="1"/>
    <row r="3355" ht="120" customHeight="1"/>
    <row r="3356" ht="120" customHeight="1"/>
    <row r="3357" ht="120" customHeight="1"/>
    <row r="3358" ht="120" customHeight="1"/>
    <row r="3359" ht="120" customHeight="1"/>
    <row r="3360" ht="120" customHeight="1"/>
    <row r="3361" ht="120" customHeight="1"/>
    <row r="3362" ht="120" customHeight="1"/>
    <row r="3363" ht="120" customHeight="1"/>
    <row r="3364" ht="120" customHeight="1"/>
    <row r="3365" ht="120" customHeight="1"/>
    <row r="3366" ht="120" customHeight="1"/>
    <row r="3367" ht="120" customHeight="1"/>
    <row r="3368" ht="120" customHeight="1"/>
    <row r="3369" ht="120" customHeight="1"/>
    <row r="3370" ht="120" customHeight="1"/>
    <row r="3371" ht="120" customHeight="1"/>
    <row r="3372" ht="120" customHeight="1"/>
    <row r="3373" ht="120" customHeight="1"/>
    <row r="3374" ht="120" customHeight="1"/>
    <row r="3375" ht="120" customHeight="1"/>
    <row r="3376" ht="120" customHeight="1"/>
    <row r="3377" ht="120" customHeight="1"/>
    <row r="3378" ht="120" customHeight="1"/>
    <row r="3379" ht="120" customHeight="1"/>
    <row r="3380" ht="120" customHeight="1"/>
    <row r="3381" ht="120" customHeight="1"/>
    <row r="3382" ht="120" customHeight="1"/>
    <row r="3383" ht="120" customHeight="1"/>
    <row r="3384" ht="120" customHeight="1"/>
    <row r="3385" ht="120" customHeight="1"/>
    <row r="3386" ht="120" customHeight="1"/>
    <row r="3387" ht="120" customHeight="1"/>
    <row r="3388" ht="120" customHeight="1"/>
    <row r="3389" ht="120" customHeight="1"/>
    <row r="3390" ht="120" customHeight="1"/>
    <row r="3391" ht="120" customHeight="1"/>
    <row r="3392" ht="120" customHeight="1"/>
    <row r="3393" ht="120" customHeight="1"/>
    <row r="3394" ht="120" customHeight="1"/>
    <row r="3395" ht="120" customHeight="1"/>
    <row r="3396" ht="120" customHeight="1"/>
    <row r="3397" ht="120" customHeight="1"/>
    <row r="3398" ht="120" customHeight="1"/>
    <row r="3399" ht="120" customHeight="1"/>
    <row r="3400" ht="120" customHeight="1"/>
    <row r="3401" ht="120" customHeight="1"/>
    <row r="3402" ht="120" customHeight="1"/>
    <row r="3403" ht="120" customHeight="1"/>
    <row r="3404" ht="120" customHeight="1"/>
    <row r="3405" ht="120" customHeight="1"/>
    <row r="3406" ht="120" customHeight="1"/>
    <row r="3407" ht="120" customHeight="1"/>
    <row r="3408" ht="120" customHeight="1"/>
    <row r="3409" ht="120" customHeight="1"/>
  </sheetData>
  <sheetProtection sheet="1" objects="1" scenarios="1" autoFilter="0"/>
  <mergeCells count="2">
    <mergeCell ref="A1:G1"/>
    <mergeCell ref="A3:G3"/>
  </mergeCells>
  <conditionalFormatting sqref="D5:D2000">
    <cfRule type="expression" dxfId="1" priority="1">
      <formula>$D5="Error"</formula>
    </cfRule>
    <cfRule type="expression" dxfId="0" priority="2">
      <formula>$D5="To 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1"/>
  <sheetViews>
    <sheetView workbookViewId="0"/>
  </sheetViews>
  <sheetFormatPr defaultRowHeight="15"/>
  <cols>
    <col min="1" max="1" width="14.7109375" customWidth="1"/>
    <col min="2" max="2" width="12.7109375" customWidth="1"/>
    <col min="3" max="3" width="10.7109375" customWidth="1"/>
    <col min="4" max="5" width="18.7109375" customWidth="1"/>
    <col min="6" max="6" width="60.7109375" customWidth="1"/>
    <col min="7" max="7" width="12.7109375" customWidth="1"/>
    <col min="8" max="9" width="60.7109375" customWidth="1"/>
    <col min="10" max="10" width="12.7109375" customWidth="1"/>
  </cols>
  <sheetData>
    <row r="1" spans="1:10">
      <c r="A1" s="16" t="s">
        <v>0</v>
      </c>
      <c r="B1" s="16" t="s">
        <v>1</v>
      </c>
      <c r="C1" s="16" t="s">
        <v>2</v>
      </c>
      <c r="D1" s="16" t="s">
        <v>3</v>
      </c>
      <c r="E1" s="16" t="s">
        <v>4</v>
      </c>
      <c r="F1" s="16" t="s">
        <v>5</v>
      </c>
      <c r="G1" s="16" t="s">
        <v>6</v>
      </c>
      <c r="H1" s="16" t="s">
        <v>7</v>
      </c>
      <c r="I1" s="16" t="s">
        <v>8</v>
      </c>
      <c r="J1" s="16" t="s">
        <v>9</v>
      </c>
    </row>
    <row r="2" spans="1:10">
      <c r="A2" t="s">
        <v>10</v>
      </c>
      <c r="B2" t="s">
        <v>11</v>
      </c>
      <c r="C2" t="s">
        <v>12</v>
      </c>
      <c r="D2" t="s">
        <v>13</v>
      </c>
      <c r="E2" t="s">
        <v>14</v>
      </c>
      <c r="F2" t="s">
        <v>15</v>
      </c>
      <c r="H2" t="s">
        <v>16</v>
      </c>
      <c r="J2" t="s">
        <v>17</v>
      </c>
    </row>
    <row r="3" spans="1:10">
      <c r="A3" t="s">
        <v>18</v>
      </c>
      <c r="B3" t="s">
        <v>11</v>
      </c>
      <c r="C3" t="s">
        <v>19</v>
      </c>
      <c r="D3" t="s">
        <v>20</v>
      </c>
      <c r="E3" t="s">
        <v>14</v>
      </c>
      <c r="F3" t="s">
        <v>21</v>
      </c>
      <c r="G3" t="s">
        <v>22</v>
      </c>
      <c r="H3" t="s">
        <v>16</v>
      </c>
      <c r="J3" t="s">
        <v>23</v>
      </c>
    </row>
    <row r="4" spans="1:10">
      <c r="A4" t="s">
        <v>24</v>
      </c>
      <c r="B4" t="s">
        <v>25</v>
      </c>
      <c r="C4" t="s">
        <v>26</v>
      </c>
      <c r="D4" t="s">
        <v>27</v>
      </c>
      <c r="E4" t="s">
        <v>28</v>
      </c>
      <c r="F4" t="s">
        <v>29</v>
      </c>
      <c r="G4" t="s">
        <v>30</v>
      </c>
      <c r="H4" t="s">
        <v>31</v>
      </c>
      <c r="J4" t="s">
        <v>32</v>
      </c>
    </row>
    <row r="5" spans="1:10">
      <c r="A5" t="s">
        <v>33</v>
      </c>
      <c r="B5" t="s">
        <v>34</v>
      </c>
      <c r="C5" t="s">
        <v>19</v>
      </c>
      <c r="D5" t="s">
        <v>27</v>
      </c>
      <c r="E5" t="s">
        <v>35</v>
      </c>
      <c r="F5" t="s">
        <v>36</v>
      </c>
      <c r="G5" t="s">
        <v>22</v>
      </c>
      <c r="H5" t="s">
        <v>37</v>
      </c>
      <c r="I5" t="s">
        <v>38</v>
      </c>
      <c r="J5" t="s">
        <v>32</v>
      </c>
    </row>
    <row r="6" spans="1:10">
      <c r="A6" t="s">
        <v>39</v>
      </c>
      <c r="B6" t="s">
        <v>40</v>
      </c>
      <c r="C6" t="s">
        <v>26</v>
      </c>
      <c r="D6" t="s">
        <v>13</v>
      </c>
      <c r="E6" t="s">
        <v>14</v>
      </c>
      <c r="F6" t="s">
        <v>41</v>
      </c>
      <c r="G6" t="s">
        <v>22</v>
      </c>
      <c r="H6" t="s">
        <v>16</v>
      </c>
      <c r="I6" t="s">
        <v>38</v>
      </c>
      <c r="J6" t="s">
        <v>23</v>
      </c>
    </row>
    <row r="7" spans="1:10">
      <c r="A7" t="s">
        <v>42</v>
      </c>
      <c r="B7" t="s">
        <v>43</v>
      </c>
      <c r="C7" t="s">
        <v>12</v>
      </c>
      <c r="D7" t="s">
        <v>20</v>
      </c>
      <c r="E7" t="s">
        <v>44</v>
      </c>
      <c r="F7" t="s">
        <v>45</v>
      </c>
      <c r="G7" t="s">
        <v>22</v>
      </c>
      <c r="H7" t="s">
        <v>16</v>
      </c>
      <c r="I7" t="s">
        <v>46</v>
      </c>
      <c r="J7" t="s">
        <v>17</v>
      </c>
    </row>
    <row r="8" spans="1:10">
      <c r="A8" t="s">
        <v>47</v>
      </c>
      <c r="B8" t="s">
        <v>40</v>
      </c>
      <c r="C8" t="s">
        <v>48</v>
      </c>
      <c r="D8" t="s">
        <v>27</v>
      </c>
      <c r="E8" t="s">
        <v>28</v>
      </c>
      <c r="F8" t="s">
        <v>41</v>
      </c>
      <c r="G8" t="s">
        <v>49</v>
      </c>
      <c r="H8" t="s">
        <v>50</v>
      </c>
      <c r="I8" t="s">
        <v>51</v>
      </c>
      <c r="J8" t="s">
        <v>23</v>
      </c>
    </row>
    <row r="9" spans="1:10">
      <c r="A9" t="s">
        <v>52</v>
      </c>
      <c r="C9" t="s">
        <v>12</v>
      </c>
      <c r="D9" t="s">
        <v>20</v>
      </c>
      <c r="E9" t="s">
        <v>53</v>
      </c>
      <c r="F9" t="s">
        <v>15</v>
      </c>
      <c r="G9" t="s">
        <v>22</v>
      </c>
      <c r="H9" t="s">
        <v>50</v>
      </c>
      <c r="I9" t="s">
        <v>54</v>
      </c>
      <c r="J9" t="s">
        <v>17</v>
      </c>
    </row>
    <row r="10" spans="1:10">
      <c r="A10" t="s">
        <v>55</v>
      </c>
      <c r="B10" t="s">
        <v>25</v>
      </c>
      <c r="C10" t="s">
        <v>56</v>
      </c>
      <c r="E10" t="s">
        <v>35</v>
      </c>
      <c r="F10" t="s">
        <v>29</v>
      </c>
      <c r="G10" t="s">
        <v>49</v>
      </c>
      <c r="I10" t="s">
        <v>57</v>
      </c>
      <c r="J10" t="s">
        <v>32</v>
      </c>
    </row>
    <row r="11" spans="1:10">
      <c r="A11" t="s">
        <v>58</v>
      </c>
      <c r="B11" t="s">
        <v>40</v>
      </c>
      <c r="C11" t="s">
        <v>59</v>
      </c>
      <c r="D11" t="s">
        <v>27</v>
      </c>
      <c r="E11" t="s">
        <v>44</v>
      </c>
      <c r="F11" t="s">
        <v>60</v>
      </c>
      <c r="G11" t="s">
        <v>22</v>
      </c>
      <c r="H11" t="s">
        <v>37</v>
      </c>
      <c r="I11" t="s">
        <v>38</v>
      </c>
      <c r="J11" t="s">
        <v>17</v>
      </c>
    </row>
    <row r="12" spans="1:10">
      <c r="A12" t="s">
        <v>61</v>
      </c>
      <c r="C12" t="s">
        <v>59</v>
      </c>
      <c r="E12" t="s">
        <v>14</v>
      </c>
      <c r="F12" t="s">
        <v>41</v>
      </c>
      <c r="G12" t="s">
        <v>49</v>
      </c>
      <c r="H12" t="s">
        <v>31</v>
      </c>
      <c r="I12" t="s">
        <v>54</v>
      </c>
      <c r="J12" t="s">
        <v>32</v>
      </c>
    </row>
    <row r="13" spans="1:10">
      <c r="A13" t="s">
        <v>62</v>
      </c>
      <c r="B13" t="s">
        <v>63</v>
      </c>
      <c r="C13" t="s">
        <v>19</v>
      </c>
      <c r="D13" t="s">
        <v>27</v>
      </c>
      <c r="E13" t="s">
        <v>14</v>
      </c>
      <c r="F13" t="s">
        <v>36</v>
      </c>
      <c r="G13" t="s">
        <v>22</v>
      </c>
      <c r="H13" t="s">
        <v>64</v>
      </c>
      <c r="J13" t="s">
        <v>23</v>
      </c>
    </row>
    <row r="14" spans="1:10">
      <c r="A14" t="s">
        <v>65</v>
      </c>
      <c r="B14" t="s">
        <v>25</v>
      </c>
      <c r="C14" t="s">
        <v>19</v>
      </c>
      <c r="D14" t="s">
        <v>27</v>
      </c>
      <c r="E14" t="s">
        <v>53</v>
      </c>
      <c r="F14" t="s">
        <v>60</v>
      </c>
      <c r="G14" t="s">
        <v>49</v>
      </c>
      <c r="I14" t="s">
        <v>51</v>
      </c>
      <c r="J14" t="s">
        <v>17</v>
      </c>
    </row>
    <row r="15" spans="1:10">
      <c r="A15" t="s">
        <v>66</v>
      </c>
      <c r="B15" t="s">
        <v>25</v>
      </c>
      <c r="C15" t="s">
        <v>19</v>
      </c>
      <c r="D15" t="s">
        <v>27</v>
      </c>
      <c r="E15" t="s">
        <v>28</v>
      </c>
      <c r="F15" t="s">
        <v>21</v>
      </c>
      <c r="G15" t="s">
        <v>22</v>
      </c>
      <c r="H15" t="s">
        <v>67</v>
      </c>
      <c r="I15" t="s">
        <v>51</v>
      </c>
      <c r="J15" t="s">
        <v>32</v>
      </c>
    </row>
    <row r="16" spans="1:10">
      <c r="A16" t="s">
        <v>68</v>
      </c>
      <c r="B16" t="s">
        <v>43</v>
      </c>
      <c r="C16" t="s">
        <v>26</v>
      </c>
      <c r="D16" t="s">
        <v>69</v>
      </c>
      <c r="E16" t="s">
        <v>44</v>
      </c>
      <c r="G16" t="s">
        <v>30</v>
      </c>
      <c r="J16" t="s">
        <v>17</v>
      </c>
    </row>
    <row r="17" spans="1:10">
      <c r="A17" t="s">
        <v>70</v>
      </c>
      <c r="B17" t="s">
        <v>71</v>
      </c>
      <c r="C17" t="s">
        <v>19</v>
      </c>
      <c r="D17" t="s">
        <v>13</v>
      </c>
      <c r="E17" t="s">
        <v>14</v>
      </c>
      <c r="F17" t="s">
        <v>45</v>
      </c>
      <c r="G17" t="s">
        <v>30</v>
      </c>
      <c r="H17" t="s">
        <v>31</v>
      </c>
      <c r="I17" t="s">
        <v>51</v>
      </c>
      <c r="J17" t="s">
        <v>23</v>
      </c>
    </row>
    <row r="18" spans="1:10">
      <c r="A18" t="s">
        <v>72</v>
      </c>
      <c r="B18" t="s">
        <v>11</v>
      </c>
      <c r="C18" t="s">
        <v>48</v>
      </c>
      <c r="E18" t="s">
        <v>44</v>
      </c>
      <c r="G18" t="s">
        <v>49</v>
      </c>
      <c r="H18" t="s">
        <v>16</v>
      </c>
      <c r="I18" t="s">
        <v>46</v>
      </c>
      <c r="J18" t="s">
        <v>23</v>
      </c>
    </row>
    <row r="19" spans="1:10">
      <c r="A19" t="s">
        <v>73</v>
      </c>
      <c r="B19" t="s">
        <v>43</v>
      </c>
      <c r="C19" t="s">
        <v>12</v>
      </c>
      <c r="D19" t="s">
        <v>69</v>
      </c>
      <c r="E19" t="s">
        <v>44</v>
      </c>
      <c r="F19" t="s">
        <v>15</v>
      </c>
      <c r="G19" t="s">
        <v>49</v>
      </c>
      <c r="H19" t="s">
        <v>64</v>
      </c>
      <c r="J19" t="s">
        <v>32</v>
      </c>
    </row>
    <row r="20" spans="1:10">
      <c r="A20" t="s">
        <v>74</v>
      </c>
      <c r="B20" t="s">
        <v>34</v>
      </c>
      <c r="C20" t="s">
        <v>12</v>
      </c>
      <c r="D20" t="s">
        <v>27</v>
      </c>
      <c r="E20" t="s">
        <v>14</v>
      </c>
      <c r="F20" t="s">
        <v>45</v>
      </c>
      <c r="H20" t="s">
        <v>16</v>
      </c>
      <c r="J20" t="s">
        <v>23</v>
      </c>
    </row>
    <row r="21" spans="1:10">
      <c r="A21" t="s">
        <v>75</v>
      </c>
      <c r="B21" t="s">
        <v>43</v>
      </c>
      <c r="C21" t="s">
        <v>56</v>
      </c>
      <c r="D21" t="s">
        <v>13</v>
      </c>
      <c r="E21" t="s">
        <v>35</v>
      </c>
      <c r="F21" t="s">
        <v>21</v>
      </c>
      <c r="G21" t="s">
        <v>49</v>
      </c>
      <c r="H21" t="s">
        <v>64</v>
      </c>
      <c r="I21" t="s">
        <v>54</v>
      </c>
      <c r="J21" t="s">
        <v>32</v>
      </c>
    </row>
    <row r="22" spans="1:10">
      <c r="A22" t="s">
        <v>76</v>
      </c>
      <c r="B22" t="s">
        <v>25</v>
      </c>
      <c r="C22" t="s">
        <v>48</v>
      </c>
      <c r="D22" t="s">
        <v>13</v>
      </c>
      <c r="E22" t="s">
        <v>53</v>
      </c>
      <c r="F22" t="s">
        <v>21</v>
      </c>
      <c r="G22" t="s">
        <v>49</v>
      </c>
      <c r="H22" t="s">
        <v>31</v>
      </c>
      <c r="I22" t="s">
        <v>57</v>
      </c>
      <c r="J22" t="s">
        <v>32</v>
      </c>
    </row>
    <row r="23" spans="1:10">
      <c r="A23" t="s">
        <v>77</v>
      </c>
      <c r="B23" t="s">
        <v>34</v>
      </c>
      <c r="C23" t="s">
        <v>12</v>
      </c>
      <c r="D23" t="s">
        <v>69</v>
      </c>
      <c r="E23" t="s">
        <v>53</v>
      </c>
      <c r="F23" t="s">
        <v>78</v>
      </c>
      <c r="G23" t="s">
        <v>49</v>
      </c>
      <c r="J23" t="s">
        <v>17</v>
      </c>
    </row>
    <row r="24" spans="1:10">
      <c r="A24" t="s">
        <v>79</v>
      </c>
      <c r="B24" t="s">
        <v>34</v>
      </c>
      <c r="C24" t="s">
        <v>59</v>
      </c>
      <c r="D24" t="s">
        <v>20</v>
      </c>
      <c r="E24" t="s">
        <v>14</v>
      </c>
      <c r="F24" t="s">
        <v>29</v>
      </c>
      <c r="H24" t="s">
        <v>50</v>
      </c>
      <c r="I24" t="s">
        <v>51</v>
      </c>
      <c r="J24" t="s">
        <v>23</v>
      </c>
    </row>
    <row r="25" spans="1:10">
      <c r="A25" t="s">
        <v>80</v>
      </c>
      <c r="B25" t="s">
        <v>63</v>
      </c>
      <c r="C25" t="s">
        <v>59</v>
      </c>
      <c r="D25" t="s">
        <v>69</v>
      </c>
      <c r="E25" t="s">
        <v>14</v>
      </c>
      <c r="F25" t="s">
        <v>60</v>
      </c>
      <c r="G25" t="s">
        <v>49</v>
      </c>
      <c r="H25" t="s">
        <v>31</v>
      </c>
      <c r="I25" t="s">
        <v>51</v>
      </c>
      <c r="J25" t="s">
        <v>32</v>
      </c>
    </row>
    <row r="26" spans="1:10">
      <c r="A26" t="s">
        <v>81</v>
      </c>
      <c r="B26" t="s">
        <v>63</v>
      </c>
      <c r="C26" t="s">
        <v>48</v>
      </c>
      <c r="D26" t="s">
        <v>20</v>
      </c>
      <c r="E26" t="s">
        <v>53</v>
      </c>
      <c r="F26" t="s">
        <v>45</v>
      </c>
      <c r="G26" t="s">
        <v>49</v>
      </c>
      <c r="H26" t="s">
        <v>31</v>
      </c>
      <c r="I26" t="s">
        <v>46</v>
      </c>
      <c r="J26" t="s">
        <v>17</v>
      </c>
    </row>
    <row r="27" spans="1:10">
      <c r="A27" t="s">
        <v>82</v>
      </c>
      <c r="B27" t="s">
        <v>63</v>
      </c>
      <c r="C27" t="s">
        <v>26</v>
      </c>
      <c r="D27" t="s">
        <v>27</v>
      </c>
      <c r="E27" t="s">
        <v>44</v>
      </c>
      <c r="F27" t="s">
        <v>21</v>
      </c>
      <c r="G27" t="s">
        <v>22</v>
      </c>
      <c r="H27" t="s">
        <v>37</v>
      </c>
      <c r="I27" t="s">
        <v>46</v>
      </c>
      <c r="J27" t="s">
        <v>17</v>
      </c>
    </row>
    <row r="28" spans="1:10">
      <c r="A28" t="s">
        <v>83</v>
      </c>
      <c r="B28" t="s">
        <v>40</v>
      </c>
      <c r="D28" t="s">
        <v>13</v>
      </c>
      <c r="E28" t="s">
        <v>44</v>
      </c>
      <c r="F28" t="s">
        <v>15</v>
      </c>
      <c r="G28" t="s">
        <v>30</v>
      </c>
      <c r="H28" t="s">
        <v>37</v>
      </c>
      <c r="I28" t="s">
        <v>57</v>
      </c>
      <c r="J28" t="s">
        <v>17</v>
      </c>
    </row>
    <row r="29" spans="1:10">
      <c r="A29" t="s">
        <v>84</v>
      </c>
      <c r="B29" t="s">
        <v>71</v>
      </c>
      <c r="C29" t="s">
        <v>56</v>
      </c>
      <c r="D29" t="s">
        <v>13</v>
      </c>
      <c r="E29" t="s">
        <v>44</v>
      </c>
      <c r="F29" t="s">
        <v>60</v>
      </c>
      <c r="G29" t="s">
        <v>49</v>
      </c>
      <c r="H29" t="s">
        <v>67</v>
      </c>
      <c r="I29" t="s">
        <v>38</v>
      </c>
      <c r="J29" t="s">
        <v>23</v>
      </c>
    </row>
    <row r="30" spans="1:10">
      <c r="A30" t="s">
        <v>85</v>
      </c>
      <c r="B30" t="s">
        <v>11</v>
      </c>
      <c r="C30" t="s">
        <v>48</v>
      </c>
      <c r="D30" t="s">
        <v>27</v>
      </c>
      <c r="E30" t="s">
        <v>28</v>
      </c>
      <c r="F30" t="s">
        <v>60</v>
      </c>
      <c r="G30" t="s">
        <v>22</v>
      </c>
      <c r="H30" t="s">
        <v>50</v>
      </c>
      <c r="J30" t="s">
        <v>17</v>
      </c>
    </row>
    <row r="31" spans="1:10">
      <c r="A31" t="s">
        <v>86</v>
      </c>
      <c r="B31" t="s">
        <v>40</v>
      </c>
      <c r="C31" t="s">
        <v>26</v>
      </c>
      <c r="D31" t="s">
        <v>69</v>
      </c>
      <c r="E31" t="s">
        <v>53</v>
      </c>
      <c r="F31" t="s">
        <v>21</v>
      </c>
      <c r="G31" t="s">
        <v>49</v>
      </c>
      <c r="H31" t="s">
        <v>31</v>
      </c>
      <c r="J31" t="s">
        <v>23</v>
      </c>
    </row>
    <row r="32" spans="1:10">
      <c r="A32" t="s">
        <v>87</v>
      </c>
      <c r="B32" t="s">
        <v>25</v>
      </c>
      <c r="D32" t="s">
        <v>27</v>
      </c>
      <c r="E32" t="s">
        <v>35</v>
      </c>
      <c r="F32" t="s">
        <v>45</v>
      </c>
      <c r="G32" t="s">
        <v>22</v>
      </c>
      <c r="H32" t="s">
        <v>37</v>
      </c>
      <c r="I32" t="s">
        <v>38</v>
      </c>
      <c r="J32" t="s">
        <v>23</v>
      </c>
    </row>
    <row r="33" spans="1:10">
      <c r="A33" t="s">
        <v>88</v>
      </c>
      <c r="B33" t="s">
        <v>43</v>
      </c>
      <c r="C33" t="s">
        <v>48</v>
      </c>
      <c r="D33" t="s">
        <v>27</v>
      </c>
      <c r="E33" t="s">
        <v>28</v>
      </c>
      <c r="F33" t="s">
        <v>41</v>
      </c>
      <c r="G33" t="s">
        <v>30</v>
      </c>
      <c r="J33" t="s">
        <v>23</v>
      </c>
    </row>
    <row r="34" spans="1:10">
      <c r="A34" t="s">
        <v>89</v>
      </c>
      <c r="B34" t="s">
        <v>34</v>
      </c>
      <c r="C34" t="s">
        <v>19</v>
      </c>
      <c r="D34" t="s">
        <v>20</v>
      </c>
      <c r="E34" t="s">
        <v>28</v>
      </c>
      <c r="F34" t="s">
        <v>45</v>
      </c>
      <c r="G34" t="s">
        <v>49</v>
      </c>
      <c r="H34" t="s">
        <v>37</v>
      </c>
      <c r="J34" t="s">
        <v>17</v>
      </c>
    </row>
    <row r="35" spans="1:10">
      <c r="A35" t="s">
        <v>90</v>
      </c>
      <c r="C35" t="s">
        <v>56</v>
      </c>
      <c r="D35" t="s">
        <v>13</v>
      </c>
      <c r="E35" t="s">
        <v>44</v>
      </c>
      <c r="F35" t="s">
        <v>21</v>
      </c>
      <c r="G35" t="s">
        <v>49</v>
      </c>
      <c r="H35" t="s">
        <v>16</v>
      </c>
      <c r="I35" t="s">
        <v>91</v>
      </c>
      <c r="J35" t="s">
        <v>17</v>
      </c>
    </row>
    <row r="36" spans="1:10">
      <c r="A36" t="s">
        <v>92</v>
      </c>
      <c r="B36" t="s">
        <v>11</v>
      </c>
      <c r="C36" t="s">
        <v>19</v>
      </c>
      <c r="D36" t="s">
        <v>69</v>
      </c>
      <c r="E36" t="s">
        <v>35</v>
      </c>
      <c r="F36" t="s">
        <v>45</v>
      </c>
      <c r="G36" t="s">
        <v>30</v>
      </c>
      <c r="H36" t="s">
        <v>50</v>
      </c>
      <c r="J36" t="s">
        <v>32</v>
      </c>
    </row>
    <row r="37" spans="1:10">
      <c r="A37" t="s">
        <v>93</v>
      </c>
      <c r="B37" t="s">
        <v>25</v>
      </c>
      <c r="C37" t="s">
        <v>56</v>
      </c>
      <c r="D37" t="s">
        <v>69</v>
      </c>
      <c r="E37" t="s">
        <v>28</v>
      </c>
      <c r="F37" t="s">
        <v>15</v>
      </c>
      <c r="H37" t="s">
        <v>67</v>
      </c>
      <c r="I37" t="s">
        <v>46</v>
      </c>
      <c r="J37" t="s">
        <v>23</v>
      </c>
    </row>
    <row r="38" spans="1:10">
      <c r="A38" t="s">
        <v>94</v>
      </c>
      <c r="B38" t="s">
        <v>25</v>
      </c>
      <c r="C38" t="s">
        <v>19</v>
      </c>
      <c r="D38" t="s">
        <v>20</v>
      </c>
      <c r="E38" t="s">
        <v>44</v>
      </c>
      <c r="F38" t="s">
        <v>78</v>
      </c>
      <c r="G38" t="s">
        <v>30</v>
      </c>
      <c r="H38" t="s">
        <v>31</v>
      </c>
      <c r="J38" t="s">
        <v>23</v>
      </c>
    </row>
    <row r="39" spans="1:10">
      <c r="A39" t="s">
        <v>95</v>
      </c>
      <c r="B39" t="s">
        <v>43</v>
      </c>
      <c r="C39" t="s">
        <v>12</v>
      </c>
      <c r="D39" t="s">
        <v>69</v>
      </c>
      <c r="E39" t="s">
        <v>35</v>
      </c>
      <c r="F39" t="s">
        <v>60</v>
      </c>
      <c r="G39" t="s">
        <v>22</v>
      </c>
      <c r="H39" t="s">
        <v>50</v>
      </c>
      <c r="I39" t="s">
        <v>91</v>
      </c>
      <c r="J39" t="s">
        <v>32</v>
      </c>
    </row>
    <row r="40" spans="1:10">
      <c r="A40" t="s">
        <v>96</v>
      </c>
      <c r="B40" t="s">
        <v>71</v>
      </c>
      <c r="C40" t="s">
        <v>48</v>
      </c>
      <c r="D40" t="s">
        <v>13</v>
      </c>
      <c r="E40" t="s">
        <v>28</v>
      </c>
      <c r="G40" t="s">
        <v>49</v>
      </c>
      <c r="H40" t="s">
        <v>16</v>
      </c>
      <c r="I40" t="s">
        <v>38</v>
      </c>
      <c r="J40" t="s">
        <v>32</v>
      </c>
    </row>
    <row r="41" spans="1:10">
      <c r="A41" t="s">
        <v>97</v>
      </c>
      <c r="B41" t="s">
        <v>43</v>
      </c>
      <c r="C41" t="s">
        <v>59</v>
      </c>
      <c r="D41" t="s">
        <v>27</v>
      </c>
      <c r="E41" t="s">
        <v>35</v>
      </c>
      <c r="F41" t="s">
        <v>60</v>
      </c>
      <c r="G41" t="s">
        <v>30</v>
      </c>
      <c r="I41" t="s">
        <v>54</v>
      </c>
      <c r="J41" t="s">
        <v>23</v>
      </c>
    </row>
  </sheetData>
  <conditionalFormatting sqref="A1:ZZ1">
    <cfRule type="expression" dxfId="0" priority="1">
      <formula>AND(A$1="",COUNTA(A$2:A$8000)&gt;0)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32.7109375" customWidth="1"/>
    <col min="2" max="2" width="36.7109375" customWidth="1"/>
  </cols>
  <sheetData>
    <row r="1" spans="1:2">
      <c r="A1" s="16" t="s">
        <v>131</v>
      </c>
      <c r="B1" s="16" t="s">
        <v>132</v>
      </c>
    </row>
    <row r="2" spans="1:2">
      <c r="A2" t="s">
        <v>133</v>
      </c>
      <c r="B2" t="s">
        <v>134</v>
      </c>
    </row>
    <row r="3" spans="1:2">
      <c r="A3" t="s">
        <v>135</v>
      </c>
      <c r="B3" t="s">
        <v>136</v>
      </c>
    </row>
    <row r="4" spans="1:2">
      <c r="A4" t="s">
        <v>137</v>
      </c>
      <c r="B4" t="s">
        <v>138</v>
      </c>
    </row>
  </sheetData>
  <conditionalFormatting sqref="A2:A100001">
    <cfRule type="expression" dxfId="0" priority="1">
      <formula>AND($A2="",OR($B2&lt;&gt;""))</formula>
    </cfRule>
    <cfRule type="expression" dxfId="0" priority="3">
      <formula>AND($A2&lt;&gt;"",NOT(AND(LEN(TRIM($A2))&gt;=1,LEN(TRIM($A2))&lt;=3,AND(CODE(MID(TRIM($A2)&amp;"AAA",1,1))&gt;=65,CODE(MID(TRIM($A2)&amp;"AAA",1,1))&lt;=90),AND(CODE(MID(TRIM($A2)&amp;"AAA",2,1))&gt;=65,CODE(MID(TRIM($A2)&amp;"AAA",2,1))&lt;=90),AND(CODE(MID(TRIM($A2)&amp;"AAA",3,1))&gt;=65,CODE(MID(TRIM($A2)&amp;"AAA",3,1))&lt;=90))))</formula>
    </cfRule>
    <cfRule type="expression" dxfId="0" priority="4">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formula>
    </cfRule>
  </conditionalFormatting>
  <conditionalFormatting sqref="C2:XFD100001">
    <cfRule type="expression" dxfId="0" priority="5">
      <formula>C2&lt;&gt;""</formula>
    </cfRule>
  </conditionalFormatting>
  <dataValidations count="2">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Out of range" error="The &quot;Demographics&quot; sheet only uses columns up to B. Don't add data here." sqref="C2:XFD100001">
      <formula1>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141</v>
      </c>
      <c r="B2" s="18">
        <v>3</v>
      </c>
      <c r="C2" t="s">
        <v>142</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Open Questions&quot; sheet only uses columns up to C. Don't add data here." sqref="D2:XFD100001">
      <formula1>FALSE()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32.7109375" customWidth="1"/>
    <col min="2" max="2" width="9.140625" style="18"/>
    <col min="3" max="3" width="70.7109375" customWidth="1"/>
  </cols>
  <sheetData>
    <row r="1" spans="1:3">
      <c r="A1" s="16" t="s">
        <v>131</v>
      </c>
      <c r="B1" s="16" t="s">
        <v>139</v>
      </c>
      <c r="C1" s="16" t="s">
        <v>140</v>
      </c>
    </row>
    <row r="2" spans="1:3">
      <c r="A2" t="s">
        <v>143</v>
      </c>
      <c r="B2" s="18">
        <v>4</v>
      </c>
      <c r="C2" t="s">
        <v>144</v>
      </c>
    </row>
  </sheetData>
  <conditionalFormatting sqref="A2:A100001">
    <cfRule type="expression" dxfId="0" priority="1">
      <formula>AND($A2="",OR($B2&lt;&gt;"",$C2&lt;&gt;""))</formula>
    </cfRule>
    <cfRule type="expression" dxfId="0" priority="4">
      <formula>AND($A2&lt;&gt;"",NOT(AND(LEN(TRIM($A2))&gt;=1,LEN(TRIM($A2))&lt;=3,AND(CODE(MID(TRIM($A2)&amp;"AAA",1,1))&gt;=65,CODE(MID(TRIM($A2)&amp;"AAA",1,1))&lt;=90),AND(CODE(MID(TRIM($A2)&amp;"AAA",2,1))&gt;=65,CODE(MID(TRIM($A2)&amp;"AAA",2,1))&lt;=90),AND(CODE(MID(TRIM($A2)&amp;"AAA",3,1))&gt;=65,CODE(MID(TRIM($A2)&amp;"AAA",3,1))&lt;=90))))</formula>
    </cfRule>
    <cfRule type="expression" dxfId="0" priority="6">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formula>
    </cfRule>
    <cfRule type="expression" dxfId="0" priority="5">
      <formula>AND($B2&lt;&gt;"",OR(NOT(ISNUMBER($B2)),$B2&lt;&gt;INT($B2),$B2&lt;1))</formula>
    </cfRule>
  </conditionalFormatting>
  <conditionalFormatting sqref="C2:C100001">
    <cfRule type="expression" dxfId="0" priority="3">
      <formula>AND($C2="",OR($A2&lt;&gt;"",$B2&lt;&gt;""))</formula>
    </cfRule>
  </conditionalFormatting>
  <conditionalFormatting sqref="D2:XFD100001">
    <cfRule type="expression" dxfId="0" priority="7">
      <formula>D2&lt;&gt;""</formula>
    </cfRule>
  </conditionalFormatting>
  <dataValidations count="3">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Multiple Choice Questions&quot; sheet only uses columns up to C. Don't add data here." sqref="D2:XFD100001">
      <formula1>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32.7109375" customWidth="1"/>
    <col min="2" max="2" width="9.140625" style="18"/>
    <col min="3" max="3" width="70.7109375" customWidth="1"/>
    <col min="4" max="4" width="32.7109375" customWidth="1"/>
  </cols>
  <sheetData>
    <row r="1" spans="1:4">
      <c r="A1" s="16" t="s">
        <v>145</v>
      </c>
      <c r="B1" s="16" t="s">
        <v>139</v>
      </c>
      <c r="C1" s="16" t="s">
        <v>140</v>
      </c>
      <c r="D1" s="16" t="s">
        <v>146</v>
      </c>
    </row>
    <row r="2" spans="1:4">
      <c r="A2" t="s">
        <v>147</v>
      </c>
      <c r="B2" s="18">
        <v>1</v>
      </c>
      <c r="C2" t="s">
        <v>148</v>
      </c>
      <c r="D2" t="s">
        <v>149</v>
      </c>
    </row>
    <row r="3" spans="1:4">
      <c r="A3" t="s">
        <v>150</v>
      </c>
      <c r="B3" s="18">
        <v>2</v>
      </c>
      <c r="C3" t="s">
        <v>151</v>
      </c>
      <c r="D3" t="s">
        <v>152</v>
      </c>
    </row>
  </sheetData>
  <conditionalFormatting sqref="A2:A100001">
    <cfRule type="expression" dxfId="0" priority="1">
      <formula>AND($A2="",OR($B2&lt;&gt;"",$C2&lt;&gt;"",$D2&lt;&gt;""))</formula>
    </cfRule>
    <cfRule type="expression" dxfId="0" priority="5">
      <formula>AND($A2&lt;&gt;"",NOT(AND(LEN(TRIM($A2))&gt;=1,LEN(TRIM($A2))&lt;=3,AND(CODE(MID(TRIM($A2)&amp;"AAA",1,1))&gt;=65,CODE(MID(TRIM($A2)&amp;"AAA",1,1))&lt;=90),AND(CODE(MID(TRIM($A2)&amp;"AAA",2,1))&gt;=65,CODE(MID(TRIM($A2)&amp;"AAA",2,1))&lt;=90),AND(CODE(MID(TRIM($A2)&amp;"AAA",3,1))&gt;=65,CODE(MID(TRIM($A2)&amp;"AAA",3,1))&lt;=90))))</formula>
    </cfRule>
    <cfRule type="expression" dxfId="0" priority="8">
      <formula>AND($A2&lt;&gt;"",IFERROR(INDEX(Responses!$A$1:$XFD$1,1,CHOOSE(LEN(TRIM($A2)),CODE(TRIM($A2))-64,(CODE(LEFT(TRIM($A2),1))-64)*26+(CODE(RIGHT(TRIM($A2),1))-64),(CODE(LEFT(TRIM($A2),1))-64)*676+(CODE(MID(TRIM($A2),2,1))-64)*26+(CODE(RIGHT(TRIM($A2),1))-64))),"")="")</formula>
    </cfRule>
  </conditionalFormatting>
  <conditionalFormatting sqref="B2:B100001">
    <cfRule type="expression" dxfId="0" priority="2">
      <formula>AND($B2="",OR($A2&lt;&gt;"",$C2&lt;&gt;"",$D2&lt;&gt;""))</formula>
    </cfRule>
    <cfRule type="expression" dxfId="0" priority="7">
      <formula>AND($B2&lt;&gt;"",OR(NOT(ISNUMBER($B2)),$B2&lt;&gt;INT($B2),$B2&lt;1))</formula>
    </cfRule>
  </conditionalFormatting>
  <conditionalFormatting sqref="C2:C100001">
    <cfRule type="expression" dxfId="0" priority="3">
      <formula>AND($C2="",OR($A2&lt;&gt;"",$B2&lt;&gt;"",$D2&lt;&gt;""))</formula>
    </cfRule>
  </conditionalFormatting>
  <conditionalFormatting sqref="D2:D100001">
    <cfRule type="expression" dxfId="0" priority="4">
      <formula>AND($D2="",OR($A2&lt;&gt;"",$B2&lt;&gt;"",$C2&lt;&gt;""))</formula>
    </cfRule>
    <cfRule type="expression" dxfId="0" priority="6">
      <formula>AND($D2&lt;&gt;"",NOT(AND(LEN(TRIM($D2))&gt;=1,LEN(TRIM($D2))&lt;=3,AND(CODE(MID(TRIM($D2)&amp;"AAA",1,1))&gt;=65,CODE(MID(TRIM($D2)&amp;"AAA",1,1))&lt;=90),AND(CODE(MID(TRIM($D2)&amp;"AAA",2,1))&gt;=65,CODE(MID(TRIM($D2)&amp;"AAA",2,1))&lt;=90),AND(CODE(MID(TRIM($D2)&amp;"AAA",3,1))&gt;=65,CODE(MID(TRIM($D2)&amp;"AAA",3,1))&lt;=90))))</formula>
    </cfRule>
    <cfRule type="expression" dxfId="0" priority="9">
      <formula>AND($D2&lt;&gt;"",IFERROR(INDEX(Responses!$A$1:$XFD$1,1,CHOOSE(LEN(TRIM($D2)),CODE(TRIM($D2))-64,(CODE(LEFT(TRIM($D2),1))-64)*26+(CODE(RIGHT(TRIM($D2),1))-64),(CODE(LEFT(TRIM($D2),1))-64)*676+(CODE(MID(TRIM($D2),2,1))-64)*26+(CODE(RIGHT(TRIM($D2),1))-64))),"")="")</formula>
    </cfRule>
  </conditionalFormatting>
  <conditionalFormatting sqref="E2:XFD100001">
    <cfRule type="expression" dxfId="0" priority="10">
      <formula>E2&lt;&gt;""</formula>
    </cfRule>
  </conditionalFormatting>
  <dataValidations count="4">
    <dataValidation type="custom" allowBlank="1" showInputMessage="1" showErrorMessage="1" errorTitle="Invalid column ID" error="Column ID must be 1-3 uppercase letters (e.g. A, BF, AAC)." sqref="A2:A100001">
      <formula1>AND(LEN(TRIM(A2))&gt;=1,LEN(TRIM(A2))&lt;=3,AND(CODE(MID(TRIM(A2)&amp;"AAA",1,1))&gt;=65,CODE(MID(TRIM(A2)&amp;"AAA",1,1))&lt;=90),AND(CODE(MID(TRIM(A2)&amp;"AAA",2,1))&gt;=65,CODE(MID(TRIM(A2)&amp;"AAA",2,1))&lt;=90),AND(CODE(MID(TRIM(A2)&amp;"AAA",3,1))&gt;=65,CODE(MID(TRIM(A2)&amp;"AAA",3,1))&lt;=90))</formula1>
    </dataValidation>
    <dataValidation type="custom" allowBlank="1" showInputMessage="1" showErrorMessage="1" errorTitle="Invalid column ID" error="Column ID must be 1-3 uppercase letters (e.g. A, BF, AAC)." sqref="D2:D100001">
      <formula1>AND(LEN(TRIM(D2))&gt;=1,LEN(TRIM(D2))&lt;=3,AND(CODE(MID(TRIM(D2)&amp;"AAA",1,1))&gt;=65,CODE(MID(TRIM(D2)&amp;"AAA",1,1))&lt;=90),AND(CODE(MID(TRIM(D2)&amp;"AAA",2,1))&gt;=65,CODE(MID(TRIM(D2)&amp;"AAA",2,1))&lt;=90),AND(CODE(MID(TRIM(D2)&amp;"AAA",3,1))&gt;=65,CODE(MID(TRIM(D2)&amp;"AAA",3,1))&lt;=90))</formula1>
    </dataValidation>
    <dataValidation type="whole" operator="greaterThanOrEqual" allowBlank="1" showInputMessage="1" showErrorMessage="1" errorTitle="Invalid question number" error="Question number must be a whole number ≥ 1." sqref="B2:B100001">
      <formula1>1</formula1>
    </dataValidation>
    <dataValidation type="custom" allowBlank="1" showInputMessage="1" showErrorMessage="1" errorTitle="Out of range" error="The &quot;Hybrid Questions&quot; sheet only uses columns up to D. Don't add data here." sqref="E2:XFD100001">
      <formula1>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F3409"/>
  <sheetViews>
    <sheetView workbookViewId="0">
      <pane ySplit="4" topLeftCell="A5" activePane="bottomLeft" state="frozen"/>
      <selection pane="bottomLeft"/>
    </sheetView>
  </sheetViews>
  <sheetFormatPr defaultRowHeight="15"/>
  <cols>
    <col min="1" max="1" width="18.7109375" customWidth="1"/>
    <col min="2" max="2" width="10.7109375" customWidth="1"/>
    <col min="3" max="3" width="34.7109375" customWidth="1"/>
    <col min="4" max="4" width="12.7109375" customWidth="1"/>
    <col min="5" max="5" width="70.7109375" style="4" customWidth="1"/>
    <col min="6" max="6" width="60.7109375" style="4" customWidth="1"/>
  </cols>
  <sheetData>
    <row r="1" spans="1:6">
      <c r="A1" s="1" t="s">
        <v>153</v>
      </c>
      <c r="B1" s="1"/>
      <c r="C1" s="1"/>
      <c r="D1" s="1"/>
      <c r="E1" s="1"/>
      <c r="F1" s="1"/>
    </row>
    <row r="2" spans="1:6">
      <c r="A2" s="12" t="s">
        <v>154</v>
      </c>
      <c r="B2" s="1">
        <f>SUMPRODUCT(--(E5:E3409&lt;&gt;""))</f>
        <v>0</v>
      </c>
    </row>
    <row r="3" spans="1:6" ht="30" customHeight="1">
      <c r="A3" s="15" t="s">
        <v>155</v>
      </c>
      <c r="B3" s="15"/>
      <c r="C3" s="15"/>
      <c r="D3" s="15"/>
      <c r="E3" s="15"/>
      <c r="F3" s="15"/>
    </row>
    <row r="4" spans="1:6">
      <c r="A4" s="16" t="s">
        <v>156</v>
      </c>
      <c r="B4" s="16" t="s">
        <v>157</v>
      </c>
      <c r="C4" s="16" t="s">
        <v>158</v>
      </c>
      <c r="D4" s="16" t="s">
        <v>159</v>
      </c>
      <c r="E4" s="16" t="s">
        <v>160</v>
      </c>
      <c r="F4" s="16" t="s">
        <v>161</v>
      </c>
    </row>
    <row r="5" spans="1:6" ht="75" customHeight="1">
      <c r="A5" t="s">
        <v>162</v>
      </c>
      <c r="B5" t="s">
        <v>163</v>
      </c>
      <c r="C5" t="s">
        <v>164</v>
      </c>
      <c r="D5" t="s">
        <v>165</v>
      </c>
      <c r="E5" s="4">
        <f>IF(AND('Demographics'!$A$2&lt;&gt;"",IFERROR(INDEX(Responses!$A$1:$XFD$1,1,CHOOSE(LEN(TRIM('Demographics'!$A$2)),CODE(TRIM('Demographics'!$A$2))-64,(CODE(LEFT(TRIM('Demographics'!$A$2),1))-64)*26+(CODE(RIGHT(TRIM('Demographics'!$A$2),1))-64),(CODE(LEFT(TRIM('Demographics'!$A$2),1))-64)*676+(CODE(MID(TRIM('Demographics'!$A$2),2,1))-64)*26+(CODE(RIGHT(TRIM('Demographics'!$A$2),1))-64))),"")=""),"Column '"&amp;'Demographics'!$A$2&amp;"' has no header on the Responses sheet, so there's nothing for Themefinder to read.","")</f>
        <v>0</v>
      </c>
      <c r="F5" s="4" t="s">
        <v>166</v>
      </c>
    </row>
    <row r="6" spans="1:6" ht="75" customHeight="1">
      <c r="A6" t="s">
        <v>162</v>
      </c>
      <c r="B6" t="s">
        <v>167</v>
      </c>
      <c r="C6" t="s">
        <v>164</v>
      </c>
      <c r="D6" t="s">
        <v>165</v>
      </c>
      <c r="E6" s="4">
        <f>IF(AND('Demographics'!$A$3&lt;&gt;"",IFERROR(INDEX(Responses!$A$1:$XFD$1,1,CHOOSE(LEN(TRIM('Demographics'!$A$3)),CODE(TRIM('Demographics'!$A$3))-64,(CODE(LEFT(TRIM('Demographics'!$A$3),1))-64)*26+(CODE(RIGHT(TRIM('Demographics'!$A$3),1))-64),(CODE(LEFT(TRIM('Demographics'!$A$3),1))-64)*676+(CODE(MID(TRIM('Demographics'!$A$3),2,1))-64)*26+(CODE(RIGHT(TRIM('Demographics'!$A$3),1))-64))),"")=""),"Column '"&amp;'Demographics'!$A$3&amp;"' has no header on the Responses sheet, so there's nothing for Themefinder to read.","")</f>
        <v>0</v>
      </c>
      <c r="F6" s="4" t="s">
        <v>166</v>
      </c>
    </row>
    <row r="7" spans="1:6" ht="75" customHeight="1">
      <c r="A7" t="s">
        <v>162</v>
      </c>
      <c r="B7" t="s">
        <v>168</v>
      </c>
      <c r="C7" t="s">
        <v>164</v>
      </c>
      <c r="D7" t="s">
        <v>165</v>
      </c>
      <c r="E7" s="4">
        <f>IF(AND('Demographics'!$A$4&lt;&gt;"",IFERROR(INDEX(Responses!$A$1:$XFD$1,1,CHOOSE(LEN(TRIM('Demographics'!$A$4)),CODE(TRIM('Demographics'!$A$4))-64,(CODE(LEFT(TRIM('Demographics'!$A$4),1))-64)*26+(CODE(RIGHT(TRIM('Demographics'!$A$4),1))-64),(CODE(LEFT(TRIM('Demographics'!$A$4),1))-64)*676+(CODE(MID(TRIM('Demographics'!$A$4),2,1))-64)*26+(CODE(RIGHT(TRIM('Demographics'!$A$4),1))-64))),"")=""),"Column '"&amp;'Demographics'!$A$4&amp;"' has no header on the Responses sheet, so there's nothing for Themefinder to read.","")</f>
        <v>0</v>
      </c>
      <c r="F7" s="4" t="s">
        <v>166</v>
      </c>
    </row>
    <row r="8" spans="1:6" ht="75" customHeight="1">
      <c r="A8" t="s">
        <v>162</v>
      </c>
      <c r="B8" t="s">
        <v>169</v>
      </c>
      <c r="C8" t="s">
        <v>164</v>
      </c>
      <c r="D8" t="s">
        <v>165</v>
      </c>
      <c r="E8" s="4">
        <f>IF(AND('Demographics'!$A$5&lt;&gt;"",IFERROR(INDEX(Responses!$A$1:$XFD$1,1,CHOOSE(LEN(TRIM('Demographics'!$A$5)),CODE(TRIM('Demographics'!$A$5))-64,(CODE(LEFT(TRIM('Demographics'!$A$5),1))-64)*26+(CODE(RIGHT(TRIM('Demographics'!$A$5),1))-64),(CODE(LEFT(TRIM('Demographics'!$A$5),1))-64)*676+(CODE(MID(TRIM('Demographics'!$A$5),2,1))-64)*26+(CODE(RIGHT(TRIM('Demographics'!$A$5),1))-64))),"")=""),"Column '"&amp;'Demographics'!$A$5&amp;"' has no header on the Responses sheet, so there's nothing for Themefinder to read.","")</f>
        <v>0</v>
      </c>
      <c r="F8" s="4" t="s">
        <v>166</v>
      </c>
    </row>
    <row r="9" spans="1:6" ht="75" customHeight="1">
      <c r="A9" t="s">
        <v>162</v>
      </c>
      <c r="B9" t="s">
        <v>170</v>
      </c>
      <c r="C9" t="s">
        <v>164</v>
      </c>
      <c r="D9" t="s">
        <v>165</v>
      </c>
      <c r="E9" s="4">
        <f>IF(AND('Demographics'!$A$6&lt;&gt;"",IFERROR(INDEX(Responses!$A$1:$XFD$1,1,CHOOSE(LEN(TRIM('Demographics'!$A$6)),CODE(TRIM('Demographics'!$A$6))-64,(CODE(LEFT(TRIM('Demographics'!$A$6),1))-64)*26+(CODE(RIGHT(TRIM('Demographics'!$A$6),1))-64),(CODE(LEFT(TRIM('Demographics'!$A$6),1))-64)*676+(CODE(MID(TRIM('Demographics'!$A$6),2,1))-64)*26+(CODE(RIGHT(TRIM('Demographics'!$A$6),1))-64))),"")=""),"Column '"&amp;'Demographics'!$A$6&amp;"' has no header on the Responses sheet, so there's nothing for Themefinder to read.","")</f>
        <v>0</v>
      </c>
      <c r="F9" s="4" t="s">
        <v>166</v>
      </c>
    </row>
    <row r="10" spans="1:6" ht="75" customHeight="1">
      <c r="A10" t="s">
        <v>162</v>
      </c>
      <c r="B10" t="s">
        <v>171</v>
      </c>
      <c r="C10" t="s">
        <v>164</v>
      </c>
      <c r="D10" t="s">
        <v>165</v>
      </c>
      <c r="E10" s="4">
        <f>IF(AND('Demographics'!$A$7&lt;&gt;"",IFERROR(INDEX(Responses!$A$1:$XFD$1,1,CHOOSE(LEN(TRIM('Demographics'!$A$7)),CODE(TRIM('Demographics'!$A$7))-64,(CODE(LEFT(TRIM('Demographics'!$A$7),1))-64)*26+(CODE(RIGHT(TRIM('Demographics'!$A$7),1))-64),(CODE(LEFT(TRIM('Demographics'!$A$7),1))-64)*676+(CODE(MID(TRIM('Demographics'!$A$7),2,1))-64)*26+(CODE(RIGHT(TRIM('Demographics'!$A$7),1))-64))),"")=""),"Column '"&amp;'Demographics'!$A$7&amp;"' has no header on the Responses sheet, so there's nothing for Themefinder to read.","")</f>
        <v>0</v>
      </c>
      <c r="F10" s="4" t="s">
        <v>166</v>
      </c>
    </row>
    <row r="11" spans="1:6" ht="75" customHeight="1">
      <c r="A11" t="s">
        <v>162</v>
      </c>
      <c r="B11" t="s">
        <v>172</v>
      </c>
      <c r="C11" t="s">
        <v>164</v>
      </c>
      <c r="D11" t="s">
        <v>165</v>
      </c>
      <c r="E11" s="4">
        <f>IF(AND('Demographics'!$A$8&lt;&gt;"",IFERROR(INDEX(Responses!$A$1:$XFD$1,1,CHOOSE(LEN(TRIM('Demographics'!$A$8)),CODE(TRIM('Demographics'!$A$8))-64,(CODE(LEFT(TRIM('Demographics'!$A$8),1))-64)*26+(CODE(RIGHT(TRIM('Demographics'!$A$8),1))-64),(CODE(LEFT(TRIM('Demographics'!$A$8),1))-64)*676+(CODE(MID(TRIM('Demographics'!$A$8),2,1))-64)*26+(CODE(RIGHT(TRIM('Demographics'!$A$8),1))-64))),"")=""),"Column '"&amp;'Demographics'!$A$8&amp;"' has no header on the Responses sheet, so there's nothing for Themefinder to read.","")</f>
        <v>0</v>
      </c>
      <c r="F11" s="4" t="s">
        <v>166</v>
      </c>
    </row>
    <row r="12" spans="1:6" ht="75" customHeight="1">
      <c r="A12" t="s">
        <v>162</v>
      </c>
      <c r="B12" t="s">
        <v>173</v>
      </c>
      <c r="C12" t="s">
        <v>164</v>
      </c>
      <c r="D12" t="s">
        <v>165</v>
      </c>
      <c r="E12" s="4">
        <f>IF(AND('Demographics'!$A$9&lt;&gt;"",IFERROR(INDEX(Responses!$A$1:$XFD$1,1,CHOOSE(LEN(TRIM('Demographics'!$A$9)),CODE(TRIM('Demographics'!$A$9))-64,(CODE(LEFT(TRIM('Demographics'!$A$9),1))-64)*26+(CODE(RIGHT(TRIM('Demographics'!$A$9),1))-64),(CODE(LEFT(TRIM('Demographics'!$A$9),1))-64)*676+(CODE(MID(TRIM('Demographics'!$A$9),2,1))-64)*26+(CODE(RIGHT(TRIM('Demographics'!$A$9),1))-64))),"")=""),"Column '"&amp;'Demographics'!$A$9&amp;"' has no header on the Responses sheet, so there's nothing for Themefinder to read.","")</f>
        <v>0</v>
      </c>
      <c r="F12" s="4" t="s">
        <v>166</v>
      </c>
    </row>
    <row r="13" spans="1:6" ht="75" customHeight="1">
      <c r="A13" t="s">
        <v>162</v>
      </c>
      <c r="B13" t="s">
        <v>174</v>
      </c>
      <c r="C13" t="s">
        <v>164</v>
      </c>
      <c r="D13" t="s">
        <v>165</v>
      </c>
      <c r="E13" s="4">
        <f>IF(AND('Demographics'!$A$10&lt;&gt;"",IFERROR(INDEX(Responses!$A$1:$XFD$1,1,CHOOSE(LEN(TRIM('Demographics'!$A$10)),CODE(TRIM('Demographics'!$A$10))-64,(CODE(LEFT(TRIM('Demographics'!$A$10),1))-64)*26+(CODE(RIGHT(TRIM('Demographics'!$A$10),1))-64),(CODE(LEFT(TRIM('Demographics'!$A$10),1))-64)*676+(CODE(MID(TRIM('Demographics'!$A$10),2,1))-64)*26+(CODE(RIGHT(TRIM('Demographics'!$A$10),1))-64))),"")=""),"Column '"&amp;'Demographics'!$A$10&amp;"' has no header on the Responses sheet, so there's nothing for Themefinder to read.","")</f>
        <v>0</v>
      </c>
      <c r="F13" s="4" t="s">
        <v>166</v>
      </c>
    </row>
    <row r="14" spans="1:6" ht="75" customHeight="1">
      <c r="A14" t="s">
        <v>162</v>
      </c>
      <c r="B14" t="s">
        <v>175</v>
      </c>
      <c r="C14" t="s">
        <v>164</v>
      </c>
      <c r="D14" t="s">
        <v>165</v>
      </c>
      <c r="E14" s="4">
        <f>IF(AND('Demographics'!$A$11&lt;&gt;"",IFERROR(INDEX(Responses!$A$1:$XFD$1,1,CHOOSE(LEN(TRIM('Demographics'!$A$11)),CODE(TRIM('Demographics'!$A$11))-64,(CODE(LEFT(TRIM('Demographics'!$A$11),1))-64)*26+(CODE(RIGHT(TRIM('Demographics'!$A$11),1))-64),(CODE(LEFT(TRIM('Demographics'!$A$11),1))-64)*676+(CODE(MID(TRIM('Demographics'!$A$11),2,1))-64)*26+(CODE(RIGHT(TRIM('Demographics'!$A$11),1))-64))),"")=""),"Column '"&amp;'Demographics'!$A$11&amp;"' has no header on the Responses sheet, so there's nothing for Themefinder to read.","")</f>
        <v>0</v>
      </c>
      <c r="F14" s="4" t="s">
        <v>166</v>
      </c>
    </row>
    <row r="15" spans="1:6" ht="75" customHeight="1">
      <c r="A15" t="s">
        <v>162</v>
      </c>
      <c r="B15" t="s">
        <v>176</v>
      </c>
      <c r="C15" t="s">
        <v>164</v>
      </c>
      <c r="D15" t="s">
        <v>165</v>
      </c>
      <c r="E15" s="4">
        <f>IF(AND('Demographics'!$A$12&lt;&gt;"",IFERROR(INDEX(Responses!$A$1:$XFD$1,1,CHOOSE(LEN(TRIM('Demographics'!$A$12)),CODE(TRIM('Demographics'!$A$12))-64,(CODE(LEFT(TRIM('Demographics'!$A$12),1))-64)*26+(CODE(RIGHT(TRIM('Demographics'!$A$12),1))-64),(CODE(LEFT(TRIM('Demographics'!$A$12),1))-64)*676+(CODE(MID(TRIM('Demographics'!$A$12),2,1))-64)*26+(CODE(RIGHT(TRIM('Demographics'!$A$12),1))-64))),"")=""),"Column '"&amp;'Demographics'!$A$12&amp;"' has no header on the Responses sheet, so there's nothing for Themefinder to read.","")</f>
        <v>0</v>
      </c>
      <c r="F15" s="4" t="s">
        <v>166</v>
      </c>
    </row>
    <row r="16" spans="1:6" ht="75" customHeight="1">
      <c r="A16" t="s">
        <v>162</v>
      </c>
      <c r="B16" t="s">
        <v>177</v>
      </c>
      <c r="C16" t="s">
        <v>164</v>
      </c>
      <c r="D16" t="s">
        <v>165</v>
      </c>
      <c r="E16" s="4">
        <f>IF(AND('Demographics'!$A$13&lt;&gt;"",IFERROR(INDEX(Responses!$A$1:$XFD$1,1,CHOOSE(LEN(TRIM('Demographics'!$A$13)),CODE(TRIM('Demographics'!$A$13))-64,(CODE(LEFT(TRIM('Demographics'!$A$13),1))-64)*26+(CODE(RIGHT(TRIM('Demographics'!$A$13),1))-64),(CODE(LEFT(TRIM('Demographics'!$A$13),1))-64)*676+(CODE(MID(TRIM('Demographics'!$A$13),2,1))-64)*26+(CODE(RIGHT(TRIM('Demographics'!$A$13),1))-64))),"")=""),"Column '"&amp;'Demographics'!$A$13&amp;"' has no header on the Responses sheet, so there's nothing for Themefinder to read.","")</f>
        <v>0</v>
      </c>
      <c r="F16" s="4" t="s">
        <v>166</v>
      </c>
    </row>
    <row r="17" spans="1:6" ht="75" customHeight="1">
      <c r="A17" t="s">
        <v>162</v>
      </c>
      <c r="B17" t="s">
        <v>178</v>
      </c>
      <c r="C17" t="s">
        <v>164</v>
      </c>
      <c r="D17" t="s">
        <v>165</v>
      </c>
      <c r="E17" s="4">
        <f>IF(AND('Demographics'!$A$14&lt;&gt;"",IFERROR(INDEX(Responses!$A$1:$XFD$1,1,CHOOSE(LEN(TRIM('Demographics'!$A$14)),CODE(TRIM('Demographics'!$A$14))-64,(CODE(LEFT(TRIM('Demographics'!$A$14),1))-64)*26+(CODE(RIGHT(TRIM('Demographics'!$A$14),1))-64),(CODE(LEFT(TRIM('Demographics'!$A$14),1))-64)*676+(CODE(MID(TRIM('Demographics'!$A$14),2,1))-64)*26+(CODE(RIGHT(TRIM('Demographics'!$A$14),1))-64))),"")=""),"Column '"&amp;'Demographics'!$A$14&amp;"' has no header on the Responses sheet, so there's nothing for Themefinder to read.","")</f>
        <v>0</v>
      </c>
      <c r="F17" s="4" t="s">
        <v>166</v>
      </c>
    </row>
    <row r="18" spans="1:6" ht="75" customHeight="1">
      <c r="A18" t="s">
        <v>162</v>
      </c>
      <c r="B18" t="s">
        <v>179</v>
      </c>
      <c r="C18" t="s">
        <v>164</v>
      </c>
      <c r="D18" t="s">
        <v>165</v>
      </c>
      <c r="E18" s="4">
        <f>IF(AND('Demographics'!$A$15&lt;&gt;"",IFERROR(INDEX(Responses!$A$1:$XFD$1,1,CHOOSE(LEN(TRIM('Demographics'!$A$15)),CODE(TRIM('Demographics'!$A$15))-64,(CODE(LEFT(TRIM('Demographics'!$A$15),1))-64)*26+(CODE(RIGHT(TRIM('Demographics'!$A$15),1))-64),(CODE(LEFT(TRIM('Demographics'!$A$15),1))-64)*676+(CODE(MID(TRIM('Demographics'!$A$15),2,1))-64)*26+(CODE(RIGHT(TRIM('Demographics'!$A$15),1))-64))),"")=""),"Column '"&amp;'Demographics'!$A$15&amp;"' has no header on the Responses sheet, so there's nothing for Themefinder to read.","")</f>
        <v>0</v>
      </c>
      <c r="F18" s="4" t="s">
        <v>166</v>
      </c>
    </row>
    <row r="19" spans="1:6" ht="75" customHeight="1">
      <c r="A19" t="s">
        <v>162</v>
      </c>
      <c r="B19" t="s">
        <v>180</v>
      </c>
      <c r="C19" t="s">
        <v>164</v>
      </c>
      <c r="D19" t="s">
        <v>165</v>
      </c>
      <c r="E19" s="4">
        <f>IF(AND('Demographics'!$A$16&lt;&gt;"",IFERROR(INDEX(Responses!$A$1:$XFD$1,1,CHOOSE(LEN(TRIM('Demographics'!$A$16)),CODE(TRIM('Demographics'!$A$16))-64,(CODE(LEFT(TRIM('Demographics'!$A$16),1))-64)*26+(CODE(RIGHT(TRIM('Demographics'!$A$16),1))-64),(CODE(LEFT(TRIM('Demographics'!$A$16),1))-64)*676+(CODE(MID(TRIM('Demographics'!$A$16),2,1))-64)*26+(CODE(RIGHT(TRIM('Demographics'!$A$16),1))-64))),"")=""),"Column '"&amp;'Demographics'!$A$16&amp;"' has no header on the Responses sheet, so there's nothing for Themefinder to read.","")</f>
        <v>0</v>
      </c>
      <c r="F19" s="4" t="s">
        <v>166</v>
      </c>
    </row>
    <row r="20" spans="1:6" ht="75" customHeight="1">
      <c r="A20" t="s">
        <v>162</v>
      </c>
      <c r="B20" t="s">
        <v>181</v>
      </c>
      <c r="C20" t="s">
        <v>164</v>
      </c>
      <c r="D20" t="s">
        <v>165</v>
      </c>
      <c r="E20" s="4">
        <f>IF(AND('Demographics'!$A$17&lt;&gt;"",IFERROR(INDEX(Responses!$A$1:$XFD$1,1,CHOOSE(LEN(TRIM('Demographics'!$A$17)),CODE(TRIM('Demographics'!$A$17))-64,(CODE(LEFT(TRIM('Demographics'!$A$17),1))-64)*26+(CODE(RIGHT(TRIM('Demographics'!$A$17),1))-64),(CODE(LEFT(TRIM('Demographics'!$A$17),1))-64)*676+(CODE(MID(TRIM('Demographics'!$A$17),2,1))-64)*26+(CODE(RIGHT(TRIM('Demographics'!$A$17),1))-64))),"")=""),"Column '"&amp;'Demographics'!$A$17&amp;"' has no header on the Responses sheet, so there's nothing for Themefinder to read.","")</f>
        <v>0</v>
      </c>
      <c r="F20" s="4" t="s">
        <v>166</v>
      </c>
    </row>
    <row r="21" spans="1:6" ht="75" customHeight="1">
      <c r="A21" t="s">
        <v>162</v>
      </c>
      <c r="B21" t="s">
        <v>182</v>
      </c>
      <c r="C21" t="s">
        <v>164</v>
      </c>
      <c r="D21" t="s">
        <v>165</v>
      </c>
      <c r="E21" s="4">
        <f>IF(AND('Demographics'!$A$18&lt;&gt;"",IFERROR(INDEX(Responses!$A$1:$XFD$1,1,CHOOSE(LEN(TRIM('Demographics'!$A$18)),CODE(TRIM('Demographics'!$A$18))-64,(CODE(LEFT(TRIM('Demographics'!$A$18),1))-64)*26+(CODE(RIGHT(TRIM('Demographics'!$A$18),1))-64),(CODE(LEFT(TRIM('Demographics'!$A$18),1))-64)*676+(CODE(MID(TRIM('Demographics'!$A$18),2,1))-64)*26+(CODE(RIGHT(TRIM('Demographics'!$A$18),1))-64))),"")=""),"Column '"&amp;'Demographics'!$A$18&amp;"' has no header on the Responses sheet, so there's nothing for Themefinder to read.","")</f>
        <v>0</v>
      </c>
      <c r="F21" s="4" t="s">
        <v>166</v>
      </c>
    </row>
    <row r="22" spans="1:6" ht="75" customHeight="1">
      <c r="A22" t="s">
        <v>162</v>
      </c>
      <c r="B22" t="s">
        <v>183</v>
      </c>
      <c r="C22" t="s">
        <v>164</v>
      </c>
      <c r="D22" t="s">
        <v>165</v>
      </c>
      <c r="E22" s="4">
        <f>IF(AND('Demographics'!$A$19&lt;&gt;"",IFERROR(INDEX(Responses!$A$1:$XFD$1,1,CHOOSE(LEN(TRIM('Demographics'!$A$19)),CODE(TRIM('Demographics'!$A$19))-64,(CODE(LEFT(TRIM('Demographics'!$A$19),1))-64)*26+(CODE(RIGHT(TRIM('Demographics'!$A$19),1))-64),(CODE(LEFT(TRIM('Demographics'!$A$19),1))-64)*676+(CODE(MID(TRIM('Demographics'!$A$19),2,1))-64)*26+(CODE(RIGHT(TRIM('Demographics'!$A$19),1))-64))),"")=""),"Column '"&amp;'Demographics'!$A$19&amp;"' has no header on the Responses sheet, so there's nothing for Themefinder to read.","")</f>
        <v>0</v>
      </c>
      <c r="F22" s="4" t="s">
        <v>166</v>
      </c>
    </row>
    <row r="23" spans="1:6" ht="75" customHeight="1">
      <c r="A23" t="s">
        <v>162</v>
      </c>
      <c r="B23" t="s">
        <v>184</v>
      </c>
      <c r="C23" t="s">
        <v>164</v>
      </c>
      <c r="D23" t="s">
        <v>165</v>
      </c>
      <c r="E23" s="4">
        <f>IF(AND('Demographics'!$A$20&lt;&gt;"",IFERROR(INDEX(Responses!$A$1:$XFD$1,1,CHOOSE(LEN(TRIM('Demographics'!$A$20)),CODE(TRIM('Demographics'!$A$20))-64,(CODE(LEFT(TRIM('Demographics'!$A$20),1))-64)*26+(CODE(RIGHT(TRIM('Demographics'!$A$20),1))-64),(CODE(LEFT(TRIM('Demographics'!$A$20),1))-64)*676+(CODE(MID(TRIM('Demographics'!$A$20),2,1))-64)*26+(CODE(RIGHT(TRIM('Demographics'!$A$20),1))-64))),"")=""),"Column '"&amp;'Demographics'!$A$20&amp;"' has no header on the Responses sheet, so there's nothing for Themefinder to read.","")</f>
        <v>0</v>
      </c>
      <c r="F23" s="4" t="s">
        <v>166</v>
      </c>
    </row>
    <row r="24" spans="1:6" ht="75" customHeight="1">
      <c r="A24" t="s">
        <v>162</v>
      </c>
      <c r="B24" t="s">
        <v>185</v>
      </c>
      <c r="C24" t="s">
        <v>164</v>
      </c>
      <c r="D24" t="s">
        <v>165</v>
      </c>
      <c r="E24" s="4">
        <f>IF(AND('Demographics'!$A$21&lt;&gt;"",IFERROR(INDEX(Responses!$A$1:$XFD$1,1,CHOOSE(LEN(TRIM('Demographics'!$A$21)),CODE(TRIM('Demographics'!$A$21))-64,(CODE(LEFT(TRIM('Demographics'!$A$21),1))-64)*26+(CODE(RIGHT(TRIM('Demographics'!$A$21),1))-64),(CODE(LEFT(TRIM('Demographics'!$A$21),1))-64)*676+(CODE(MID(TRIM('Demographics'!$A$21),2,1))-64)*26+(CODE(RIGHT(TRIM('Demographics'!$A$21),1))-64))),"")=""),"Column '"&amp;'Demographics'!$A$21&amp;"' has no header on the Responses sheet, so there's nothing for Themefinder to read.","")</f>
        <v>0</v>
      </c>
      <c r="F24" s="4" t="s">
        <v>166</v>
      </c>
    </row>
    <row r="25" spans="1:6" ht="75" customHeight="1">
      <c r="A25" t="s">
        <v>162</v>
      </c>
      <c r="B25" t="s">
        <v>186</v>
      </c>
      <c r="C25" t="s">
        <v>164</v>
      </c>
      <c r="D25" t="s">
        <v>165</v>
      </c>
      <c r="E25" s="4">
        <f>IF(AND('Demographics'!$A$22&lt;&gt;"",IFERROR(INDEX(Responses!$A$1:$XFD$1,1,CHOOSE(LEN(TRIM('Demographics'!$A$22)),CODE(TRIM('Demographics'!$A$22))-64,(CODE(LEFT(TRIM('Demographics'!$A$22),1))-64)*26+(CODE(RIGHT(TRIM('Demographics'!$A$22),1))-64),(CODE(LEFT(TRIM('Demographics'!$A$22),1))-64)*676+(CODE(MID(TRIM('Demographics'!$A$22),2,1))-64)*26+(CODE(RIGHT(TRIM('Demographics'!$A$22),1))-64))),"")=""),"Column '"&amp;'Demographics'!$A$22&amp;"' has no header on the Responses sheet, so there's nothing for Themefinder to read.","")</f>
        <v>0</v>
      </c>
      <c r="F25" s="4" t="s">
        <v>166</v>
      </c>
    </row>
    <row r="26" spans="1:6" ht="75" customHeight="1">
      <c r="A26" t="s">
        <v>162</v>
      </c>
      <c r="B26" t="s">
        <v>187</v>
      </c>
      <c r="C26" t="s">
        <v>164</v>
      </c>
      <c r="D26" t="s">
        <v>165</v>
      </c>
      <c r="E26" s="4">
        <f>IF(AND('Demographics'!$A$23&lt;&gt;"",IFERROR(INDEX(Responses!$A$1:$XFD$1,1,CHOOSE(LEN(TRIM('Demographics'!$A$23)),CODE(TRIM('Demographics'!$A$23))-64,(CODE(LEFT(TRIM('Demographics'!$A$23),1))-64)*26+(CODE(RIGHT(TRIM('Demographics'!$A$23),1))-64),(CODE(LEFT(TRIM('Demographics'!$A$23),1))-64)*676+(CODE(MID(TRIM('Demographics'!$A$23),2,1))-64)*26+(CODE(RIGHT(TRIM('Demographics'!$A$23),1))-64))),"")=""),"Column '"&amp;'Demographics'!$A$23&amp;"' has no header on the Responses sheet, so there's nothing for Themefinder to read.","")</f>
        <v>0</v>
      </c>
      <c r="F26" s="4" t="s">
        <v>166</v>
      </c>
    </row>
    <row r="27" spans="1:6" ht="75" customHeight="1">
      <c r="A27" t="s">
        <v>162</v>
      </c>
      <c r="B27" t="s">
        <v>188</v>
      </c>
      <c r="C27" t="s">
        <v>164</v>
      </c>
      <c r="D27" t="s">
        <v>165</v>
      </c>
      <c r="E27" s="4">
        <f>IF(AND('Demographics'!$A$24&lt;&gt;"",IFERROR(INDEX(Responses!$A$1:$XFD$1,1,CHOOSE(LEN(TRIM('Demographics'!$A$24)),CODE(TRIM('Demographics'!$A$24))-64,(CODE(LEFT(TRIM('Demographics'!$A$24),1))-64)*26+(CODE(RIGHT(TRIM('Demographics'!$A$24),1))-64),(CODE(LEFT(TRIM('Demographics'!$A$24),1))-64)*676+(CODE(MID(TRIM('Demographics'!$A$24),2,1))-64)*26+(CODE(RIGHT(TRIM('Demographics'!$A$24),1))-64))),"")=""),"Column '"&amp;'Demographics'!$A$24&amp;"' has no header on the Responses sheet, so there's nothing for Themefinder to read.","")</f>
        <v>0</v>
      </c>
      <c r="F27" s="4" t="s">
        <v>166</v>
      </c>
    </row>
    <row r="28" spans="1:6" ht="75" customHeight="1">
      <c r="A28" t="s">
        <v>162</v>
      </c>
      <c r="B28" t="s">
        <v>189</v>
      </c>
      <c r="C28" t="s">
        <v>164</v>
      </c>
      <c r="D28" t="s">
        <v>165</v>
      </c>
      <c r="E28" s="4">
        <f>IF(AND('Demographics'!$A$25&lt;&gt;"",IFERROR(INDEX(Responses!$A$1:$XFD$1,1,CHOOSE(LEN(TRIM('Demographics'!$A$25)),CODE(TRIM('Demographics'!$A$25))-64,(CODE(LEFT(TRIM('Demographics'!$A$25),1))-64)*26+(CODE(RIGHT(TRIM('Demographics'!$A$25),1))-64),(CODE(LEFT(TRIM('Demographics'!$A$25),1))-64)*676+(CODE(MID(TRIM('Demographics'!$A$25),2,1))-64)*26+(CODE(RIGHT(TRIM('Demographics'!$A$25),1))-64))),"")=""),"Column '"&amp;'Demographics'!$A$25&amp;"' has no header on the Responses sheet, so there's nothing for Themefinder to read.","")</f>
        <v>0</v>
      </c>
      <c r="F28" s="4" t="s">
        <v>166</v>
      </c>
    </row>
    <row r="29" spans="1:6" ht="75" customHeight="1">
      <c r="A29" t="s">
        <v>162</v>
      </c>
      <c r="B29" t="s">
        <v>190</v>
      </c>
      <c r="C29" t="s">
        <v>164</v>
      </c>
      <c r="D29" t="s">
        <v>165</v>
      </c>
      <c r="E29" s="4">
        <f>IF(AND('Demographics'!$A$26&lt;&gt;"",IFERROR(INDEX(Responses!$A$1:$XFD$1,1,CHOOSE(LEN(TRIM('Demographics'!$A$26)),CODE(TRIM('Demographics'!$A$26))-64,(CODE(LEFT(TRIM('Demographics'!$A$26),1))-64)*26+(CODE(RIGHT(TRIM('Demographics'!$A$26),1))-64),(CODE(LEFT(TRIM('Demographics'!$A$26),1))-64)*676+(CODE(MID(TRIM('Demographics'!$A$26),2,1))-64)*26+(CODE(RIGHT(TRIM('Demographics'!$A$26),1))-64))),"")=""),"Column '"&amp;'Demographics'!$A$26&amp;"' has no header on the Responses sheet, so there's nothing for Themefinder to read.","")</f>
        <v>0</v>
      </c>
      <c r="F29" s="4" t="s">
        <v>166</v>
      </c>
    </row>
    <row r="30" spans="1:6" ht="75" customHeight="1">
      <c r="A30" t="s">
        <v>162</v>
      </c>
      <c r="B30" t="s">
        <v>191</v>
      </c>
      <c r="C30" t="s">
        <v>164</v>
      </c>
      <c r="D30" t="s">
        <v>165</v>
      </c>
      <c r="E30" s="4">
        <f>IF(AND('Demographics'!$A$27&lt;&gt;"",IFERROR(INDEX(Responses!$A$1:$XFD$1,1,CHOOSE(LEN(TRIM('Demographics'!$A$27)),CODE(TRIM('Demographics'!$A$27))-64,(CODE(LEFT(TRIM('Demographics'!$A$27),1))-64)*26+(CODE(RIGHT(TRIM('Demographics'!$A$27),1))-64),(CODE(LEFT(TRIM('Demographics'!$A$27),1))-64)*676+(CODE(MID(TRIM('Demographics'!$A$27),2,1))-64)*26+(CODE(RIGHT(TRIM('Demographics'!$A$27),1))-64))),"")=""),"Column '"&amp;'Demographics'!$A$27&amp;"' has no header on the Responses sheet, so there's nothing for Themefinder to read.","")</f>
        <v>0</v>
      </c>
      <c r="F30" s="4" t="s">
        <v>166</v>
      </c>
    </row>
    <row r="31" spans="1:6" ht="75" customHeight="1">
      <c r="A31" t="s">
        <v>162</v>
      </c>
      <c r="B31" t="s">
        <v>192</v>
      </c>
      <c r="C31" t="s">
        <v>164</v>
      </c>
      <c r="D31" t="s">
        <v>165</v>
      </c>
      <c r="E31" s="4">
        <f>IF(AND('Demographics'!$A$28&lt;&gt;"",IFERROR(INDEX(Responses!$A$1:$XFD$1,1,CHOOSE(LEN(TRIM('Demographics'!$A$28)),CODE(TRIM('Demographics'!$A$28))-64,(CODE(LEFT(TRIM('Demographics'!$A$28),1))-64)*26+(CODE(RIGHT(TRIM('Demographics'!$A$28),1))-64),(CODE(LEFT(TRIM('Demographics'!$A$28),1))-64)*676+(CODE(MID(TRIM('Demographics'!$A$28),2,1))-64)*26+(CODE(RIGHT(TRIM('Demographics'!$A$28),1))-64))),"")=""),"Column '"&amp;'Demographics'!$A$28&amp;"' has no header on the Responses sheet, so there's nothing for Themefinder to read.","")</f>
        <v>0</v>
      </c>
      <c r="F31" s="4" t="s">
        <v>166</v>
      </c>
    </row>
    <row r="32" spans="1:6" ht="75" customHeight="1">
      <c r="A32" t="s">
        <v>162</v>
      </c>
      <c r="B32" t="s">
        <v>193</v>
      </c>
      <c r="C32" t="s">
        <v>164</v>
      </c>
      <c r="D32" t="s">
        <v>165</v>
      </c>
      <c r="E32" s="4">
        <f>IF(AND('Demographics'!$A$29&lt;&gt;"",IFERROR(INDEX(Responses!$A$1:$XFD$1,1,CHOOSE(LEN(TRIM('Demographics'!$A$29)),CODE(TRIM('Demographics'!$A$29))-64,(CODE(LEFT(TRIM('Demographics'!$A$29),1))-64)*26+(CODE(RIGHT(TRIM('Demographics'!$A$29),1))-64),(CODE(LEFT(TRIM('Demographics'!$A$29),1))-64)*676+(CODE(MID(TRIM('Demographics'!$A$29),2,1))-64)*26+(CODE(RIGHT(TRIM('Demographics'!$A$29),1))-64))),"")=""),"Column '"&amp;'Demographics'!$A$29&amp;"' has no header on the Responses sheet, so there's nothing for Themefinder to read.","")</f>
        <v>0</v>
      </c>
      <c r="F32" s="4" t="s">
        <v>166</v>
      </c>
    </row>
    <row r="33" spans="1:6" ht="75" customHeight="1">
      <c r="A33" t="s">
        <v>162</v>
      </c>
      <c r="B33" t="s">
        <v>194</v>
      </c>
      <c r="C33" t="s">
        <v>164</v>
      </c>
      <c r="D33" t="s">
        <v>165</v>
      </c>
      <c r="E33" s="4">
        <f>IF(AND('Demographics'!$A$30&lt;&gt;"",IFERROR(INDEX(Responses!$A$1:$XFD$1,1,CHOOSE(LEN(TRIM('Demographics'!$A$30)),CODE(TRIM('Demographics'!$A$30))-64,(CODE(LEFT(TRIM('Demographics'!$A$30),1))-64)*26+(CODE(RIGHT(TRIM('Demographics'!$A$30),1))-64),(CODE(LEFT(TRIM('Demographics'!$A$30),1))-64)*676+(CODE(MID(TRIM('Demographics'!$A$30),2,1))-64)*26+(CODE(RIGHT(TRIM('Demographics'!$A$30),1))-64))),"")=""),"Column '"&amp;'Demographics'!$A$30&amp;"' has no header on the Responses sheet, so there's nothing for Themefinder to read.","")</f>
        <v>0</v>
      </c>
      <c r="F33" s="4" t="s">
        <v>166</v>
      </c>
    </row>
    <row r="34" spans="1:6" ht="75" customHeight="1">
      <c r="A34" t="s">
        <v>162</v>
      </c>
      <c r="B34" t="s">
        <v>195</v>
      </c>
      <c r="C34" t="s">
        <v>164</v>
      </c>
      <c r="D34" t="s">
        <v>165</v>
      </c>
      <c r="E34" s="4">
        <f>IF(AND('Demographics'!$A$31&lt;&gt;"",IFERROR(INDEX(Responses!$A$1:$XFD$1,1,CHOOSE(LEN(TRIM('Demographics'!$A$31)),CODE(TRIM('Demographics'!$A$31))-64,(CODE(LEFT(TRIM('Demographics'!$A$31),1))-64)*26+(CODE(RIGHT(TRIM('Demographics'!$A$31),1))-64),(CODE(LEFT(TRIM('Demographics'!$A$31),1))-64)*676+(CODE(MID(TRIM('Demographics'!$A$31),2,1))-64)*26+(CODE(RIGHT(TRIM('Demographics'!$A$31),1))-64))),"")=""),"Column '"&amp;'Demographics'!$A$31&amp;"' has no header on the Responses sheet, so there's nothing for Themefinder to read.","")</f>
        <v>0</v>
      </c>
      <c r="F34" s="4" t="s">
        <v>166</v>
      </c>
    </row>
    <row r="35" spans="1:6" ht="75" customHeight="1">
      <c r="A35" t="s">
        <v>162</v>
      </c>
      <c r="B35" t="s">
        <v>196</v>
      </c>
      <c r="C35" t="s">
        <v>164</v>
      </c>
      <c r="D35" t="s">
        <v>165</v>
      </c>
      <c r="E35" s="4">
        <f>IF(AND('Demographics'!$A$32&lt;&gt;"",IFERROR(INDEX(Responses!$A$1:$XFD$1,1,CHOOSE(LEN(TRIM('Demographics'!$A$32)),CODE(TRIM('Demographics'!$A$32))-64,(CODE(LEFT(TRIM('Demographics'!$A$32),1))-64)*26+(CODE(RIGHT(TRIM('Demographics'!$A$32),1))-64),(CODE(LEFT(TRIM('Demographics'!$A$32),1))-64)*676+(CODE(MID(TRIM('Demographics'!$A$32),2,1))-64)*26+(CODE(RIGHT(TRIM('Demographics'!$A$32),1))-64))),"")=""),"Column '"&amp;'Demographics'!$A$32&amp;"' has no header on the Responses sheet, so there's nothing for Themefinder to read.","")</f>
        <v>0</v>
      </c>
      <c r="F35" s="4" t="s">
        <v>166</v>
      </c>
    </row>
    <row r="36" spans="1:6" ht="75" customHeight="1">
      <c r="A36" t="s">
        <v>162</v>
      </c>
      <c r="B36" t="s">
        <v>197</v>
      </c>
      <c r="C36" t="s">
        <v>164</v>
      </c>
      <c r="D36" t="s">
        <v>165</v>
      </c>
      <c r="E36" s="4">
        <f>IF(AND('Demographics'!$A$33&lt;&gt;"",IFERROR(INDEX(Responses!$A$1:$XFD$1,1,CHOOSE(LEN(TRIM('Demographics'!$A$33)),CODE(TRIM('Demographics'!$A$33))-64,(CODE(LEFT(TRIM('Demographics'!$A$33),1))-64)*26+(CODE(RIGHT(TRIM('Demographics'!$A$33),1))-64),(CODE(LEFT(TRIM('Demographics'!$A$33),1))-64)*676+(CODE(MID(TRIM('Demographics'!$A$33),2,1))-64)*26+(CODE(RIGHT(TRIM('Demographics'!$A$33),1))-64))),"")=""),"Column '"&amp;'Demographics'!$A$33&amp;"' has no header on the Responses sheet, so there's nothing for Themefinder to read.","")</f>
        <v>0</v>
      </c>
      <c r="F36" s="4" t="s">
        <v>166</v>
      </c>
    </row>
    <row r="37" spans="1:6" ht="75" customHeight="1">
      <c r="A37" t="s">
        <v>162</v>
      </c>
      <c r="B37" t="s">
        <v>198</v>
      </c>
      <c r="C37" t="s">
        <v>164</v>
      </c>
      <c r="D37" t="s">
        <v>165</v>
      </c>
      <c r="E37" s="4">
        <f>IF(AND('Demographics'!$A$34&lt;&gt;"",IFERROR(INDEX(Responses!$A$1:$XFD$1,1,CHOOSE(LEN(TRIM('Demographics'!$A$34)),CODE(TRIM('Demographics'!$A$34))-64,(CODE(LEFT(TRIM('Demographics'!$A$34),1))-64)*26+(CODE(RIGHT(TRIM('Demographics'!$A$34),1))-64),(CODE(LEFT(TRIM('Demographics'!$A$34),1))-64)*676+(CODE(MID(TRIM('Demographics'!$A$34),2,1))-64)*26+(CODE(RIGHT(TRIM('Demographics'!$A$34),1))-64))),"")=""),"Column '"&amp;'Demographics'!$A$34&amp;"' has no header on the Responses sheet, so there's nothing for Themefinder to read.","")</f>
        <v>0</v>
      </c>
      <c r="F37" s="4" t="s">
        <v>166</v>
      </c>
    </row>
    <row r="38" spans="1:6" ht="75" customHeight="1">
      <c r="A38" t="s">
        <v>162</v>
      </c>
      <c r="B38" t="s">
        <v>199</v>
      </c>
      <c r="C38" t="s">
        <v>164</v>
      </c>
      <c r="D38" t="s">
        <v>165</v>
      </c>
      <c r="E38" s="4">
        <f>IF(AND('Demographics'!$A$35&lt;&gt;"",IFERROR(INDEX(Responses!$A$1:$XFD$1,1,CHOOSE(LEN(TRIM('Demographics'!$A$35)),CODE(TRIM('Demographics'!$A$35))-64,(CODE(LEFT(TRIM('Demographics'!$A$35),1))-64)*26+(CODE(RIGHT(TRIM('Demographics'!$A$35),1))-64),(CODE(LEFT(TRIM('Demographics'!$A$35),1))-64)*676+(CODE(MID(TRIM('Demographics'!$A$35),2,1))-64)*26+(CODE(RIGHT(TRIM('Demographics'!$A$35),1))-64))),"")=""),"Column '"&amp;'Demographics'!$A$35&amp;"' has no header on the Responses sheet, so there's nothing for Themefinder to read.","")</f>
        <v>0</v>
      </c>
      <c r="F38" s="4" t="s">
        <v>166</v>
      </c>
    </row>
    <row r="39" spans="1:6" ht="75" customHeight="1">
      <c r="A39" t="s">
        <v>162</v>
      </c>
      <c r="B39" t="s">
        <v>200</v>
      </c>
      <c r="C39" t="s">
        <v>164</v>
      </c>
      <c r="D39" t="s">
        <v>165</v>
      </c>
      <c r="E39" s="4">
        <f>IF(AND('Demographics'!$A$36&lt;&gt;"",IFERROR(INDEX(Responses!$A$1:$XFD$1,1,CHOOSE(LEN(TRIM('Demographics'!$A$36)),CODE(TRIM('Demographics'!$A$36))-64,(CODE(LEFT(TRIM('Demographics'!$A$36),1))-64)*26+(CODE(RIGHT(TRIM('Demographics'!$A$36),1))-64),(CODE(LEFT(TRIM('Demographics'!$A$36),1))-64)*676+(CODE(MID(TRIM('Demographics'!$A$36),2,1))-64)*26+(CODE(RIGHT(TRIM('Demographics'!$A$36),1))-64))),"")=""),"Column '"&amp;'Demographics'!$A$36&amp;"' has no header on the Responses sheet, so there's nothing for Themefinder to read.","")</f>
        <v>0</v>
      </c>
      <c r="F39" s="4" t="s">
        <v>166</v>
      </c>
    </row>
    <row r="40" spans="1:6" ht="75" customHeight="1">
      <c r="A40" t="s">
        <v>162</v>
      </c>
      <c r="B40" t="s">
        <v>201</v>
      </c>
      <c r="C40" t="s">
        <v>164</v>
      </c>
      <c r="D40" t="s">
        <v>165</v>
      </c>
      <c r="E40" s="4">
        <f>IF(AND('Demographics'!$A$37&lt;&gt;"",IFERROR(INDEX(Responses!$A$1:$XFD$1,1,CHOOSE(LEN(TRIM('Demographics'!$A$37)),CODE(TRIM('Demographics'!$A$37))-64,(CODE(LEFT(TRIM('Demographics'!$A$37),1))-64)*26+(CODE(RIGHT(TRIM('Demographics'!$A$37),1))-64),(CODE(LEFT(TRIM('Demographics'!$A$37),1))-64)*676+(CODE(MID(TRIM('Demographics'!$A$37),2,1))-64)*26+(CODE(RIGHT(TRIM('Demographics'!$A$37),1))-64))),"")=""),"Column '"&amp;'Demographics'!$A$37&amp;"' has no header on the Responses sheet, so there's nothing for Themefinder to read.","")</f>
        <v>0</v>
      </c>
      <c r="F40" s="4" t="s">
        <v>166</v>
      </c>
    </row>
    <row r="41" spans="1:6" ht="75" customHeight="1">
      <c r="A41" t="s">
        <v>162</v>
      </c>
      <c r="B41" t="s">
        <v>202</v>
      </c>
      <c r="C41" t="s">
        <v>164</v>
      </c>
      <c r="D41" t="s">
        <v>165</v>
      </c>
      <c r="E41" s="4">
        <f>IF(AND('Demographics'!$A$38&lt;&gt;"",IFERROR(INDEX(Responses!$A$1:$XFD$1,1,CHOOSE(LEN(TRIM('Demographics'!$A$38)),CODE(TRIM('Demographics'!$A$38))-64,(CODE(LEFT(TRIM('Demographics'!$A$38),1))-64)*26+(CODE(RIGHT(TRIM('Demographics'!$A$38),1))-64),(CODE(LEFT(TRIM('Demographics'!$A$38),1))-64)*676+(CODE(MID(TRIM('Demographics'!$A$38),2,1))-64)*26+(CODE(RIGHT(TRIM('Demographics'!$A$38),1))-64))),"")=""),"Column '"&amp;'Demographics'!$A$38&amp;"' has no header on the Responses sheet, so there's nothing for Themefinder to read.","")</f>
        <v>0</v>
      </c>
      <c r="F41" s="4" t="s">
        <v>166</v>
      </c>
    </row>
    <row r="42" spans="1:6" ht="75" customHeight="1">
      <c r="A42" t="s">
        <v>162</v>
      </c>
      <c r="B42" t="s">
        <v>203</v>
      </c>
      <c r="C42" t="s">
        <v>164</v>
      </c>
      <c r="D42" t="s">
        <v>165</v>
      </c>
      <c r="E42" s="4">
        <f>IF(AND('Demographics'!$A$39&lt;&gt;"",IFERROR(INDEX(Responses!$A$1:$XFD$1,1,CHOOSE(LEN(TRIM('Demographics'!$A$39)),CODE(TRIM('Demographics'!$A$39))-64,(CODE(LEFT(TRIM('Demographics'!$A$39),1))-64)*26+(CODE(RIGHT(TRIM('Demographics'!$A$39),1))-64),(CODE(LEFT(TRIM('Demographics'!$A$39),1))-64)*676+(CODE(MID(TRIM('Demographics'!$A$39),2,1))-64)*26+(CODE(RIGHT(TRIM('Demographics'!$A$39),1))-64))),"")=""),"Column '"&amp;'Demographics'!$A$39&amp;"' has no header on the Responses sheet, so there's nothing for Themefinder to read.","")</f>
        <v>0</v>
      </c>
      <c r="F42" s="4" t="s">
        <v>166</v>
      </c>
    </row>
    <row r="43" spans="1:6" ht="75" customHeight="1">
      <c r="A43" t="s">
        <v>162</v>
      </c>
      <c r="B43" t="s">
        <v>204</v>
      </c>
      <c r="C43" t="s">
        <v>164</v>
      </c>
      <c r="D43" t="s">
        <v>165</v>
      </c>
      <c r="E43" s="4">
        <f>IF(AND('Demographics'!$A$40&lt;&gt;"",IFERROR(INDEX(Responses!$A$1:$XFD$1,1,CHOOSE(LEN(TRIM('Demographics'!$A$40)),CODE(TRIM('Demographics'!$A$40))-64,(CODE(LEFT(TRIM('Demographics'!$A$40),1))-64)*26+(CODE(RIGHT(TRIM('Demographics'!$A$40),1))-64),(CODE(LEFT(TRIM('Demographics'!$A$40),1))-64)*676+(CODE(MID(TRIM('Demographics'!$A$40),2,1))-64)*26+(CODE(RIGHT(TRIM('Demographics'!$A$40),1))-64))),"")=""),"Column '"&amp;'Demographics'!$A$40&amp;"' has no header on the Responses sheet, so there's nothing for Themefinder to read.","")</f>
        <v>0</v>
      </c>
      <c r="F43" s="4" t="s">
        <v>166</v>
      </c>
    </row>
    <row r="44" spans="1:6" ht="75" customHeight="1">
      <c r="A44" t="s">
        <v>162</v>
      </c>
      <c r="B44" t="s">
        <v>205</v>
      </c>
      <c r="C44" t="s">
        <v>164</v>
      </c>
      <c r="D44" t="s">
        <v>165</v>
      </c>
      <c r="E44" s="4">
        <f>IF(AND('Demographics'!$A$41&lt;&gt;"",IFERROR(INDEX(Responses!$A$1:$XFD$1,1,CHOOSE(LEN(TRIM('Demographics'!$A$41)),CODE(TRIM('Demographics'!$A$41))-64,(CODE(LEFT(TRIM('Demographics'!$A$41),1))-64)*26+(CODE(RIGHT(TRIM('Demographics'!$A$41),1))-64),(CODE(LEFT(TRIM('Demographics'!$A$41),1))-64)*676+(CODE(MID(TRIM('Demographics'!$A$41),2,1))-64)*26+(CODE(RIGHT(TRIM('Demographics'!$A$41),1))-64))),"")=""),"Column '"&amp;'Demographics'!$A$41&amp;"' has no header on the Responses sheet, so there's nothing for Themefinder to read.","")</f>
        <v>0</v>
      </c>
      <c r="F44" s="4" t="s">
        <v>166</v>
      </c>
    </row>
    <row r="45" spans="1:6" ht="75" customHeight="1">
      <c r="A45" t="s">
        <v>162</v>
      </c>
      <c r="B45" t="s">
        <v>206</v>
      </c>
      <c r="C45" t="s">
        <v>164</v>
      </c>
      <c r="D45" t="s">
        <v>165</v>
      </c>
      <c r="E45" s="4">
        <f>IF(AND('Demographics'!$A$42&lt;&gt;"",IFERROR(INDEX(Responses!$A$1:$XFD$1,1,CHOOSE(LEN(TRIM('Demographics'!$A$42)),CODE(TRIM('Demographics'!$A$42))-64,(CODE(LEFT(TRIM('Demographics'!$A$42),1))-64)*26+(CODE(RIGHT(TRIM('Demographics'!$A$42),1))-64),(CODE(LEFT(TRIM('Demographics'!$A$42),1))-64)*676+(CODE(MID(TRIM('Demographics'!$A$42),2,1))-64)*26+(CODE(RIGHT(TRIM('Demographics'!$A$42),1))-64))),"")=""),"Column '"&amp;'Demographics'!$A$42&amp;"' has no header on the Responses sheet, so there's nothing for Themefinder to read.","")</f>
        <v>0</v>
      </c>
      <c r="F45" s="4" t="s">
        <v>166</v>
      </c>
    </row>
    <row r="46" spans="1:6" ht="75" customHeight="1">
      <c r="A46" t="s">
        <v>162</v>
      </c>
      <c r="B46" t="s">
        <v>207</v>
      </c>
      <c r="C46" t="s">
        <v>164</v>
      </c>
      <c r="D46" t="s">
        <v>165</v>
      </c>
      <c r="E46" s="4">
        <f>IF(AND('Demographics'!$A$43&lt;&gt;"",IFERROR(INDEX(Responses!$A$1:$XFD$1,1,CHOOSE(LEN(TRIM('Demographics'!$A$43)),CODE(TRIM('Demographics'!$A$43))-64,(CODE(LEFT(TRIM('Demographics'!$A$43),1))-64)*26+(CODE(RIGHT(TRIM('Demographics'!$A$43),1))-64),(CODE(LEFT(TRIM('Demographics'!$A$43),1))-64)*676+(CODE(MID(TRIM('Demographics'!$A$43),2,1))-64)*26+(CODE(RIGHT(TRIM('Demographics'!$A$43),1))-64))),"")=""),"Column '"&amp;'Demographics'!$A$43&amp;"' has no header on the Responses sheet, so there's nothing for Themefinder to read.","")</f>
        <v>0</v>
      </c>
      <c r="F46" s="4" t="s">
        <v>166</v>
      </c>
    </row>
    <row r="47" spans="1:6" ht="75" customHeight="1">
      <c r="A47" t="s">
        <v>162</v>
      </c>
      <c r="B47" t="s">
        <v>208</v>
      </c>
      <c r="C47" t="s">
        <v>164</v>
      </c>
      <c r="D47" t="s">
        <v>165</v>
      </c>
      <c r="E47" s="4">
        <f>IF(AND('Demographics'!$A$44&lt;&gt;"",IFERROR(INDEX(Responses!$A$1:$XFD$1,1,CHOOSE(LEN(TRIM('Demographics'!$A$44)),CODE(TRIM('Demographics'!$A$44))-64,(CODE(LEFT(TRIM('Demographics'!$A$44),1))-64)*26+(CODE(RIGHT(TRIM('Demographics'!$A$44),1))-64),(CODE(LEFT(TRIM('Demographics'!$A$44),1))-64)*676+(CODE(MID(TRIM('Demographics'!$A$44),2,1))-64)*26+(CODE(RIGHT(TRIM('Demographics'!$A$44),1))-64))),"")=""),"Column '"&amp;'Demographics'!$A$44&amp;"' has no header on the Responses sheet, so there's nothing for Themefinder to read.","")</f>
        <v>0</v>
      </c>
      <c r="F47" s="4" t="s">
        <v>166</v>
      </c>
    </row>
    <row r="48" spans="1:6" ht="75" customHeight="1">
      <c r="A48" t="s">
        <v>162</v>
      </c>
      <c r="B48" t="s">
        <v>209</v>
      </c>
      <c r="C48" t="s">
        <v>164</v>
      </c>
      <c r="D48" t="s">
        <v>165</v>
      </c>
      <c r="E48" s="4">
        <f>IF(AND('Demographics'!$A$45&lt;&gt;"",IFERROR(INDEX(Responses!$A$1:$XFD$1,1,CHOOSE(LEN(TRIM('Demographics'!$A$45)),CODE(TRIM('Demographics'!$A$45))-64,(CODE(LEFT(TRIM('Demographics'!$A$45),1))-64)*26+(CODE(RIGHT(TRIM('Demographics'!$A$45),1))-64),(CODE(LEFT(TRIM('Demographics'!$A$45),1))-64)*676+(CODE(MID(TRIM('Demographics'!$A$45),2,1))-64)*26+(CODE(RIGHT(TRIM('Demographics'!$A$45),1))-64))),"")=""),"Column '"&amp;'Demographics'!$A$45&amp;"' has no header on the Responses sheet, so there's nothing for Themefinder to read.","")</f>
        <v>0</v>
      </c>
      <c r="F48" s="4" t="s">
        <v>166</v>
      </c>
    </row>
    <row r="49" spans="1:6" ht="75" customHeight="1">
      <c r="A49" t="s">
        <v>162</v>
      </c>
      <c r="B49" t="s">
        <v>210</v>
      </c>
      <c r="C49" t="s">
        <v>164</v>
      </c>
      <c r="D49" t="s">
        <v>165</v>
      </c>
      <c r="E49" s="4">
        <f>IF(AND('Demographics'!$A$46&lt;&gt;"",IFERROR(INDEX(Responses!$A$1:$XFD$1,1,CHOOSE(LEN(TRIM('Demographics'!$A$46)),CODE(TRIM('Demographics'!$A$46))-64,(CODE(LEFT(TRIM('Demographics'!$A$46),1))-64)*26+(CODE(RIGHT(TRIM('Demographics'!$A$46),1))-64),(CODE(LEFT(TRIM('Demographics'!$A$46),1))-64)*676+(CODE(MID(TRIM('Demographics'!$A$46),2,1))-64)*26+(CODE(RIGHT(TRIM('Demographics'!$A$46),1))-64))),"")=""),"Column '"&amp;'Demographics'!$A$46&amp;"' has no header on the Responses sheet, so there's nothing for Themefinder to read.","")</f>
        <v>0</v>
      </c>
      <c r="F49" s="4" t="s">
        <v>166</v>
      </c>
    </row>
    <row r="50" spans="1:6" ht="75" customHeight="1">
      <c r="A50" t="s">
        <v>162</v>
      </c>
      <c r="B50" t="s">
        <v>211</v>
      </c>
      <c r="C50" t="s">
        <v>164</v>
      </c>
      <c r="D50" t="s">
        <v>165</v>
      </c>
      <c r="E50" s="4">
        <f>IF(AND('Demographics'!$A$47&lt;&gt;"",IFERROR(INDEX(Responses!$A$1:$XFD$1,1,CHOOSE(LEN(TRIM('Demographics'!$A$47)),CODE(TRIM('Demographics'!$A$47))-64,(CODE(LEFT(TRIM('Demographics'!$A$47),1))-64)*26+(CODE(RIGHT(TRIM('Demographics'!$A$47),1))-64),(CODE(LEFT(TRIM('Demographics'!$A$47),1))-64)*676+(CODE(MID(TRIM('Demographics'!$A$47),2,1))-64)*26+(CODE(RIGHT(TRIM('Demographics'!$A$47),1))-64))),"")=""),"Column '"&amp;'Demographics'!$A$47&amp;"' has no header on the Responses sheet, so there's nothing for Themefinder to read.","")</f>
        <v>0</v>
      </c>
      <c r="F50" s="4" t="s">
        <v>166</v>
      </c>
    </row>
    <row r="51" spans="1:6" ht="75" customHeight="1">
      <c r="A51" t="s">
        <v>162</v>
      </c>
      <c r="B51" t="s">
        <v>212</v>
      </c>
      <c r="C51" t="s">
        <v>164</v>
      </c>
      <c r="D51" t="s">
        <v>165</v>
      </c>
      <c r="E51" s="4">
        <f>IF(AND('Demographics'!$A$48&lt;&gt;"",IFERROR(INDEX(Responses!$A$1:$XFD$1,1,CHOOSE(LEN(TRIM('Demographics'!$A$48)),CODE(TRIM('Demographics'!$A$48))-64,(CODE(LEFT(TRIM('Demographics'!$A$48),1))-64)*26+(CODE(RIGHT(TRIM('Demographics'!$A$48),1))-64),(CODE(LEFT(TRIM('Demographics'!$A$48),1))-64)*676+(CODE(MID(TRIM('Demographics'!$A$48),2,1))-64)*26+(CODE(RIGHT(TRIM('Demographics'!$A$48),1))-64))),"")=""),"Column '"&amp;'Demographics'!$A$48&amp;"' has no header on the Responses sheet, so there's nothing for Themefinder to read.","")</f>
        <v>0</v>
      </c>
      <c r="F51" s="4" t="s">
        <v>166</v>
      </c>
    </row>
    <row r="52" spans="1:6" ht="75" customHeight="1">
      <c r="A52" t="s">
        <v>162</v>
      </c>
      <c r="B52" t="s">
        <v>213</v>
      </c>
      <c r="C52" t="s">
        <v>164</v>
      </c>
      <c r="D52" t="s">
        <v>165</v>
      </c>
      <c r="E52" s="4">
        <f>IF(AND('Demographics'!$A$49&lt;&gt;"",IFERROR(INDEX(Responses!$A$1:$XFD$1,1,CHOOSE(LEN(TRIM('Demographics'!$A$49)),CODE(TRIM('Demographics'!$A$49))-64,(CODE(LEFT(TRIM('Demographics'!$A$49),1))-64)*26+(CODE(RIGHT(TRIM('Demographics'!$A$49),1))-64),(CODE(LEFT(TRIM('Demographics'!$A$49),1))-64)*676+(CODE(MID(TRIM('Demographics'!$A$49),2,1))-64)*26+(CODE(RIGHT(TRIM('Demographics'!$A$49),1))-64))),"")=""),"Column '"&amp;'Demographics'!$A$49&amp;"' has no header on the Responses sheet, so there's nothing for Themefinder to read.","")</f>
        <v>0</v>
      </c>
      <c r="F52" s="4" t="s">
        <v>166</v>
      </c>
    </row>
    <row r="53" spans="1:6" ht="75" customHeight="1">
      <c r="A53" t="s">
        <v>162</v>
      </c>
      <c r="B53" t="s">
        <v>214</v>
      </c>
      <c r="C53" t="s">
        <v>164</v>
      </c>
      <c r="D53" t="s">
        <v>165</v>
      </c>
      <c r="E53" s="4">
        <f>IF(AND('Demographics'!$A$50&lt;&gt;"",IFERROR(INDEX(Responses!$A$1:$XFD$1,1,CHOOSE(LEN(TRIM('Demographics'!$A$50)),CODE(TRIM('Demographics'!$A$50))-64,(CODE(LEFT(TRIM('Demographics'!$A$50),1))-64)*26+(CODE(RIGHT(TRIM('Demographics'!$A$50),1))-64),(CODE(LEFT(TRIM('Demographics'!$A$50),1))-64)*676+(CODE(MID(TRIM('Demographics'!$A$50),2,1))-64)*26+(CODE(RIGHT(TRIM('Demographics'!$A$50),1))-64))),"")=""),"Column '"&amp;'Demographics'!$A$50&amp;"' has no header on the Responses sheet, so there's nothing for Themefinder to read.","")</f>
        <v>0</v>
      </c>
      <c r="F53" s="4" t="s">
        <v>166</v>
      </c>
    </row>
    <row r="54" spans="1:6" ht="75" customHeight="1">
      <c r="A54" t="s">
        <v>162</v>
      </c>
      <c r="B54" t="s">
        <v>215</v>
      </c>
      <c r="C54" t="s">
        <v>164</v>
      </c>
      <c r="D54" t="s">
        <v>165</v>
      </c>
      <c r="E54" s="4">
        <f>IF(AND('Demographics'!$A$51&lt;&gt;"",IFERROR(INDEX(Responses!$A$1:$XFD$1,1,CHOOSE(LEN(TRIM('Demographics'!$A$51)),CODE(TRIM('Demographics'!$A$51))-64,(CODE(LEFT(TRIM('Demographics'!$A$51),1))-64)*26+(CODE(RIGHT(TRIM('Demographics'!$A$51),1))-64),(CODE(LEFT(TRIM('Demographics'!$A$51),1))-64)*676+(CODE(MID(TRIM('Demographics'!$A$51),2,1))-64)*26+(CODE(RIGHT(TRIM('Demographics'!$A$51),1))-64))),"")=""),"Column '"&amp;'Demographics'!$A$51&amp;"' has no header on the Responses sheet, so there's nothing for Themefinder to read.","")</f>
        <v>0</v>
      </c>
      <c r="F54" s="4" t="s">
        <v>166</v>
      </c>
    </row>
    <row r="55" spans="1:6" ht="75" customHeight="1">
      <c r="A55" t="s">
        <v>216</v>
      </c>
      <c r="B55" t="s">
        <v>163</v>
      </c>
      <c r="C55" t="s">
        <v>164</v>
      </c>
      <c r="D55" t="s">
        <v>165</v>
      </c>
      <c r="E55" s="4">
        <f>IF(AND('Open Questions'!$A$2&lt;&gt;"",IFERROR(INDEX(Responses!$A$1:$XFD$1,1,CHOOSE(LEN(TRIM('Open Questions'!$A$2)),CODE(TRIM('Open Questions'!$A$2))-64,(CODE(LEFT(TRIM('Open Questions'!$A$2),1))-64)*26+(CODE(RIGHT(TRIM('Open Questions'!$A$2),1))-64),(CODE(LEFT(TRIM('Open Questions'!$A$2),1))-64)*676+(CODE(MID(TRIM('Open Questions'!$A$2),2,1))-64)*26+(CODE(RIGHT(TRIM('Open Questions'!$A$2),1))-64))),"")=""),"Column '"&amp;'Open Questions'!$A$2&amp;"' has no header on the Responses sheet, so there are no answers for Themefinder to analyse.","")</f>
        <v>0</v>
      </c>
      <c r="F55" s="4" t="s">
        <v>217</v>
      </c>
    </row>
    <row r="56" spans="1:6" ht="75" customHeight="1">
      <c r="A56" t="s">
        <v>216</v>
      </c>
      <c r="B56" t="s">
        <v>167</v>
      </c>
      <c r="C56" t="s">
        <v>164</v>
      </c>
      <c r="D56" t="s">
        <v>165</v>
      </c>
      <c r="E56" s="4">
        <f>IF(AND('Open Questions'!$A$3&lt;&gt;"",IFERROR(INDEX(Responses!$A$1:$XFD$1,1,CHOOSE(LEN(TRIM('Open Questions'!$A$3)),CODE(TRIM('Open Questions'!$A$3))-64,(CODE(LEFT(TRIM('Open Questions'!$A$3),1))-64)*26+(CODE(RIGHT(TRIM('Open Questions'!$A$3),1))-64),(CODE(LEFT(TRIM('Open Questions'!$A$3),1))-64)*676+(CODE(MID(TRIM('Open Questions'!$A$3),2,1))-64)*26+(CODE(RIGHT(TRIM('Open Questions'!$A$3),1))-64))),"")=""),"Column '"&amp;'Open Questions'!$A$3&amp;"' has no header on the Responses sheet, so there are no answers for Themefinder to analyse.","")</f>
        <v>0</v>
      </c>
      <c r="F56" s="4" t="s">
        <v>217</v>
      </c>
    </row>
    <row r="57" spans="1:6" ht="75" customHeight="1">
      <c r="A57" t="s">
        <v>216</v>
      </c>
      <c r="B57" t="s">
        <v>168</v>
      </c>
      <c r="C57" t="s">
        <v>164</v>
      </c>
      <c r="D57" t="s">
        <v>165</v>
      </c>
      <c r="E57" s="4">
        <f>IF(AND('Open Questions'!$A$4&lt;&gt;"",IFERROR(INDEX(Responses!$A$1:$XFD$1,1,CHOOSE(LEN(TRIM('Open Questions'!$A$4)),CODE(TRIM('Open Questions'!$A$4))-64,(CODE(LEFT(TRIM('Open Questions'!$A$4),1))-64)*26+(CODE(RIGHT(TRIM('Open Questions'!$A$4),1))-64),(CODE(LEFT(TRIM('Open Questions'!$A$4),1))-64)*676+(CODE(MID(TRIM('Open Questions'!$A$4),2,1))-64)*26+(CODE(RIGHT(TRIM('Open Questions'!$A$4),1))-64))),"")=""),"Column '"&amp;'Open Questions'!$A$4&amp;"' has no header on the Responses sheet, so there are no answers for Themefinder to analyse.","")</f>
        <v>0</v>
      </c>
      <c r="F57" s="4" t="s">
        <v>217</v>
      </c>
    </row>
    <row r="58" spans="1:6" ht="75" customHeight="1">
      <c r="A58" t="s">
        <v>216</v>
      </c>
      <c r="B58" t="s">
        <v>169</v>
      </c>
      <c r="C58" t="s">
        <v>164</v>
      </c>
      <c r="D58" t="s">
        <v>165</v>
      </c>
      <c r="E58" s="4">
        <f>IF(AND('Open Questions'!$A$5&lt;&gt;"",IFERROR(INDEX(Responses!$A$1:$XFD$1,1,CHOOSE(LEN(TRIM('Open Questions'!$A$5)),CODE(TRIM('Open Questions'!$A$5))-64,(CODE(LEFT(TRIM('Open Questions'!$A$5),1))-64)*26+(CODE(RIGHT(TRIM('Open Questions'!$A$5),1))-64),(CODE(LEFT(TRIM('Open Questions'!$A$5),1))-64)*676+(CODE(MID(TRIM('Open Questions'!$A$5),2,1))-64)*26+(CODE(RIGHT(TRIM('Open Questions'!$A$5),1))-64))),"")=""),"Column '"&amp;'Open Questions'!$A$5&amp;"' has no header on the Responses sheet, so there are no answers for Themefinder to analyse.","")</f>
        <v>0</v>
      </c>
      <c r="F58" s="4" t="s">
        <v>217</v>
      </c>
    </row>
    <row r="59" spans="1:6" ht="75" customHeight="1">
      <c r="A59" t="s">
        <v>216</v>
      </c>
      <c r="B59" t="s">
        <v>170</v>
      </c>
      <c r="C59" t="s">
        <v>164</v>
      </c>
      <c r="D59" t="s">
        <v>165</v>
      </c>
      <c r="E59" s="4">
        <f>IF(AND('Open Questions'!$A$6&lt;&gt;"",IFERROR(INDEX(Responses!$A$1:$XFD$1,1,CHOOSE(LEN(TRIM('Open Questions'!$A$6)),CODE(TRIM('Open Questions'!$A$6))-64,(CODE(LEFT(TRIM('Open Questions'!$A$6),1))-64)*26+(CODE(RIGHT(TRIM('Open Questions'!$A$6),1))-64),(CODE(LEFT(TRIM('Open Questions'!$A$6),1))-64)*676+(CODE(MID(TRIM('Open Questions'!$A$6),2,1))-64)*26+(CODE(RIGHT(TRIM('Open Questions'!$A$6),1))-64))),"")=""),"Column '"&amp;'Open Questions'!$A$6&amp;"' has no header on the Responses sheet, so there are no answers for Themefinder to analyse.","")</f>
        <v>0</v>
      </c>
      <c r="F59" s="4" t="s">
        <v>217</v>
      </c>
    </row>
    <row r="60" spans="1:6" ht="75" customHeight="1">
      <c r="A60" t="s">
        <v>216</v>
      </c>
      <c r="B60" t="s">
        <v>171</v>
      </c>
      <c r="C60" t="s">
        <v>164</v>
      </c>
      <c r="D60" t="s">
        <v>165</v>
      </c>
      <c r="E60" s="4">
        <f>IF(AND('Open Questions'!$A$7&lt;&gt;"",IFERROR(INDEX(Responses!$A$1:$XFD$1,1,CHOOSE(LEN(TRIM('Open Questions'!$A$7)),CODE(TRIM('Open Questions'!$A$7))-64,(CODE(LEFT(TRIM('Open Questions'!$A$7),1))-64)*26+(CODE(RIGHT(TRIM('Open Questions'!$A$7),1))-64),(CODE(LEFT(TRIM('Open Questions'!$A$7),1))-64)*676+(CODE(MID(TRIM('Open Questions'!$A$7),2,1))-64)*26+(CODE(RIGHT(TRIM('Open Questions'!$A$7),1))-64))),"")=""),"Column '"&amp;'Open Questions'!$A$7&amp;"' has no header on the Responses sheet, so there are no answers for Themefinder to analyse.","")</f>
        <v>0</v>
      </c>
      <c r="F60" s="4" t="s">
        <v>217</v>
      </c>
    </row>
    <row r="61" spans="1:6" ht="75" customHeight="1">
      <c r="A61" t="s">
        <v>216</v>
      </c>
      <c r="B61" t="s">
        <v>172</v>
      </c>
      <c r="C61" t="s">
        <v>164</v>
      </c>
      <c r="D61" t="s">
        <v>165</v>
      </c>
      <c r="E61" s="4">
        <f>IF(AND('Open Questions'!$A$8&lt;&gt;"",IFERROR(INDEX(Responses!$A$1:$XFD$1,1,CHOOSE(LEN(TRIM('Open Questions'!$A$8)),CODE(TRIM('Open Questions'!$A$8))-64,(CODE(LEFT(TRIM('Open Questions'!$A$8),1))-64)*26+(CODE(RIGHT(TRIM('Open Questions'!$A$8),1))-64),(CODE(LEFT(TRIM('Open Questions'!$A$8),1))-64)*676+(CODE(MID(TRIM('Open Questions'!$A$8),2,1))-64)*26+(CODE(RIGHT(TRIM('Open Questions'!$A$8),1))-64))),"")=""),"Column '"&amp;'Open Questions'!$A$8&amp;"' has no header on the Responses sheet, so there are no answers for Themefinder to analyse.","")</f>
        <v>0</v>
      </c>
      <c r="F61" s="4" t="s">
        <v>217</v>
      </c>
    </row>
    <row r="62" spans="1:6" ht="75" customHeight="1">
      <c r="A62" t="s">
        <v>216</v>
      </c>
      <c r="B62" t="s">
        <v>173</v>
      </c>
      <c r="C62" t="s">
        <v>164</v>
      </c>
      <c r="D62" t="s">
        <v>165</v>
      </c>
      <c r="E62" s="4">
        <f>IF(AND('Open Questions'!$A$9&lt;&gt;"",IFERROR(INDEX(Responses!$A$1:$XFD$1,1,CHOOSE(LEN(TRIM('Open Questions'!$A$9)),CODE(TRIM('Open Questions'!$A$9))-64,(CODE(LEFT(TRIM('Open Questions'!$A$9),1))-64)*26+(CODE(RIGHT(TRIM('Open Questions'!$A$9),1))-64),(CODE(LEFT(TRIM('Open Questions'!$A$9),1))-64)*676+(CODE(MID(TRIM('Open Questions'!$A$9),2,1))-64)*26+(CODE(RIGHT(TRIM('Open Questions'!$A$9),1))-64))),"")=""),"Column '"&amp;'Open Questions'!$A$9&amp;"' has no header on the Responses sheet, so there are no answers for Themefinder to analyse.","")</f>
        <v>0</v>
      </c>
      <c r="F62" s="4" t="s">
        <v>217</v>
      </c>
    </row>
    <row r="63" spans="1:6" ht="75" customHeight="1">
      <c r="A63" t="s">
        <v>216</v>
      </c>
      <c r="B63" t="s">
        <v>174</v>
      </c>
      <c r="C63" t="s">
        <v>164</v>
      </c>
      <c r="D63" t="s">
        <v>165</v>
      </c>
      <c r="E63" s="4">
        <f>IF(AND('Open Questions'!$A$10&lt;&gt;"",IFERROR(INDEX(Responses!$A$1:$XFD$1,1,CHOOSE(LEN(TRIM('Open Questions'!$A$10)),CODE(TRIM('Open Questions'!$A$10))-64,(CODE(LEFT(TRIM('Open Questions'!$A$10),1))-64)*26+(CODE(RIGHT(TRIM('Open Questions'!$A$10),1))-64),(CODE(LEFT(TRIM('Open Questions'!$A$10),1))-64)*676+(CODE(MID(TRIM('Open Questions'!$A$10),2,1))-64)*26+(CODE(RIGHT(TRIM('Open Questions'!$A$10),1))-64))),"")=""),"Column '"&amp;'Open Questions'!$A$10&amp;"' has no header on the Responses sheet, so there are no answers for Themefinder to analyse.","")</f>
        <v>0</v>
      </c>
      <c r="F63" s="4" t="s">
        <v>217</v>
      </c>
    </row>
    <row r="64" spans="1:6" ht="75" customHeight="1">
      <c r="A64" t="s">
        <v>216</v>
      </c>
      <c r="B64" t="s">
        <v>175</v>
      </c>
      <c r="C64" t="s">
        <v>164</v>
      </c>
      <c r="D64" t="s">
        <v>165</v>
      </c>
      <c r="E64" s="4">
        <f>IF(AND('Open Questions'!$A$11&lt;&gt;"",IFERROR(INDEX(Responses!$A$1:$XFD$1,1,CHOOSE(LEN(TRIM('Open Questions'!$A$11)),CODE(TRIM('Open Questions'!$A$11))-64,(CODE(LEFT(TRIM('Open Questions'!$A$11),1))-64)*26+(CODE(RIGHT(TRIM('Open Questions'!$A$11),1))-64),(CODE(LEFT(TRIM('Open Questions'!$A$11),1))-64)*676+(CODE(MID(TRIM('Open Questions'!$A$11),2,1))-64)*26+(CODE(RIGHT(TRIM('Open Questions'!$A$11),1))-64))),"")=""),"Column '"&amp;'Open Questions'!$A$11&amp;"' has no header on the Responses sheet, so there are no answers for Themefinder to analyse.","")</f>
        <v>0</v>
      </c>
      <c r="F64" s="4" t="s">
        <v>217</v>
      </c>
    </row>
    <row r="65" spans="1:6" ht="75" customHeight="1">
      <c r="A65" t="s">
        <v>216</v>
      </c>
      <c r="B65" t="s">
        <v>176</v>
      </c>
      <c r="C65" t="s">
        <v>164</v>
      </c>
      <c r="D65" t="s">
        <v>165</v>
      </c>
      <c r="E65" s="4">
        <f>IF(AND('Open Questions'!$A$12&lt;&gt;"",IFERROR(INDEX(Responses!$A$1:$XFD$1,1,CHOOSE(LEN(TRIM('Open Questions'!$A$12)),CODE(TRIM('Open Questions'!$A$12))-64,(CODE(LEFT(TRIM('Open Questions'!$A$12),1))-64)*26+(CODE(RIGHT(TRIM('Open Questions'!$A$12),1))-64),(CODE(LEFT(TRIM('Open Questions'!$A$12),1))-64)*676+(CODE(MID(TRIM('Open Questions'!$A$12),2,1))-64)*26+(CODE(RIGHT(TRIM('Open Questions'!$A$12),1))-64))),"")=""),"Column '"&amp;'Open Questions'!$A$12&amp;"' has no header on the Responses sheet, so there are no answers for Themefinder to analyse.","")</f>
        <v>0</v>
      </c>
      <c r="F65" s="4" t="s">
        <v>217</v>
      </c>
    </row>
    <row r="66" spans="1:6" ht="75" customHeight="1">
      <c r="A66" t="s">
        <v>216</v>
      </c>
      <c r="B66" t="s">
        <v>177</v>
      </c>
      <c r="C66" t="s">
        <v>164</v>
      </c>
      <c r="D66" t="s">
        <v>165</v>
      </c>
      <c r="E66" s="4">
        <f>IF(AND('Open Questions'!$A$13&lt;&gt;"",IFERROR(INDEX(Responses!$A$1:$XFD$1,1,CHOOSE(LEN(TRIM('Open Questions'!$A$13)),CODE(TRIM('Open Questions'!$A$13))-64,(CODE(LEFT(TRIM('Open Questions'!$A$13),1))-64)*26+(CODE(RIGHT(TRIM('Open Questions'!$A$13),1))-64),(CODE(LEFT(TRIM('Open Questions'!$A$13),1))-64)*676+(CODE(MID(TRIM('Open Questions'!$A$13),2,1))-64)*26+(CODE(RIGHT(TRIM('Open Questions'!$A$13),1))-64))),"")=""),"Column '"&amp;'Open Questions'!$A$13&amp;"' has no header on the Responses sheet, so there are no answers for Themefinder to analyse.","")</f>
        <v>0</v>
      </c>
      <c r="F66" s="4" t="s">
        <v>217</v>
      </c>
    </row>
    <row r="67" spans="1:6" ht="75" customHeight="1">
      <c r="A67" t="s">
        <v>216</v>
      </c>
      <c r="B67" t="s">
        <v>178</v>
      </c>
      <c r="C67" t="s">
        <v>164</v>
      </c>
      <c r="D67" t="s">
        <v>165</v>
      </c>
      <c r="E67" s="4">
        <f>IF(AND('Open Questions'!$A$14&lt;&gt;"",IFERROR(INDEX(Responses!$A$1:$XFD$1,1,CHOOSE(LEN(TRIM('Open Questions'!$A$14)),CODE(TRIM('Open Questions'!$A$14))-64,(CODE(LEFT(TRIM('Open Questions'!$A$14),1))-64)*26+(CODE(RIGHT(TRIM('Open Questions'!$A$14),1))-64),(CODE(LEFT(TRIM('Open Questions'!$A$14),1))-64)*676+(CODE(MID(TRIM('Open Questions'!$A$14),2,1))-64)*26+(CODE(RIGHT(TRIM('Open Questions'!$A$14),1))-64))),"")=""),"Column '"&amp;'Open Questions'!$A$14&amp;"' has no header on the Responses sheet, so there are no answers for Themefinder to analyse.","")</f>
        <v>0</v>
      </c>
      <c r="F67" s="4" t="s">
        <v>217</v>
      </c>
    </row>
    <row r="68" spans="1:6" ht="75" customHeight="1">
      <c r="A68" t="s">
        <v>216</v>
      </c>
      <c r="B68" t="s">
        <v>179</v>
      </c>
      <c r="C68" t="s">
        <v>164</v>
      </c>
      <c r="D68" t="s">
        <v>165</v>
      </c>
      <c r="E68" s="4">
        <f>IF(AND('Open Questions'!$A$15&lt;&gt;"",IFERROR(INDEX(Responses!$A$1:$XFD$1,1,CHOOSE(LEN(TRIM('Open Questions'!$A$15)),CODE(TRIM('Open Questions'!$A$15))-64,(CODE(LEFT(TRIM('Open Questions'!$A$15),1))-64)*26+(CODE(RIGHT(TRIM('Open Questions'!$A$15),1))-64),(CODE(LEFT(TRIM('Open Questions'!$A$15),1))-64)*676+(CODE(MID(TRIM('Open Questions'!$A$15),2,1))-64)*26+(CODE(RIGHT(TRIM('Open Questions'!$A$15),1))-64))),"")=""),"Column '"&amp;'Open Questions'!$A$15&amp;"' has no header on the Responses sheet, so there are no answers for Themefinder to analyse.","")</f>
        <v>0</v>
      </c>
      <c r="F68" s="4" t="s">
        <v>217</v>
      </c>
    </row>
    <row r="69" spans="1:6" ht="75" customHeight="1">
      <c r="A69" t="s">
        <v>216</v>
      </c>
      <c r="B69" t="s">
        <v>180</v>
      </c>
      <c r="C69" t="s">
        <v>164</v>
      </c>
      <c r="D69" t="s">
        <v>165</v>
      </c>
      <c r="E69" s="4">
        <f>IF(AND('Open Questions'!$A$16&lt;&gt;"",IFERROR(INDEX(Responses!$A$1:$XFD$1,1,CHOOSE(LEN(TRIM('Open Questions'!$A$16)),CODE(TRIM('Open Questions'!$A$16))-64,(CODE(LEFT(TRIM('Open Questions'!$A$16),1))-64)*26+(CODE(RIGHT(TRIM('Open Questions'!$A$16),1))-64),(CODE(LEFT(TRIM('Open Questions'!$A$16),1))-64)*676+(CODE(MID(TRIM('Open Questions'!$A$16),2,1))-64)*26+(CODE(RIGHT(TRIM('Open Questions'!$A$16),1))-64))),"")=""),"Column '"&amp;'Open Questions'!$A$16&amp;"' has no header on the Responses sheet, so there are no answers for Themefinder to analyse.","")</f>
        <v>0</v>
      </c>
      <c r="F69" s="4" t="s">
        <v>217</v>
      </c>
    </row>
    <row r="70" spans="1:6" ht="75" customHeight="1">
      <c r="A70" t="s">
        <v>216</v>
      </c>
      <c r="B70" t="s">
        <v>181</v>
      </c>
      <c r="C70" t="s">
        <v>164</v>
      </c>
      <c r="D70" t="s">
        <v>165</v>
      </c>
      <c r="E70" s="4">
        <f>IF(AND('Open Questions'!$A$17&lt;&gt;"",IFERROR(INDEX(Responses!$A$1:$XFD$1,1,CHOOSE(LEN(TRIM('Open Questions'!$A$17)),CODE(TRIM('Open Questions'!$A$17))-64,(CODE(LEFT(TRIM('Open Questions'!$A$17),1))-64)*26+(CODE(RIGHT(TRIM('Open Questions'!$A$17),1))-64),(CODE(LEFT(TRIM('Open Questions'!$A$17),1))-64)*676+(CODE(MID(TRIM('Open Questions'!$A$17),2,1))-64)*26+(CODE(RIGHT(TRIM('Open Questions'!$A$17),1))-64))),"")=""),"Column '"&amp;'Open Questions'!$A$17&amp;"' has no header on the Responses sheet, so there are no answers for Themefinder to analyse.","")</f>
        <v>0</v>
      </c>
      <c r="F70" s="4" t="s">
        <v>217</v>
      </c>
    </row>
    <row r="71" spans="1:6" ht="75" customHeight="1">
      <c r="A71" t="s">
        <v>216</v>
      </c>
      <c r="B71" t="s">
        <v>182</v>
      </c>
      <c r="C71" t="s">
        <v>164</v>
      </c>
      <c r="D71" t="s">
        <v>165</v>
      </c>
      <c r="E71" s="4">
        <f>IF(AND('Open Questions'!$A$18&lt;&gt;"",IFERROR(INDEX(Responses!$A$1:$XFD$1,1,CHOOSE(LEN(TRIM('Open Questions'!$A$18)),CODE(TRIM('Open Questions'!$A$18))-64,(CODE(LEFT(TRIM('Open Questions'!$A$18),1))-64)*26+(CODE(RIGHT(TRIM('Open Questions'!$A$18),1))-64),(CODE(LEFT(TRIM('Open Questions'!$A$18),1))-64)*676+(CODE(MID(TRIM('Open Questions'!$A$18),2,1))-64)*26+(CODE(RIGHT(TRIM('Open Questions'!$A$18),1))-64))),"")=""),"Column '"&amp;'Open Questions'!$A$18&amp;"' has no header on the Responses sheet, so there are no answers for Themefinder to analyse.","")</f>
        <v>0</v>
      </c>
      <c r="F71" s="4" t="s">
        <v>217</v>
      </c>
    </row>
    <row r="72" spans="1:6" ht="75" customHeight="1">
      <c r="A72" t="s">
        <v>216</v>
      </c>
      <c r="B72" t="s">
        <v>183</v>
      </c>
      <c r="C72" t="s">
        <v>164</v>
      </c>
      <c r="D72" t="s">
        <v>165</v>
      </c>
      <c r="E72" s="4">
        <f>IF(AND('Open Questions'!$A$19&lt;&gt;"",IFERROR(INDEX(Responses!$A$1:$XFD$1,1,CHOOSE(LEN(TRIM('Open Questions'!$A$19)),CODE(TRIM('Open Questions'!$A$19))-64,(CODE(LEFT(TRIM('Open Questions'!$A$19),1))-64)*26+(CODE(RIGHT(TRIM('Open Questions'!$A$19),1))-64),(CODE(LEFT(TRIM('Open Questions'!$A$19),1))-64)*676+(CODE(MID(TRIM('Open Questions'!$A$19),2,1))-64)*26+(CODE(RIGHT(TRIM('Open Questions'!$A$19),1))-64))),"")=""),"Column '"&amp;'Open Questions'!$A$19&amp;"' has no header on the Responses sheet, so there are no answers for Themefinder to analyse.","")</f>
        <v>0</v>
      </c>
      <c r="F72" s="4" t="s">
        <v>217</v>
      </c>
    </row>
    <row r="73" spans="1:6" ht="75" customHeight="1">
      <c r="A73" t="s">
        <v>216</v>
      </c>
      <c r="B73" t="s">
        <v>184</v>
      </c>
      <c r="C73" t="s">
        <v>164</v>
      </c>
      <c r="D73" t="s">
        <v>165</v>
      </c>
      <c r="E73" s="4">
        <f>IF(AND('Open Questions'!$A$20&lt;&gt;"",IFERROR(INDEX(Responses!$A$1:$XFD$1,1,CHOOSE(LEN(TRIM('Open Questions'!$A$20)),CODE(TRIM('Open Questions'!$A$20))-64,(CODE(LEFT(TRIM('Open Questions'!$A$20),1))-64)*26+(CODE(RIGHT(TRIM('Open Questions'!$A$20),1))-64),(CODE(LEFT(TRIM('Open Questions'!$A$20),1))-64)*676+(CODE(MID(TRIM('Open Questions'!$A$20),2,1))-64)*26+(CODE(RIGHT(TRIM('Open Questions'!$A$20),1))-64))),"")=""),"Column '"&amp;'Open Questions'!$A$20&amp;"' has no header on the Responses sheet, so there are no answers for Themefinder to analyse.","")</f>
        <v>0</v>
      </c>
      <c r="F73" s="4" t="s">
        <v>217</v>
      </c>
    </row>
    <row r="74" spans="1:6" ht="75" customHeight="1">
      <c r="A74" t="s">
        <v>216</v>
      </c>
      <c r="B74" t="s">
        <v>185</v>
      </c>
      <c r="C74" t="s">
        <v>164</v>
      </c>
      <c r="D74" t="s">
        <v>165</v>
      </c>
      <c r="E74" s="4">
        <f>IF(AND('Open Questions'!$A$21&lt;&gt;"",IFERROR(INDEX(Responses!$A$1:$XFD$1,1,CHOOSE(LEN(TRIM('Open Questions'!$A$21)),CODE(TRIM('Open Questions'!$A$21))-64,(CODE(LEFT(TRIM('Open Questions'!$A$21),1))-64)*26+(CODE(RIGHT(TRIM('Open Questions'!$A$21),1))-64),(CODE(LEFT(TRIM('Open Questions'!$A$21),1))-64)*676+(CODE(MID(TRIM('Open Questions'!$A$21),2,1))-64)*26+(CODE(RIGHT(TRIM('Open Questions'!$A$21),1))-64))),"")=""),"Column '"&amp;'Open Questions'!$A$21&amp;"' has no header on the Responses sheet, so there are no answers for Themefinder to analyse.","")</f>
        <v>0</v>
      </c>
      <c r="F74" s="4" t="s">
        <v>217</v>
      </c>
    </row>
    <row r="75" spans="1:6" ht="75" customHeight="1">
      <c r="A75" t="s">
        <v>216</v>
      </c>
      <c r="B75" t="s">
        <v>186</v>
      </c>
      <c r="C75" t="s">
        <v>164</v>
      </c>
      <c r="D75" t="s">
        <v>165</v>
      </c>
      <c r="E75" s="4">
        <f>IF(AND('Open Questions'!$A$22&lt;&gt;"",IFERROR(INDEX(Responses!$A$1:$XFD$1,1,CHOOSE(LEN(TRIM('Open Questions'!$A$22)),CODE(TRIM('Open Questions'!$A$22))-64,(CODE(LEFT(TRIM('Open Questions'!$A$22),1))-64)*26+(CODE(RIGHT(TRIM('Open Questions'!$A$22),1))-64),(CODE(LEFT(TRIM('Open Questions'!$A$22),1))-64)*676+(CODE(MID(TRIM('Open Questions'!$A$22),2,1))-64)*26+(CODE(RIGHT(TRIM('Open Questions'!$A$22),1))-64))),"")=""),"Column '"&amp;'Open Questions'!$A$22&amp;"' has no header on the Responses sheet, so there are no answers for Themefinder to analyse.","")</f>
        <v>0</v>
      </c>
      <c r="F75" s="4" t="s">
        <v>217</v>
      </c>
    </row>
    <row r="76" spans="1:6" ht="75" customHeight="1">
      <c r="A76" t="s">
        <v>216</v>
      </c>
      <c r="B76" t="s">
        <v>187</v>
      </c>
      <c r="C76" t="s">
        <v>164</v>
      </c>
      <c r="D76" t="s">
        <v>165</v>
      </c>
      <c r="E76" s="4">
        <f>IF(AND('Open Questions'!$A$23&lt;&gt;"",IFERROR(INDEX(Responses!$A$1:$XFD$1,1,CHOOSE(LEN(TRIM('Open Questions'!$A$23)),CODE(TRIM('Open Questions'!$A$23))-64,(CODE(LEFT(TRIM('Open Questions'!$A$23),1))-64)*26+(CODE(RIGHT(TRIM('Open Questions'!$A$23),1))-64),(CODE(LEFT(TRIM('Open Questions'!$A$23),1))-64)*676+(CODE(MID(TRIM('Open Questions'!$A$23),2,1))-64)*26+(CODE(RIGHT(TRIM('Open Questions'!$A$23),1))-64))),"")=""),"Column '"&amp;'Open Questions'!$A$23&amp;"' has no header on the Responses sheet, so there are no answers for Themefinder to analyse.","")</f>
        <v>0</v>
      </c>
      <c r="F76" s="4" t="s">
        <v>217</v>
      </c>
    </row>
    <row r="77" spans="1:6" ht="75" customHeight="1">
      <c r="A77" t="s">
        <v>216</v>
      </c>
      <c r="B77" t="s">
        <v>188</v>
      </c>
      <c r="C77" t="s">
        <v>164</v>
      </c>
      <c r="D77" t="s">
        <v>165</v>
      </c>
      <c r="E77" s="4">
        <f>IF(AND('Open Questions'!$A$24&lt;&gt;"",IFERROR(INDEX(Responses!$A$1:$XFD$1,1,CHOOSE(LEN(TRIM('Open Questions'!$A$24)),CODE(TRIM('Open Questions'!$A$24))-64,(CODE(LEFT(TRIM('Open Questions'!$A$24),1))-64)*26+(CODE(RIGHT(TRIM('Open Questions'!$A$24),1))-64),(CODE(LEFT(TRIM('Open Questions'!$A$24),1))-64)*676+(CODE(MID(TRIM('Open Questions'!$A$24),2,1))-64)*26+(CODE(RIGHT(TRIM('Open Questions'!$A$24),1))-64))),"")=""),"Column '"&amp;'Open Questions'!$A$24&amp;"' has no header on the Responses sheet, so there are no answers for Themefinder to analyse.","")</f>
        <v>0</v>
      </c>
      <c r="F77" s="4" t="s">
        <v>217</v>
      </c>
    </row>
    <row r="78" spans="1:6" ht="75" customHeight="1">
      <c r="A78" t="s">
        <v>216</v>
      </c>
      <c r="B78" t="s">
        <v>189</v>
      </c>
      <c r="C78" t="s">
        <v>164</v>
      </c>
      <c r="D78" t="s">
        <v>165</v>
      </c>
      <c r="E78" s="4">
        <f>IF(AND('Open Questions'!$A$25&lt;&gt;"",IFERROR(INDEX(Responses!$A$1:$XFD$1,1,CHOOSE(LEN(TRIM('Open Questions'!$A$25)),CODE(TRIM('Open Questions'!$A$25))-64,(CODE(LEFT(TRIM('Open Questions'!$A$25),1))-64)*26+(CODE(RIGHT(TRIM('Open Questions'!$A$25),1))-64),(CODE(LEFT(TRIM('Open Questions'!$A$25),1))-64)*676+(CODE(MID(TRIM('Open Questions'!$A$25),2,1))-64)*26+(CODE(RIGHT(TRIM('Open Questions'!$A$25),1))-64))),"")=""),"Column '"&amp;'Open Questions'!$A$25&amp;"' has no header on the Responses sheet, so there are no answers for Themefinder to analyse.","")</f>
        <v>0</v>
      </c>
      <c r="F78" s="4" t="s">
        <v>217</v>
      </c>
    </row>
    <row r="79" spans="1:6" ht="75" customHeight="1">
      <c r="A79" t="s">
        <v>216</v>
      </c>
      <c r="B79" t="s">
        <v>190</v>
      </c>
      <c r="C79" t="s">
        <v>164</v>
      </c>
      <c r="D79" t="s">
        <v>165</v>
      </c>
      <c r="E79" s="4">
        <f>IF(AND('Open Questions'!$A$26&lt;&gt;"",IFERROR(INDEX(Responses!$A$1:$XFD$1,1,CHOOSE(LEN(TRIM('Open Questions'!$A$26)),CODE(TRIM('Open Questions'!$A$26))-64,(CODE(LEFT(TRIM('Open Questions'!$A$26),1))-64)*26+(CODE(RIGHT(TRIM('Open Questions'!$A$26),1))-64),(CODE(LEFT(TRIM('Open Questions'!$A$26),1))-64)*676+(CODE(MID(TRIM('Open Questions'!$A$26),2,1))-64)*26+(CODE(RIGHT(TRIM('Open Questions'!$A$26),1))-64))),"")=""),"Column '"&amp;'Open Questions'!$A$26&amp;"' has no header on the Responses sheet, so there are no answers for Themefinder to analyse.","")</f>
        <v>0</v>
      </c>
      <c r="F79" s="4" t="s">
        <v>217</v>
      </c>
    </row>
    <row r="80" spans="1:6" ht="75" customHeight="1">
      <c r="A80" t="s">
        <v>216</v>
      </c>
      <c r="B80" t="s">
        <v>191</v>
      </c>
      <c r="C80" t="s">
        <v>164</v>
      </c>
      <c r="D80" t="s">
        <v>165</v>
      </c>
      <c r="E80" s="4">
        <f>IF(AND('Open Questions'!$A$27&lt;&gt;"",IFERROR(INDEX(Responses!$A$1:$XFD$1,1,CHOOSE(LEN(TRIM('Open Questions'!$A$27)),CODE(TRIM('Open Questions'!$A$27))-64,(CODE(LEFT(TRIM('Open Questions'!$A$27),1))-64)*26+(CODE(RIGHT(TRIM('Open Questions'!$A$27),1))-64),(CODE(LEFT(TRIM('Open Questions'!$A$27),1))-64)*676+(CODE(MID(TRIM('Open Questions'!$A$27),2,1))-64)*26+(CODE(RIGHT(TRIM('Open Questions'!$A$27),1))-64))),"")=""),"Column '"&amp;'Open Questions'!$A$27&amp;"' has no header on the Responses sheet, so there are no answers for Themefinder to analyse.","")</f>
        <v>0</v>
      </c>
      <c r="F80" s="4" t="s">
        <v>217</v>
      </c>
    </row>
    <row r="81" spans="1:6" ht="75" customHeight="1">
      <c r="A81" t="s">
        <v>216</v>
      </c>
      <c r="B81" t="s">
        <v>192</v>
      </c>
      <c r="C81" t="s">
        <v>164</v>
      </c>
      <c r="D81" t="s">
        <v>165</v>
      </c>
      <c r="E81" s="4">
        <f>IF(AND('Open Questions'!$A$28&lt;&gt;"",IFERROR(INDEX(Responses!$A$1:$XFD$1,1,CHOOSE(LEN(TRIM('Open Questions'!$A$28)),CODE(TRIM('Open Questions'!$A$28))-64,(CODE(LEFT(TRIM('Open Questions'!$A$28),1))-64)*26+(CODE(RIGHT(TRIM('Open Questions'!$A$28),1))-64),(CODE(LEFT(TRIM('Open Questions'!$A$28),1))-64)*676+(CODE(MID(TRIM('Open Questions'!$A$28),2,1))-64)*26+(CODE(RIGHT(TRIM('Open Questions'!$A$28),1))-64))),"")=""),"Column '"&amp;'Open Questions'!$A$28&amp;"' has no header on the Responses sheet, so there are no answers for Themefinder to analyse.","")</f>
        <v>0</v>
      </c>
      <c r="F81" s="4" t="s">
        <v>217</v>
      </c>
    </row>
    <row r="82" spans="1:6" ht="75" customHeight="1">
      <c r="A82" t="s">
        <v>216</v>
      </c>
      <c r="B82" t="s">
        <v>193</v>
      </c>
      <c r="C82" t="s">
        <v>164</v>
      </c>
      <c r="D82" t="s">
        <v>165</v>
      </c>
      <c r="E82" s="4">
        <f>IF(AND('Open Questions'!$A$29&lt;&gt;"",IFERROR(INDEX(Responses!$A$1:$XFD$1,1,CHOOSE(LEN(TRIM('Open Questions'!$A$29)),CODE(TRIM('Open Questions'!$A$29))-64,(CODE(LEFT(TRIM('Open Questions'!$A$29),1))-64)*26+(CODE(RIGHT(TRIM('Open Questions'!$A$29),1))-64),(CODE(LEFT(TRIM('Open Questions'!$A$29),1))-64)*676+(CODE(MID(TRIM('Open Questions'!$A$29),2,1))-64)*26+(CODE(RIGHT(TRIM('Open Questions'!$A$29),1))-64))),"")=""),"Column '"&amp;'Open Questions'!$A$29&amp;"' has no header on the Responses sheet, so there are no answers for Themefinder to analyse.","")</f>
        <v>0</v>
      </c>
      <c r="F82" s="4" t="s">
        <v>217</v>
      </c>
    </row>
    <row r="83" spans="1:6" ht="75" customHeight="1">
      <c r="A83" t="s">
        <v>216</v>
      </c>
      <c r="B83" t="s">
        <v>194</v>
      </c>
      <c r="C83" t="s">
        <v>164</v>
      </c>
      <c r="D83" t="s">
        <v>165</v>
      </c>
      <c r="E83" s="4">
        <f>IF(AND('Open Questions'!$A$30&lt;&gt;"",IFERROR(INDEX(Responses!$A$1:$XFD$1,1,CHOOSE(LEN(TRIM('Open Questions'!$A$30)),CODE(TRIM('Open Questions'!$A$30))-64,(CODE(LEFT(TRIM('Open Questions'!$A$30),1))-64)*26+(CODE(RIGHT(TRIM('Open Questions'!$A$30),1))-64),(CODE(LEFT(TRIM('Open Questions'!$A$30),1))-64)*676+(CODE(MID(TRIM('Open Questions'!$A$30),2,1))-64)*26+(CODE(RIGHT(TRIM('Open Questions'!$A$30),1))-64))),"")=""),"Column '"&amp;'Open Questions'!$A$30&amp;"' has no header on the Responses sheet, so there are no answers for Themefinder to analyse.","")</f>
        <v>0</v>
      </c>
      <c r="F83" s="4" t="s">
        <v>217</v>
      </c>
    </row>
    <row r="84" spans="1:6" ht="75" customHeight="1">
      <c r="A84" t="s">
        <v>216</v>
      </c>
      <c r="B84" t="s">
        <v>195</v>
      </c>
      <c r="C84" t="s">
        <v>164</v>
      </c>
      <c r="D84" t="s">
        <v>165</v>
      </c>
      <c r="E84" s="4">
        <f>IF(AND('Open Questions'!$A$31&lt;&gt;"",IFERROR(INDEX(Responses!$A$1:$XFD$1,1,CHOOSE(LEN(TRIM('Open Questions'!$A$31)),CODE(TRIM('Open Questions'!$A$31))-64,(CODE(LEFT(TRIM('Open Questions'!$A$31),1))-64)*26+(CODE(RIGHT(TRIM('Open Questions'!$A$31),1))-64),(CODE(LEFT(TRIM('Open Questions'!$A$31),1))-64)*676+(CODE(MID(TRIM('Open Questions'!$A$31),2,1))-64)*26+(CODE(RIGHT(TRIM('Open Questions'!$A$31),1))-64))),"")=""),"Column '"&amp;'Open Questions'!$A$31&amp;"' has no header on the Responses sheet, so there are no answers for Themefinder to analyse.","")</f>
        <v>0</v>
      </c>
      <c r="F84" s="4" t="s">
        <v>217</v>
      </c>
    </row>
    <row r="85" spans="1:6" ht="75" customHeight="1">
      <c r="A85" t="s">
        <v>216</v>
      </c>
      <c r="B85" t="s">
        <v>196</v>
      </c>
      <c r="C85" t="s">
        <v>164</v>
      </c>
      <c r="D85" t="s">
        <v>165</v>
      </c>
      <c r="E85" s="4">
        <f>IF(AND('Open Questions'!$A$32&lt;&gt;"",IFERROR(INDEX(Responses!$A$1:$XFD$1,1,CHOOSE(LEN(TRIM('Open Questions'!$A$32)),CODE(TRIM('Open Questions'!$A$32))-64,(CODE(LEFT(TRIM('Open Questions'!$A$32),1))-64)*26+(CODE(RIGHT(TRIM('Open Questions'!$A$32),1))-64),(CODE(LEFT(TRIM('Open Questions'!$A$32),1))-64)*676+(CODE(MID(TRIM('Open Questions'!$A$32),2,1))-64)*26+(CODE(RIGHT(TRIM('Open Questions'!$A$32),1))-64))),"")=""),"Column '"&amp;'Open Questions'!$A$32&amp;"' has no header on the Responses sheet, so there are no answers for Themefinder to analyse.","")</f>
        <v>0</v>
      </c>
      <c r="F85" s="4" t="s">
        <v>217</v>
      </c>
    </row>
    <row r="86" spans="1:6" ht="75" customHeight="1">
      <c r="A86" t="s">
        <v>216</v>
      </c>
      <c r="B86" t="s">
        <v>197</v>
      </c>
      <c r="C86" t="s">
        <v>164</v>
      </c>
      <c r="D86" t="s">
        <v>165</v>
      </c>
      <c r="E86" s="4">
        <f>IF(AND('Open Questions'!$A$33&lt;&gt;"",IFERROR(INDEX(Responses!$A$1:$XFD$1,1,CHOOSE(LEN(TRIM('Open Questions'!$A$33)),CODE(TRIM('Open Questions'!$A$33))-64,(CODE(LEFT(TRIM('Open Questions'!$A$33),1))-64)*26+(CODE(RIGHT(TRIM('Open Questions'!$A$33),1))-64),(CODE(LEFT(TRIM('Open Questions'!$A$33),1))-64)*676+(CODE(MID(TRIM('Open Questions'!$A$33),2,1))-64)*26+(CODE(RIGHT(TRIM('Open Questions'!$A$33),1))-64))),"")=""),"Column '"&amp;'Open Questions'!$A$33&amp;"' has no header on the Responses sheet, so there are no answers for Themefinder to analyse.","")</f>
        <v>0</v>
      </c>
      <c r="F86" s="4" t="s">
        <v>217</v>
      </c>
    </row>
    <row r="87" spans="1:6" ht="75" customHeight="1">
      <c r="A87" t="s">
        <v>216</v>
      </c>
      <c r="B87" t="s">
        <v>198</v>
      </c>
      <c r="C87" t="s">
        <v>164</v>
      </c>
      <c r="D87" t="s">
        <v>165</v>
      </c>
      <c r="E87" s="4">
        <f>IF(AND('Open Questions'!$A$34&lt;&gt;"",IFERROR(INDEX(Responses!$A$1:$XFD$1,1,CHOOSE(LEN(TRIM('Open Questions'!$A$34)),CODE(TRIM('Open Questions'!$A$34))-64,(CODE(LEFT(TRIM('Open Questions'!$A$34),1))-64)*26+(CODE(RIGHT(TRIM('Open Questions'!$A$34),1))-64),(CODE(LEFT(TRIM('Open Questions'!$A$34),1))-64)*676+(CODE(MID(TRIM('Open Questions'!$A$34),2,1))-64)*26+(CODE(RIGHT(TRIM('Open Questions'!$A$34),1))-64))),"")=""),"Column '"&amp;'Open Questions'!$A$34&amp;"' has no header on the Responses sheet, so there are no answers for Themefinder to analyse.","")</f>
        <v>0</v>
      </c>
      <c r="F87" s="4" t="s">
        <v>217</v>
      </c>
    </row>
    <row r="88" spans="1:6" ht="75" customHeight="1">
      <c r="A88" t="s">
        <v>216</v>
      </c>
      <c r="B88" t="s">
        <v>199</v>
      </c>
      <c r="C88" t="s">
        <v>164</v>
      </c>
      <c r="D88" t="s">
        <v>165</v>
      </c>
      <c r="E88" s="4">
        <f>IF(AND('Open Questions'!$A$35&lt;&gt;"",IFERROR(INDEX(Responses!$A$1:$XFD$1,1,CHOOSE(LEN(TRIM('Open Questions'!$A$35)),CODE(TRIM('Open Questions'!$A$35))-64,(CODE(LEFT(TRIM('Open Questions'!$A$35),1))-64)*26+(CODE(RIGHT(TRIM('Open Questions'!$A$35),1))-64),(CODE(LEFT(TRIM('Open Questions'!$A$35),1))-64)*676+(CODE(MID(TRIM('Open Questions'!$A$35),2,1))-64)*26+(CODE(RIGHT(TRIM('Open Questions'!$A$35),1))-64))),"")=""),"Column '"&amp;'Open Questions'!$A$35&amp;"' has no header on the Responses sheet, so there are no answers for Themefinder to analyse.","")</f>
        <v>0</v>
      </c>
      <c r="F88" s="4" t="s">
        <v>217</v>
      </c>
    </row>
    <row r="89" spans="1:6" ht="75" customHeight="1">
      <c r="A89" t="s">
        <v>216</v>
      </c>
      <c r="B89" t="s">
        <v>200</v>
      </c>
      <c r="C89" t="s">
        <v>164</v>
      </c>
      <c r="D89" t="s">
        <v>165</v>
      </c>
      <c r="E89" s="4">
        <f>IF(AND('Open Questions'!$A$36&lt;&gt;"",IFERROR(INDEX(Responses!$A$1:$XFD$1,1,CHOOSE(LEN(TRIM('Open Questions'!$A$36)),CODE(TRIM('Open Questions'!$A$36))-64,(CODE(LEFT(TRIM('Open Questions'!$A$36),1))-64)*26+(CODE(RIGHT(TRIM('Open Questions'!$A$36),1))-64),(CODE(LEFT(TRIM('Open Questions'!$A$36),1))-64)*676+(CODE(MID(TRIM('Open Questions'!$A$36),2,1))-64)*26+(CODE(RIGHT(TRIM('Open Questions'!$A$36),1))-64))),"")=""),"Column '"&amp;'Open Questions'!$A$36&amp;"' has no header on the Responses sheet, so there are no answers for Themefinder to analyse.","")</f>
        <v>0</v>
      </c>
      <c r="F89" s="4" t="s">
        <v>217</v>
      </c>
    </row>
    <row r="90" spans="1:6" ht="75" customHeight="1">
      <c r="A90" t="s">
        <v>216</v>
      </c>
      <c r="B90" t="s">
        <v>201</v>
      </c>
      <c r="C90" t="s">
        <v>164</v>
      </c>
      <c r="D90" t="s">
        <v>165</v>
      </c>
      <c r="E90" s="4">
        <f>IF(AND('Open Questions'!$A$37&lt;&gt;"",IFERROR(INDEX(Responses!$A$1:$XFD$1,1,CHOOSE(LEN(TRIM('Open Questions'!$A$37)),CODE(TRIM('Open Questions'!$A$37))-64,(CODE(LEFT(TRIM('Open Questions'!$A$37),1))-64)*26+(CODE(RIGHT(TRIM('Open Questions'!$A$37),1))-64),(CODE(LEFT(TRIM('Open Questions'!$A$37),1))-64)*676+(CODE(MID(TRIM('Open Questions'!$A$37),2,1))-64)*26+(CODE(RIGHT(TRIM('Open Questions'!$A$37),1))-64))),"")=""),"Column '"&amp;'Open Questions'!$A$37&amp;"' has no header on the Responses sheet, so there are no answers for Themefinder to analyse.","")</f>
        <v>0</v>
      </c>
      <c r="F90" s="4" t="s">
        <v>217</v>
      </c>
    </row>
    <row r="91" spans="1:6" ht="75" customHeight="1">
      <c r="A91" t="s">
        <v>216</v>
      </c>
      <c r="B91" t="s">
        <v>202</v>
      </c>
      <c r="C91" t="s">
        <v>164</v>
      </c>
      <c r="D91" t="s">
        <v>165</v>
      </c>
      <c r="E91" s="4">
        <f>IF(AND('Open Questions'!$A$38&lt;&gt;"",IFERROR(INDEX(Responses!$A$1:$XFD$1,1,CHOOSE(LEN(TRIM('Open Questions'!$A$38)),CODE(TRIM('Open Questions'!$A$38))-64,(CODE(LEFT(TRIM('Open Questions'!$A$38),1))-64)*26+(CODE(RIGHT(TRIM('Open Questions'!$A$38),1))-64),(CODE(LEFT(TRIM('Open Questions'!$A$38),1))-64)*676+(CODE(MID(TRIM('Open Questions'!$A$38),2,1))-64)*26+(CODE(RIGHT(TRIM('Open Questions'!$A$38),1))-64))),"")=""),"Column '"&amp;'Open Questions'!$A$38&amp;"' has no header on the Responses sheet, so there are no answers for Themefinder to analyse.","")</f>
        <v>0</v>
      </c>
      <c r="F91" s="4" t="s">
        <v>217</v>
      </c>
    </row>
    <row r="92" spans="1:6" ht="75" customHeight="1">
      <c r="A92" t="s">
        <v>216</v>
      </c>
      <c r="B92" t="s">
        <v>203</v>
      </c>
      <c r="C92" t="s">
        <v>164</v>
      </c>
      <c r="D92" t="s">
        <v>165</v>
      </c>
      <c r="E92" s="4">
        <f>IF(AND('Open Questions'!$A$39&lt;&gt;"",IFERROR(INDEX(Responses!$A$1:$XFD$1,1,CHOOSE(LEN(TRIM('Open Questions'!$A$39)),CODE(TRIM('Open Questions'!$A$39))-64,(CODE(LEFT(TRIM('Open Questions'!$A$39),1))-64)*26+(CODE(RIGHT(TRIM('Open Questions'!$A$39),1))-64),(CODE(LEFT(TRIM('Open Questions'!$A$39),1))-64)*676+(CODE(MID(TRIM('Open Questions'!$A$39),2,1))-64)*26+(CODE(RIGHT(TRIM('Open Questions'!$A$39),1))-64))),"")=""),"Column '"&amp;'Open Questions'!$A$39&amp;"' has no header on the Responses sheet, so there are no answers for Themefinder to analyse.","")</f>
        <v>0</v>
      </c>
      <c r="F92" s="4" t="s">
        <v>217</v>
      </c>
    </row>
    <row r="93" spans="1:6" ht="75" customHeight="1">
      <c r="A93" t="s">
        <v>216</v>
      </c>
      <c r="B93" t="s">
        <v>204</v>
      </c>
      <c r="C93" t="s">
        <v>164</v>
      </c>
      <c r="D93" t="s">
        <v>165</v>
      </c>
      <c r="E93" s="4">
        <f>IF(AND('Open Questions'!$A$40&lt;&gt;"",IFERROR(INDEX(Responses!$A$1:$XFD$1,1,CHOOSE(LEN(TRIM('Open Questions'!$A$40)),CODE(TRIM('Open Questions'!$A$40))-64,(CODE(LEFT(TRIM('Open Questions'!$A$40),1))-64)*26+(CODE(RIGHT(TRIM('Open Questions'!$A$40),1))-64),(CODE(LEFT(TRIM('Open Questions'!$A$40),1))-64)*676+(CODE(MID(TRIM('Open Questions'!$A$40),2,1))-64)*26+(CODE(RIGHT(TRIM('Open Questions'!$A$40),1))-64))),"")=""),"Column '"&amp;'Open Questions'!$A$40&amp;"' has no header on the Responses sheet, so there are no answers for Themefinder to analyse.","")</f>
        <v>0</v>
      </c>
      <c r="F93" s="4" t="s">
        <v>217</v>
      </c>
    </row>
    <row r="94" spans="1:6" ht="75" customHeight="1">
      <c r="A94" t="s">
        <v>216</v>
      </c>
      <c r="B94" t="s">
        <v>205</v>
      </c>
      <c r="C94" t="s">
        <v>164</v>
      </c>
      <c r="D94" t="s">
        <v>165</v>
      </c>
      <c r="E94" s="4">
        <f>IF(AND('Open Questions'!$A$41&lt;&gt;"",IFERROR(INDEX(Responses!$A$1:$XFD$1,1,CHOOSE(LEN(TRIM('Open Questions'!$A$41)),CODE(TRIM('Open Questions'!$A$41))-64,(CODE(LEFT(TRIM('Open Questions'!$A$41),1))-64)*26+(CODE(RIGHT(TRIM('Open Questions'!$A$41),1))-64),(CODE(LEFT(TRIM('Open Questions'!$A$41),1))-64)*676+(CODE(MID(TRIM('Open Questions'!$A$41),2,1))-64)*26+(CODE(RIGHT(TRIM('Open Questions'!$A$41),1))-64))),"")=""),"Column '"&amp;'Open Questions'!$A$41&amp;"' has no header on the Responses sheet, so there are no answers for Themefinder to analyse.","")</f>
        <v>0</v>
      </c>
      <c r="F94" s="4" t="s">
        <v>217</v>
      </c>
    </row>
    <row r="95" spans="1:6" ht="75" customHeight="1">
      <c r="A95" t="s">
        <v>216</v>
      </c>
      <c r="B95" t="s">
        <v>206</v>
      </c>
      <c r="C95" t="s">
        <v>164</v>
      </c>
      <c r="D95" t="s">
        <v>165</v>
      </c>
      <c r="E95" s="4">
        <f>IF(AND('Open Questions'!$A$42&lt;&gt;"",IFERROR(INDEX(Responses!$A$1:$XFD$1,1,CHOOSE(LEN(TRIM('Open Questions'!$A$42)),CODE(TRIM('Open Questions'!$A$42))-64,(CODE(LEFT(TRIM('Open Questions'!$A$42),1))-64)*26+(CODE(RIGHT(TRIM('Open Questions'!$A$42),1))-64),(CODE(LEFT(TRIM('Open Questions'!$A$42),1))-64)*676+(CODE(MID(TRIM('Open Questions'!$A$42),2,1))-64)*26+(CODE(RIGHT(TRIM('Open Questions'!$A$42),1))-64))),"")=""),"Column '"&amp;'Open Questions'!$A$42&amp;"' has no header on the Responses sheet, so there are no answers for Themefinder to analyse.","")</f>
        <v>0</v>
      </c>
      <c r="F95" s="4" t="s">
        <v>217</v>
      </c>
    </row>
    <row r="96" spans="1:6" ht="75" customHeight="1">
      <c r="A96" t="s">
        <v>216</v>
      </c>
      <c r="B96" t="s">
        <v>207</v>
      </c>
      <c r="C96" t="s">
        <v>164</v>
      </c>
      <c r="D96" t="s">
        <v>165</v>
      </c>
      <c r="E96" s="4">
        <f>IF(AND('Open Questions'!$A$43&lt;&gt;"",IFERROR(INDEX(Responses!$A$1:$XFD$1,1,CHOOSE(LEN(TRIM('Open Questions'!$A$43)),CODE(TRIM('Open Questions'!$A$43))-64,(CODE(LEFT(TRIM('Open Questions'!$A$43),1))-64)*26+(CODE(RIGHT(TRIM('Open Questions'!$A$43),1))-64),(CODE(LEFT(TRIM('Open Questions'!$A$43),1))-64)*676+(CODE(MID(TRIM('Open Questions'!$A$43),2,1))-64)*26+(CODE(RIGHT(TRIM('Open Questions'!$A$43),1))-64))),"")=""),"Column '"&amp;'Open Questions'!$A$43&amp;"' has no header on the Responses sheet, so there are no answers for Themefinder to analyse.","")</f>
        <v>0</v>
      </c>
      <c r="F96" s="4" t="s">
        <v>217</v>
      </c>
    </row>
    <row r="97" spans="1:6" ht="75" customHeight="1">
      <c r="A97" t="s">
        <v>216</v>
      </c>
      <c r="B97" t="s">
        <v>208</v>
      </c>
      <c r="C97" t="s">
        <v>164</v>
      </c>
      <c r="D97" t="s">
        <v>165</v>
      </c>
      <c r="E97" s="4">
        <f>IF(AND('Open Questions'!$A$44&lt;&gt;"",IFERROR(INDEX(Responses!$A$1:$XFD$1,1,CHOOSE(LEN(TRIM('Open Questions'!$A$44)),CODE(TRIM('Open Questions'!$A$44))-64,(CODE(LEFT(TRIM('Open Questions'!$A$44),1))-64)*26+(CODE(RIGHT(TRIM('Open Questions'!$A$44),1))-64),(CODE(LEFT(TRIM('Open Questions'!$A$44),1))-64)*676+(CODE(MID(TRIM('Open Questions'!$A$44),2,1))-64)*26+(CODE(RIGHT(TRIM('Open Questions'!$A$44),1))-64))),"")=""),"Column '"&amp;'Open Questions'!$A$44&amp;"' has no header on the Responses sheet, so there are no answers for Themefinder to analyse.","")</f>
        <v>0</v>
      </c>
      <c r="F97" s="4" t="s">
        <v>217</v>
      </c>
    </row>
    <row r="98" spans="1:6" ht="75" customHeight="1">
      <c r="A98" t="s">
        <v>216</v>
      </c>
      <c r="B98" t="s">
        <v>209</v>
      </c>
      <c r="C98" t="s">
        <v>164</v>
      </c>
      <c r="D98" t="s">
        <v>165</v>
      </c>
      <c r="E98" s="4">
        <f>IF(AND('Open Questions'!$A$45&lt;&gt;"",IFERROR(INDEX(Responses!$A$1:$XFD$1,1,CHOOSE(LEN(TRIM('Open Questions'!$A$45)),CODE(TRIM('Open Questions'!$A$45))-64,(CODE(LEFT(TRIM('Open Questions'!$A$45),1))-64)*26+(CODE(RIGHT(TRIM('Open Questions'!$A$45),1))-64),(CODE(LEFT(TRIM('Open Questions'!$A$45),1))-64)*676+(CODE(MID(TRIM('Open Questions'!$A$45),2,1))-64)*26+(CODE(RIGHT(TRIM('Open Questions'!$A$45),1))-64))),"")=""),"Column '"&amp;'Open Questions'!$A$45&amp;"' has no header on the Responses sheet, so there are no answers for Themefinder to analyse.","")</f>
        <v>0</v>
      </c>
      <c r="F98" s="4" t="s">
        <v>217</v>
      </c>
    </row>
    <row r="99" spans="1:6" ht="75" customHeight="1">
      <c r="A99" t="s">
        <v>216</v>
      </c>
      <c r="B99" t="s">
        <v>210</v>
      </c>
      <c r="C99" t="s">
        <v>164</v>
      </c>
      <c r="D99" t="s">
        <v>165</v>
      </c>
      <c r="E99" s="4">
        <f>IF(AND('Open Questions'!$A$46&lt;&gt;"",IFERROR(INDEX(Responses!$A$1:$XFD$1,1,CHOOSE(LEN(TRIM('Open Questions'!$A$46)),CODE(TRIM('Open Questions'!$A$46))-64,(CODE(LEFT(TRIM('Open Questions'!$A$46),1))-64)*26+(CODE(RIGHT(TRIM('Open Questions'!$A$46),1))-64),(CODE(LEFT(TRIM('Open Questions'!$A$46),1))-64)*676+(CODE(MID(TRIM('Open Questions'!$A$46),2,1))-64)*26+(CODE(RIGHT(TRIM('Open Questions'!$A$46),1))-64))),"")=""),"Column '"&amp;'Open Questions'!$A$46&amp;"' has no header on the Responses sheet, so there are no answers for Themefinder to analyse.","")</f>
        <v>0</v>
      </c>
      <c r="F99" s="4" t="s">
        <v>217</v>
      </c>
    </row>
    <row r="100" spans="1:6" ht="75" customHeight="1">
      <c r="A100" t="s">
        <v>216</v>
      </c>
      <c r="B100" t="s">
        <v>211</v>
      </c>
      <c r="C100" t="s">
        <v>164</v>
      </c>
      <c r="D100" t="s">
        <v>165</v>
      </c>
      <c r="E100" s="4">
        <f>IF(AND('Open Questions'!$A$47&lt;&gt;"",IFERROR(INDEX(Responses!$A$1:$XFD$1,1,CHOOSE(LEN(TRIM('Open Questions'!$A$47)),CODE(TRIM('Open Questions'!$A$47))-64,(CODE(LEFT(TRIM('Open Questions'!$A$47),1))-64)*26+(CODE(RIGHT(TRIM('Open Questions'!$A$47),1))-64),(CODE(LEFT(TRIM('Open Questions'!$A$47),1))-64)*676+(CODE(MID(TRIM('Open Questions'!$A$47),2,1))-64)*26+(CODE(RIGHT(TRIM('Open Questions'!$A$47),1))-64))),"")=""),"Column '"&amp;'Open Questions'!$A$47&amp;"' has no header on the Responses sheet, so there are no answers for Themefinder to analyse.","")</f>
        <v>0</v>
      </c>
      <c r="F100" s="4" t="s">
        <v>217</v>
      </c>
    </row>
    <row r="101" spans="1:6" ht="75" customHeight="1">
      <c r="A101" t="s">
        <v>216</v>
      </c>
      <c r="B101" t="s">
        <v>212</v>
      </c>
      <c r="C101" t="s">
        <v>164</v>
      </c>
      <c r="D101" t="s">
        <v>165</v>
      </c>
      <c r="E101" s="4">
        <f>IF(AND('Open Questions'!$A$48&lt;&gt;"",IFERROR(INDEX(Responses!$A$1:$XFD$1,1,CHOOSE(LEN(TRIM('Open Questions'!$A$48)),CODE(TRIM('Open Questions'!$A$48))-64,(CODE(LEFT(TRIM('Open Questions'!$A$48),1))-64)*26+(CODE(RIGHT(TRIM('Open Questions'!$A$48),1))-64),(CODE(LEFT(TRIM('Open Questions'!$A$48),1))-64)*676+(CODE(MID(TRIM('Open Questions'!$A$48),2,1))-64)*26+(CODE(RIGHT(TRIM('Open Questions'!$A$48),1))-64))),"")=""),"Column '"&amp;'Open Questions'!$A$48&amp;"' has no header on the Responses sheet, so there are no answers for Themefinder to analyse.","")</f>
        <v>0</v>
      </c>
      <c r="F101" s="4" t="s">
        <v>217</v>
      </c>
    </row>
    <row r="102" spans="1:6" ht="75" customHeight="1">
      <c r="A102" t="s">
        <v>216</v>
      </c>
      <c r="B102" t="s">
        <v>213</v>
      </c>
      <c r="C102" t="s">
        <v>164</v>
      </c>
      <c r="D102" t="s">
        <v>165</v>
      </c>
      <c r="E102" s="4">
        <f>IF(AND('Open Questions'!$A$49&lt;&gt;"",IFERROR(INDEX(Responses!$A$1:$XFD$1,1,CHOOSE(LEN(TRIM('Open Questions'!$A$49)),CODE(TRIM('Open Questions'!$A$49))-64,(CODE(LEFT(TRIM('Open Questions'!$A$49),1))-64)*26+(CODE(RIGHT(TRIM('Open Questions'!$A$49),1))-64),(CODE(LEFT(TRIM('Open Questions'!$A$49),1))-64)*676+(CODE(MID(TRIM('Open Questions'!$A$49),2,1))-64)*26+(CODE(RIGHT(TRIM('Open Questions'!$A$49),1))-64))),"")=""),"Column '"&amp;'Open Questions'!$A$49&amp;"' has no header on the Responses sheet, so there are no answers for Themefinder to analyse.","")</f>
        <v>0</v>
      </c>
      <c r="F102" s="4" t="s">
        <v>217</v>
      </c>
    </row>
    <row r="103" spans="1:6" ht="75" customHeight="1">
      <c r="A103" t="s">
        <v>216</v>
      </c>
      <c r="B103" t="s">
        <v>214</v>
      </c>
      <c r="C103" t="s">
        <v>164</v>
      </c>
      <c r="D103" t="s">
        <v>165</v>
      </c>
      <c r="E103" s="4">
        <f>IF(AND('Open Questions'!$A$50&lt;&gt;"",IFERROR(INDEX(Responses!$A$1:$XFD$1,1,CHOOSE(LEN(TRIM('Open Questions'!$A$50)),CODE(TRIM('Open Questions'!$A$50))-64,(CODE(LEFT(TRIM('Open Questions'!$A$50),1))-64)*26+(CODE(RIGHT(TRIM('Open Questions'!$A$50),1))-64),(CODE(LEFT(TRIM('Open Questions'!$A$50),1))-64)*676+(CODE(MID(TRIM('Open Questions'!$A$50),2,1))-64)*26+(CODE(RIGHT(TRIM('Open Questions'!$A$50),1))-64))),"")=""),"Column '"&amp;'Open Questions'!$A$50&amp;"' has no header on the Responses sheet, so there are no answers for Themefinder to analyse.","")</f>
        <v>0</v>
      </c>
      <c r="F103" s="4" t="s">
        <v>217</v>
      </c>
    </row>
    <row r="104" spans="1:6" ht="75" customHeight="1">
      <c r="A104" t="s">
        <v>216</v>
      </c>
      <c r="B104" t="s">
        <v>215</v>
      </c>
      <c r="C104" t="s">
        <v>164</v>
      </c>
      <c r="D104" t="s">
        <v>165</v>
      </c>
      <c r="E104" s="4">
        <f>IF(AND('Open Questions'!$A$51&lt;&gt;"",IFERROR(INDEX(Responses!$A$1:$XFD$1,1,CHOOSE(LEN(TRIM('Open Questions'!$A$51)),CODE(TRIM('Open Questions'!$A$51))-64,(CODE(LEFT(TRIM('Open Questions'!$A$51),1))-64)*26+(CODE(RIGHT(TRIM('Open Questions'!$A$51),1))-64),(CODE(LEFT(TRIM('Open Questions'!$A$51),1))-64)*676+(CODE(MID(TRIM('Open Questions'!$A$51),2,1))-64)*26+(CODE(RIGHT(TRIM('Open Questions'!$A$51),1))-64))),"")=""),"Column '"&amp;'Open Questions'!$A$51&amp;"' has no header on the Responses sheet, so there are no answers for Themefinder to analyse.","")</f>
        <v>0</v>
      </c>
      <c r="F104" s="4" t="s">
        <v>217</v>
      </c>
    </row>
    <row r="105" spans="1:6" ht="75" customHeight="1">
      <c r="A105" t="s">
        <v>218</v>
      </c>
      <c r="B105" t="s">
        <v>163</v>
      </c>
      <c r="C105" t="s">
        <v>164</v>
      </c>
      <c r="D105" t="s">
        <v>165</v>
      </c>
      <c r="E105" s="4">
        <f>IF(AND('Multiple Choice Questions'!$A$2&lt;&gt;"",IFERROR(INDEX(Responses!$A$1:$XFD$1,1,CHOOSE(LEN(TRIM('Multiple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Questions'!$A$2),1))-64))),"")=""),"Column '"&amp;'Multiple Choice Questions'!$A$2&amp;"' has no header on the Responses sheet, so there are no answers for Themefinder to analyse.","")</f>
        <v>0</v>
      </c>
      <c r="F105" s="4" t="s">
        <v>217</v>
      </c>
    </row>
    <row r="106" spans="1:6" ht="75" customHeight="1">
      <c r="A106" t="s">
        <v>218</v>
      </c>
      <c r="B106" t="s">
        <v>167</v>
      </c>
      <c r="C106" t="s">
        <v>164</v>
      </c>
      <c r="D106" t="s">
        <v>165</v>
      </c>
      <c r="E106" s="4">
        <f>IF(AND('Multiple Choice Questions'!$A$3&lt;&gt;"",IFERROR(INDEX(Responses!$A$1:$XFD$1,1,CHOOSE(LEN(TRIM('Multiple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Questions'!$A$3),1))-64))),"")=""),"Column '"&amp;'Multiple Choice Questions'!$A$3&amp;"' has no header on the Responses sheet, so there are no answers for Themefinder to analyse.","")</f>
        <v>0</v>
      </c>
      <c r="F106" s="4" t="s">
        <v>217</v>
      </c>
    </row>
    <row r="107" spans="1:6" ht="75" customHeight="1">
      <c r="A107" t="s">
        <v>218</v>
      </c>
      <c r="B107" t="s">
        <v>168</v>
      </c>
      <c r="C107" t="s">
        <v>164</v>
      </c>
      <c r="D107" t="s">
        <v>165</v>
      </c>
      <c r="E107" s="4">
        <f>IF(AND('Multiple Choice Questions'!$A$4&lt;&gt;"",IFERROR(INDEX(Responses!$A$1:$XFD$1,1,CHOOSE(LEN(TRIM('Multiple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Questions'!$A$4),1))-64))),"")=""),"Column '"&amp;'Multiple Choice Questions'!$A$4&amp;"' has no header on the Responses sheet, so there are no answers for Themefinder to analyse.","")</f>
        <v>0</v>
      </c>
      <c r="F107" s="4" t="s">
        <v>217</v>
      </c>
    </row>
    <row r="108" spans="1:6" ht="75" customHeight="1">
      <c r="A108" t="s">
        <v>218</v>
      </c>
      <c r="B108" t="s">
        <v>169</v>
      </c>
      <c r="C108" t="s">
        <v>164</v>
      </c>
      <c r="D108" t="s">
        <v>165</v>
      </c>
      <c r="E108" s="4">
        <f>IF(AND('Multiple Choice Questions'!$A$5&lt;&gt;"",IFERROR(INDEX(Responses!$A$1:$XFD$1,1,CHOOSE(LEN(TRIM('Multiple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Questions'!$A$5),1))-64))),"")=""),"Column '"&amp;'Multiple Choice Questions'!$A$5&amp;"' has no header on the Responses sheet, so there are no answers for Themefinder to analyse.","")</f>
        <v>0</v>
      </c>
      <c r="F108" s="4" t="s">
        <v>217</v>
      </c>
    </row>
    <row r="109" spans="1:6" ht="75" customHeight="1">
      <c r="A109" t="s">
        <v>218</v>
      </c>
      <c r="B109" t="s">
        <v>170</v>
      </c>
      <c r="C109" t="s">
        <v>164</v>
      </c>
      <c r="D109" t="s">
        <v>165</v>
      </c>
      <c r="E109" s="4">
        <f>IF(AND('Multiple Choice Questions'!$A$6&lt;&gt;"",IFERROR(INDEX(Responses!$A$1:$XFD$1,1,CHOOSE(LEN(TRIM('Multiple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Questions'!$A$6),1))-64))),"")=""),"Column '"&amp;'Multiple Choice Questions'!$A$6&amp;"' has no header on the Responses sheet, so there are no answers for Themefinder to analyse.","")</f>
        <v>0</v>
      </c>
      <c r="F109" s="4" t="s">
        <v>217</v>
      </c>
    </row>
    <row r="110" spans="1:6" ht="75" customHeight="1">
      <c r="A110" t="s">
        <v>218</v>
      </c>
      <c r="B110" t="s">
        <v>171</v>
      </c>
      <c r="C110" t="s">
        <v>164</v>
      </c>
      <c r="D110" t="s">
        <v>165</v>
      </c>
      <c r="E110" s="4">
        <f>IF(AND('Multiple Choice Questions'!$A$7&lt;&gt;"",IFERROR(INDEX(Responses!$A$1:$XFD$1,1,CHOOSE(LEN(TRIM('Multiple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Questions'!$A$7),1))-64))),"")=""),"Column '"&amp;'Multiple Choice Questions'!$A$7&amp;"' has no header on the Responses sheet, so there are no answers for Themefinder to analyse.","")</f>
        <v>0</v>
      </c>
      <c r="F110" s="4" t="s">
        <v>217</v>
      </c>
    </row>
    <row r="111" spans="1:6" ht="75" customHeight="1">
      <c r="A111" t="s">
        <v>218</v>
      </c>
      <c r="B111" t="s">
        <v>172</v>
      </c>
      <c r="C111" t="s">
        <v>164</v>
      </c>
      <c r="D111" t="s">
        <v>165</v>
      </c>
      <c r="E111" s="4">
        <f>IF(AND('Multiple Choice Questions'!$A$8&lt;&gt;"",IFERROR(INDEX(Responses!$A$1:$XFD$1,1,CHOOSE(LEN(TRIM('Multiple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Questions'!$A$8),1))-64))),"")=""),"Column '"&amp;'Multiple Choice Questions'!$A$8&amp;"' has no header on the Responses sheet, so there are no answers for Themefinder to analyse.","")</f>
        <v>0</v>
      </c>
      <c r="F111" s="4" t="s">
        <v>217</v>
      </c>
    </row>
    <row r="112" spans="1:6" ht="75" customHeight="1">
      <c r="A112" t="s">
        <v>218</v>
      </c>
      <c r="B112" t="s">
        <v>173</v>
      </c>
      <c r="C112" t="s">
        <v>164</v>
      </c>
      <c r="D112" t="s">
        <v>165</v>
      </c>
      <c r="E112" s="4">
        <f>IF(AND('Multiple Choice Questions'!$A$9&lt;&gt;"",IFERROR(INDEX(Responses!$A$1:$XFD$1,1,CHOOSE(LEN(TRIM('Multiple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Questions'!$A$9),1))-64))),"")=""),"Column '"&amp;'Multiple Choice Questions'!$A$9&amp;"' has no header on the Responses sheet, so there are no answers for Themefinder to analyse.","")</f>
        <v>0</v>
      </c>
      <c r="F112" s="4" t="s">
        <v>217</v>
      </c>
    </row>
    <row r="113" spans="1:6" ht="75" customHeight="1">
      <c r="A113" t="s">
        <v>218</v>
      </c>
      <c r="B113" t="s">
        <v>174</v>
      </c>
      <c r="C113" t="s">
        <v>164</v>
      </c>
      <c r="D113" t="s">
        <v>165</v>
      </c>
      <c r="E113" s="4">
        <f>IF(AND('Multiple Choice Questions'!$A$10&lt;&gt;"",IFERROR(INDEX(Responses!$A$1:$XFD$1,1,CHOOSE(LEN(TRIM('Multiple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Questions'!$A$10),1))-64))),"")=""),"Column '"&amp;'Multiple Choice Questions'!$A$10&amp;"' has no header on the Responses sheet, so there are no answers for Themefinder to analyse.","")</f>
        <v>0</v>
      </c>
      <c r="F113" s="4" t="s">
        <v>217</v>
      </c>
    </row>
    <row r="114" spans="1:6" ht="75" customHeight="1">
      <c r="A114" t="s">
        <v>218</v>
      </c>
      <c r="B114" t="s">
        <v>175</v>
      </c>
      <c r="C114" t="s">
        <v>164</v>
      </c>
      <c r="D114" t="s">
        <v>165</v>
      </c>
      <c r="E114" s="4">
        <f>IF(AND('Multiple Choice Questions'!$A$11&lt;&gt;"",IFERROR(INDEX(Responses!$A$1:$XFD$1,1,CHOOSE(LEN(TRIM('Multiple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Questions'!$A$11),1))-64))),"")=""),"Column '"&amp;'Multiple Choice Questions'!$A$11&amp;"' has no header on the Responses sheet, so there are no answers for Themefinder to analyse.","")</f>
        <v>0</v>
      </c>
      <c r="F114" s="4" t="s">
        <v>217</v>
      </c>
    </row>
    <row r="115" spans="1:6" ht="75" customHeight="1">
      <c r="A115" t="s">
        <v>218</v>
      </c>
      <c r="B115" t="s">
        <v>176</v>
      </c>
      <c r="C115" t="s">
        <v>164</v>
      </c>
      <c r="D115" t="s">
        <v>165</v>
      </c>
      <c r="E115" s="4">
        <f>IF(AND('Multiple Choice Questions'!$A$12&lt;&gt;"",IFERROR(INDEX(Responses!$A$1:$XFD$1,1,CHOOSE(LEN(TRIM('Multiple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Questions'!$A$12),1))-64))),"")=""),"Column '"&amp;'Multiple Choice Questions'!$A$12&amp;"' has no header on the Responses sheet, so there are no answers for Themefinder to analyse.","")</f>
        <v>0</v>
      </c>
      <c r="F115" s="4" t="s">
        <v>217</v>
      </c>
    </row>
    <row r="116" spans="1:6" ht="75" customHeight="1">
      <c r="A116" t="s">
        <v>218</v>
      </c>
      <c r="B116" t="s">
        <v>177</v>
      </c>
      <c r="C116" t="s">
        <v>164</v>
      </c>
      <c r="D116" t="s">
        <v>165</v>
      </c>
      <c r="E116" s="4">
        <f>IF(AND('Multiple Choice Questions'!$A$13&lt;&gt;"",IFERROR(INDEX(Responses!$A$1:$XFD$1,1,CHOOSE(LEN(TRIM('Multiple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Questions'!$A$13),1))-64))),"")=""),"Column '"&amp;'Multiple Choice Questions'!$A$13&amp;"' has no header on the Responses sheet, so there are no answers for Themefinder to analyse.","")</f>
        <v>0</v>
      </c>
      <c r="F116" s="4" t="s">
        <v>217</v>
      </c>
    </row>
    <row r="117" spans="1:6" ht="75" customHeight="1">
      <c r="A117" t="s">
        <v>218</v>
      </c>
      <c r="B117" t="s">
        <v>178</v>
      </c>
      <c r="C117" t="s">
        <v>164</v>
      </c>
      <c r="D117" t="s">
        <v>165</v>
      </c>
      <c r="E117" s="4">
        <f>IF(AND('Multiple Choice Questions'!$A$14&lt;&gt;"",IFERROR(INDEX(Responses!$A$1:$XFD$1,1,CHOOSE(LEN(TRIM('Multiple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Questions'!$A$14),1))-64))),"")=""),"Column '"&amp;'Multiple Choice Questions'!$A$14&amp;"' has no header on the Responses sheet, so there are no answers for Themefinder to analyse.","")</f>
        <v>0</v>
      </c>
      <c r="F117" s="4" t="s">
        <v>217</v>
      </c>
    </row>
    <row r="118" spans="1:6" ht="75" customHeight="1">
      <c r="A118" t="s">
        <v>218</v>
      </c>
      <c r="B118" t="s">
        <v>179</v>
      </c>
      <c r="C118" t="s">
        <v>164</v>
      </c>
      <c r="D118" t="s">
        <v>165</v>
      </c>
      <c r="E118" s="4">
        <f>IF(AND('Multiple Choice Questions'!$A$15&lt;&gt;"",IFERROR(INDEX(Responses!$A$1:$XFD$1,1,CHOOSE(LEN(TRIM('Multiple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Questions'!$A$15),1))-64))),"")=""),"Column '"&amp;'Multiple Choice Questions'!$A$15&amp;"' has no header on the Responses sheet, so there are no answers for Themefinder to analyse.","")</f>
        <v>0</v>
      </c>
      <c r="F118" s="4" t="s">
        <v>217</v>
      </c>
    </row>
    <row r="119" spans="1:6" ht="75" customHeight="1">
      <c r="A119" t="s">
        <v>218</v>
      </c>
      <c r="B119" t="s">
        <v>180</v>
      </c>
      <c r="C119" t="s">
        <v>164</v>
      </c>
      <c r="D119" t="s">
        <v>165</v>
      </c>
      <c r="E119" s="4">
        <f>IF(AND('Multiple Choice Questions'!$A$16&lt;&gt;"",IFERROR(INDEX(Responses!$A$1:$XFD$1,1,CHOOSE(LEN(TRIM('Multiple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Questions'!$A$16),1))-64))),"")=""),"Column '"&amp;'Multiple Choice Questions'!$A$16&amp;"' has no header on the Responses sheet, so there are no answers for Themefinder to analyse.","")</f>
        <v>0</v>
      </c>
      <c r="F119" s="4" t="s">
        <v>217</v>
      </c>
    </row>
    <row r="120" spans="1:6" ht="75" customHeight="1">
      <c r="A120" t="s">
        <v>218</v>
      </c>
      <c r="B120" t="s">
        <v>181</v>
      </c>
      <c r="C120" t="s">
        <v>164</v>
      </c>
      <c r="D120" t="s">
        <v>165</v>
      </c>
      <c r="E120" s="4">
        <f>IF(AND('Multiple Choice Questions'!$A$17&lt;&gt;"",IFERROR(INDEX(Responses!$A$1:$XFD$1,1,CHOOSE(LEN(TRIM('Multiple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Questions'!$A$17),1))-64))),"")=""),"Column '"&amp;'Multiple Choice Questions'!$A$17&amp;"' has no header on the Responses sheet, so there are no answers for Themefinder to analyse.","")</f>
        <v>0</v>
      </c>
      <c r="F120" s="4" t="s">
        <v>217</v>
      </c>
    </row>
    <row r="121" spans="1:6" ht="75" customHeight="1">
      <c r="A121" t="s">
        <v>218</v>
      </c>
      <c r="B121" t="s">
        <v>182</v>
      </c>
      <c r="C121" t="s">
        <v>164</v>
      </c>
      <c r="D121" t="s">
        <v>165</v>
      </c>
      <c r="E121" s="4">
        <f>IF(AND('Multiple Choice Questions'!$A$18&lt;&gt;"",IFERROR(INDEX(Responses!$A$1:$XFD$1,1,CHOOSE(LEN(TRIM('Multiple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Questions'!$A$18),1))-64))),"")=""),"Column '"&amp;'Multiple Choice Questions'!$A$18&amp;"' has no header on the Responses sheet, so there are no answers for Themefinder to analyse.","")</f>
        <v>0</v>
      </c>
      <c r="F121" s="4" t="s">
        <v>217</v>
      </c>
    </row>
    <row r="122" spans="1:6" ht="75" customHeight="1">
      <c r="A122" t="s">
        <v>218</v>
      </c>
      <c r="B122" t="s">
        <v>183</v>
      </c>
      <c r="C122" t="s">
        <v>164</v>
      </c>
      <c r="D122" t="s">
        <v>165</v>
      </c>
      <c r="E122" s="4">
        <f>IF(AND('Multiple Choice Questions'!$A$19&lt;&gt;"",IFERROR(INDEX(Responses!$A$1:$XFD$1,1,CHOOSE(LEN(TRIM('Multiple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Questions'!$A$19),1))-64))),"")=""),"Column '"&amp;'Multiple Choice Questions'!$A$19&amp;"' has no header on the Responses sheet, so there are no answers for Themefinder to analyse.","")</f>
        <v>0</v>
      </c>
      <c r="F122" s="4" t="s">
        <v>217</v>
      </c>
    </row>
    <row r="123" spans="1:6" ht="75" customHeight="1">
      <c r="A123" t="s">
        <v>218</v>
      </c>
      <c r="B123" t="s">
        <v>184</v>
      </c>
      <c r="C123" t="s">
        <v>164</v>
      </c>
      <c r="D123" t="s">
        <v>165</v>
      </c>
      <c r="E123" s="4">
        <f>IF(AND('Multiple Choice Questions'!$A$20&lt;&gt;"",IFERROR(INDEX(Responses!$A$1:$XFD$1,1,CHOOSE(LEN(TRIM('Multiple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Questions'!$A$20),1))-64))),"")=""),"Column '"&amp;'Multiple Choice Questions'!$A$20&amp;"' has no header on the Responses sheet, so there are no answers for Themefinder to analyse.","")</f>
        <v>0</v>
      </c>
      <c r="F123" s="4" t="s">
        <v>217</v>
      </c>
    </row>
    <row r="124" spans="1:6" ht="75" customHeight="1">
      <c r="A124" t="s">
        <v>218</v>
      </c>
      <c r="B124" t="s">
        <v>185</v>
      </c>
      <c r="C124" t="s">
        <v>164</v>
      </c>
      <c r="D124" t="s">
        <v>165</v>
      </c>
      <c r="E124" s="4">
        <f>IF(AND('Multiple Choice Questions'!$A$21&lt;&gt;"",IFERROR(INDEX(Responses!$A$1:$XFD$1,1,CHOOSE(LEN(TRIM('Multiple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Questions'!$A$21),1))-64))),"")=""),"Column '"&amp;'Multiple Choice Questions'!$A$21&amp;"' has no header on the Responses sheet, so there are no answers for Themefinder to analyse.","")</f>
        <v>0</v>
      </c>
      <c r="F124" s="4" t="s">
        <v>217</v>
      </c>
    </row>
    <row r="125" spans="1:6" ht="75" customHeight="1">
      <c r="A125" t="s">
        <v>218</v>
      </c>
      <c r="B125" t="s">
        <v>186</v>
      </c>
      <c r="C125" t="s">
        <v>164</v>
      </c>
      <c r="D125" t="s">
        <v>165</v>
      </c>
      <c r="E125" s="4">
        <f>IF(AND('Multiple Choice Questions'!$A$22&lt;&gt;"",IFERROR(INDEX(Responses!$A$1:$XFD$1,1,CHOOSE(LEN(TRIM('Multiple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Questions'!$A$22),1))-64))),"")=""),"Column '"&amp;'Multiple Choice Questions'!$A$22&amp;"' has no header on the Responses sheet, so there are no answers for Themefinder to analyse.","")</f>
        <v>0</v>
      </c>
      <c r="F125" s="4" t="s">
        <v>217</v>
      </c>
    </row>
    <row r="126" spans="1:6" ht="75" customHeight="1">
      <c r="A126" t="s">
        <v>218</v>
      </c>
      <c r="B126" t="s">
        <v>187</v>
      </c>
      <c r="C126" t="s">
        <v>164</v>
      </c>
      <c r="D126" t="s">
        <v>165</v>
      </c>
      <c r="E126" s="4">
        <f>IF(AND('Multiple Choice Questions'!$A$23&lt;&gt;"",IFERROR(INDEX(Responses!$A$1:$XFD$1,1,CHOOSE(LEN(TRIM('Multiple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Questions'!$A$23),1))-64))),"")=""),"Column '"&amp;'Multiple Choice Questions'!$A$23&amp;"' has no header on the Responses sheet, so there are no answers for Themefinder to analyse.","")</f>
        <v>0</v>
      </c>
      <c r="F126" s="4" t="s">
        <v>217</v>
      </c>
    </row>
    <row r="127" spans="1:6" ht="75" customHeight="1">
      <c r="A127" t="s">
        <v>218</v>
      </c>
      <c r="B127" t="s">
        <v>188</v>
      </c>
      <c r="C127" t="s">
        <v>164</v>
      </c>
      <c r="D127" t="s">
        <v>165</v>
      </c>
      <c r="E127" s="4">
        <f>IF(AND('Multiple Choice Questions'!$A$24&lt;&gt;"",IFERROR(INDEX(Responses!$A$1:$XFD$1,1,CHOOSE(LEN(TRIM('Multiple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Questions'!$A$24),1))-64))),"")=""),"Column '"&amp;'Multiple Choice Questions'!$A$24&amp;"' has no header on the Responses sheet, so there are no answers for Themefinder to analyse.","")</f>
        <v>0</v>
      </c>
      <c r="F127" s="4" t="s">
        <v>217</v>
      </c>
    </row>
    <row r="128" spans="1:6" ht="75" customHeight="1">
      <c r="A128" t="s">
        <v>218</v>
      </c>
      <c r="B128" t="s">
        <v>189</v>
      </c>
      <c r="C128" t="s">
        <v>164</v>
      </c>
      <c r="D128" t="s">
        <v>165</v>
      </c>
      <c r="E128" s="4">
        <f>IF(AND('Multiple Choice Questions'!$A$25&lt;&gt;"",IFERROR(INDEX(Responses!$A$1:$XFD$1,1,CHOOSE(LEN(TRIM('Multiple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Questions'!$A$25),1))-64))),"")=""),"Column '"&amp;'Multiple Choice Questions'!$A$25&amp;"' has no header on the Responses sheet, so there are no answers for Themefinder to analyse.","")</f>
        <v>0</v>
      </c>
      <c r="F128" s="4" t="s">
        <v>217</v>
      </c>
    </row>
    <row r="129" spans="1:6" ht="75" customHeight="1">
      <c r="A129" t="s">
        <v>218</v>
      </c>
      <c r="B129" t="s">
        <v>190</v>
      </c>
      <c r="C129" t="s">
        <v>164</v>
      </c>
      <c r="D129" t="s">
        <v>165</v>
      </c>
      <c r="E129" s="4">
        <f>IF(AND('Multiple Choice Questions'!$A$26&lt;&gt;"",IFERROR(INDEX(Responses!$A$1:$XFD$1,1,CHOOSE(LEN(TRIM('Multiple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Questions'!$A$26),1))-64))),"")=""),"Column '"&amp;'Multiple Choice Questions'!$A$26&amp;"' has no header on the Responses sheet, so there are no answers for Themefinder to analyse.","")</f>
        <v>0</v>
      </c>
      <c r="F129" s="4" t="s">
        <v>217</v>
      </c>
    </row>
    <row r="130" spans="1:6" ht="75" customHeight="1">
      <c r="A130" t="s">
        <v>218</v>
      </c>
      <c r="B130" t="s">
        <v>191</v>
      </c>
      <c r="C130" t="s">
        <v>164</v>
      </c>
      <c r="D130" t="s">
        <v>165</v>
      </c>
      <c r="E130" s="4">
        <f>IF(AND('Multiple Choice Questions'!$A$27&lt;&gt;"",IFERROR(INDEX(Responses!$A$1:$XFD$1,1,CHOOSE(LEN(TRIM('Multiple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Questions'!$A$27),1))-64))),"")=""),"Column '"&amp;'Multiple Choice Questions'!$A$27&amp;"' has no header on the Responses sheet, so there are no answers for Themefinder to analyse.","")</f>
        <v>0</v>
      </c>
      <c r="F130" s="4" t="s">
        <v>217</v>
      </c>
    </row>
    <row r="131" spans="1:6" ht="75" customHeight="1">
      <c r="A131" t="s">
        <v>218</v>
      </c>
      <c r="B131" t="s">
        <v>192</v>
      </c>
      <c r="C131" t="s">
        <v>164</v>
      </c>
      <c r="D131" t="s">
        <v>165</v>
      </c>
      <c r="E131" s="4">
        <f>IF(AND('Multiple Choice Questions'!$A$28&lt;&gt;"",IFERROR(INDEX(Responses!$A$1:$XFD$1,1,CHOOSE(LEN(TRIM('Multiple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Questions'!$A$28),1))-64))),"")=""),"Column '"&amp;'Multiple Choice Questions'!$A$28&amp;"' has no header on the Responses sheet, so there are no answers for Themefinder to analyse.","")</f>
        <v>0</v>
      </c>
      <c r="F131" s="4" t="s">
        <v>217</v>
      </c>
    </row>
    <row r="132" spans="1:6" ht="75" customHeight="1">
      <c r="A132" t="s">
        <v>218</v>
      </c>
      <c r="B132" t="s">
        <v>193</v>
      </c>
      <c r="C132" t="s">
        <v>164</v>
      </c>
      <c r="D132" t="s">
        <v>165</v>
      </c>
      <c r="E132" s="4">
        <f>IF(AND('Multiple Choice Questions'!$A$29&lt;&gt;"",IFERROR(INDEX(Responses!$A$1:$XFD$1,1,CHOOSE(LEN(TRIM('Multiple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Questions'!$A$29),1))-64))),"")=""),"Column '"&amp;'Multiple Choice Questions'!$A$29&amp;"' has no header on the Responses sheet, so there are no answers for Themefinder to analyse.","")</f>
        <v>0</v>
      </c>
      <c r="F132" s="4" t="s">
        <v>217</v>
      </c>
    </row>
    <row r="133" spans="1:6" ht="75" customHeight="1">
      <c r="A133" t="s">
        <v>218</v>
      </c>
      <c r="B133" t="s">
        <v>194</v>
      </c>
      <c r="C133" t="s">
        <v>164</v>
      </c>
      <c r="D133" t="s">
        <v>165</v>
      </c>
      <c r="E133" s="4">
        <f>IF(AND('Multiple Choice Questions'!$A$30&lt;&gt;"",IFERROR(INDEX(Responses!$A$1:$XFD$1,1,CHOOSE(LEN(TRIM('Multiple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Questions'!$A$30),1))-64))),"")=""),"Column '"&amp;'Multiple Choice Questions'!$A$30&amp;"' has no header on the Responses sheet, so there are no answers for Themefinder to analyse.","")</f>
        <v>0</v>
      </c>
      <c r="F133" s="4" t="s">
        <v>217</v>
      </c>
    </row>
    <row r="134" spans="1:6" ht="75" customHeight="1">
      <c r="A134" t="s">
        <v>218</v>
      </c>
      <c r="B134" t="s">
        <v>195</v>
      </c>
      <c r="C134" t="s">
        <v>164</v>
      </c>
      <c r="D134" t="s">
        <v>165</v>
      </c>
      <c r="E134" s="4">
        <f>IF(AND('Multiple Choice Questions'!$A$31&lt;&gt;"",IFERROR(INDEX(Responses!$A$1:$XFD$1,1,CHOOSE(LEN(TRIM('Multiple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Questions'!$A$31),1))-64))),"")=""),"Column '"&amp;'Multiple Choice Questions'!$A$31&amp;"' has no header on the Responses sheet, so there are no answers for Themefinder to analyse.","")</f>
        <v>0</v>
      </c>
      <c r="F134" s="4" t="s">
        <v>217</v>
      </c>
    </row>
    <row r="135" spans="1:6" ht="75" customHeight="1">
      <c r="A135" t="s">
        <v>218</v>
      </c>
      <c r="B135" t="s">
        <v>196</v>
      </c>
      <c r="C135" t="s">
        <v>164</v>
      </c>
      <c r="D135" t="s">
        <v>165</v>
      </c>
      <c r="E135" s="4">
        <f>IF(AND('Multiple Choice Questions'!$A$32&lt;&gt;"",IFERROR(INDEX(Responses!$A$1:$XFD$1,1,CHOOSE(LEN(TRIM('Multiple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Questions'!$A$32),1))-64))),"")=""),"Column '"&amp;'Multiple Choice Questions'!$A$32&amp;"' has no header on the Responses sheet, so there are no answers for Themefinder to analyse.","")</f>
        <v>0</v>
      </c>
      <c r="F135" s="4" t="s">
        <v>217</v>
      </c>
    </row>
    <row r="136" spans="1:6" ht="75" customHeight="1">
      <c r="A136" t="s">
        <v>218</v>
      </c>
      <c r="B136" t="s">
        <v>197</v>
      </c>
      <c r="C136" t="s">
        <v>164</v>
      </c>
      <c r="D136" t="s">
        <v>165</v>
      </c>
      <c r="E136" s="4">
        <f>IF(AND('Multiple Choice Questions'!$A$33&lt;&gt;"",IFERROR(INDEX(Responses!$A$1:$XFD$1,1,CHOOSE(LEN(TRIM('Multiple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Questions'!$A$33),1))-64))),"")=""),"Column '"&amp;'Multiple Choice Questions'!$A$33&amp;"' has no header on the Responses sheet, so there are no answers for Themefinder to analyse.","")</f>
        <v>0</v>
      </c>
      <c r="F136" s="4" t="s">
        <v>217</v>
      </c>
    </row>
    <row r="137" spans="1:6" ht="75" customHeight="1">
      <c r="A137" t="s">
        <v>218</v>
      </c>
      <c r="B137" t="s">
        <v>198</v>
      </c>
      <c r="C137" t="s">
        <v>164</v>
      </c>
      <c r="D137" t="s">
        <v>165</v>
      </c>
      <c r="E137" s="4">
        <f>IF(AND('Multiple Choice Questions'!$A$34&lt;&gt;"",IFERROR(INDEX(Responses!$A$1:$XFD$1,1,CHOOSE(LEN(TRIM('Multiple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Questions'!$A$34),1))-64))),"")=""),"Column '"&amp;'Multiple Choice Questions'!$A$34&amp;"' has no header on the Responses sheet, so there are no answers for Themefinder to analyse.","")</f>
        <v>0</v>
      </c>
      <c r="F137" s="4" t="s">
        <v>217</v>
      </c>
    </row>
    <row r="138" spans="1:6" ht="75" customHeight="1">
      <c r="A138" t="s">
        <v>218</v>
      </c>
      <c r="B138" t="s">
        <v>199</v>
      </c>
      <c r="C138" t="s">
        <v>164</v>
      </c>
      <c r="D138" t="s">
        <v>165</v>
      </c>
      <c r="E138" s="4">
        <f>IF(AND('Multiple Choice Questions'!$A$35&lt;&gt;"",IFERROR(INDEX(Responses!$A$1:$XFD$1,1,CHOOSE(LEN(TRIM('Multiple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Questions'!$A$35),1))-64))),"")=""),"Column '"&amp;'Multiple Choice Questions'!$A$35&amp;"' has no header on the Responses sheet, so there are no answers for Themefinder to analyse.","")</f>
        <v>0</v>
      </c>
      <c r="F138" s="4" t="s">
        <v>217</v>
      </c>
    </row>
    <row r="139" spans="1:6" ht="75" customHeight="1">
      <c r="A139" t="s">
        <v>218</v>
      </c>
      <c r="B139" t="s">
        <v>200</v>
      </c>
      <c r="C139" t="s">
        <v>164</v>
      </c>
      <c r="D139" t="s">
        <v>165</v>
      </c>
      <c r="E139" s="4">
        <f>IF(AND('Multiple Choice Questions'!$A$36&lt;&gt;"",IFERROR(INDEX(Responses!$A$1:$XFD$1,1,CHOOSE(LEN(TRIM('Multiple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Questions'!$A$36),1))-64))),"")=""),"Column '"&amp;'Multiple Choice Questions'!$A$36&amp;"' has no header on the Responses sheet, so there are no answers for Themefinder to analyse.","")</f>
        <v>0</v>
      </c>
      <c r="F139" s="4" t="s">
        <v>217</v>
      </c>
    </row>
    <row r="140" spans="1:6" ht="75" customHeight="1">
      <c r="A140" t="s">
        <v>218</v>
      </c>
      <c r="B140" t="s">
        <v>201</v>
      </c>
      <c r="C140" t="s">
        <v>164</v>
      </c>
      <c r="D140" t="s">
        <v>165</v>
      </c>
      <c r="E140" s="4">
        <f>IF(AND('Multiple Choice Questions'!$A$37&lt;&gt;"",IFERROR(INDEX(Responses!$A$1:$XFD$1,1,CHOOSE(LEN(TRIM('Multiple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Questions'!$A$37),1))-64))),"")=""),"Column '"&amp;'Multiple Choice Questions'!$A$37&amp;"' has no header on the Responses sheet, so there are no answers for Themefinder to analyse.","")</f>
        <v>0</v>
      </c>
      <c r="F140" s="4" t="s">
        <v>217</v>
      </c>
    </row>
    <row r="141" spans="1:6" ht="75" customHeight="1">
      <c r="A141" t="s">
        <v>218</v>
      </c>
      <c r="B141" t="s">
        <v>202</v>
      </c>
      <c r="C141" t="s">
        <v>164</v>
      </c>
      <c r="D141" t="s">
        <v>165</v>
      </c>
      <c r="E141" s="4">
        <f>IF(AND('Multiple Choice Questions'!$A$38&lt;&gt;"",IFERROR(INDEX(Responses!$A$1:$XFD$1,1,CHOOSE(LEN(TRIM('Multiple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Questions'!$A$38),1))-64))),"")=""),"Column '"&amp;'Multiple Choice Questions'!$A$38&amp;"' has no header on the Responses sheet, so there are no answers for Themefinder to analyse.","")</f>
        <v>0</v>
      </c>
      <c r="F141" s="4" t="s">
        <v>217</v>
      </c>
    </row>
    <row r="142" spans="1:6" ht="75" customHeight="1">
      <c r="A142" t="s">
        <v>218</v>
      </c>
      <c r="B142" t="s">
        <v>203</v>
      </c>
      <c r="C142" t="s">
        <v>164</v>
      </c>
      <c r="D142" t="s">
        <v>165</v>
      </c>
      <c r="E142" s="4">
        <f>IF(AND('Multiple Choice Questions'!$A$39&lt;&gt;"",IFERROR(INDEX(Responses!$A$1:$XFD$1,1,CHOOSE(LEN(TRIM('Multiple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Questions'!$A$39),1))-64))),"")=""),"Column '"&amp;'Multiple Choice Questions'!$A$39&amp;"' has no header on the Responses sheet, so there are no answers for Themefinder to analyse.","")</f>
        <v>0</v>
      </c>
      <c r="F142" s="4" t="s">
        <v>217</v>
      </c>
    </row>
    <row r="143" spans="1:6" ht="75" customHeight="1">
      <c r="A143" t="s">
        <v>218</v>
      </c>
      <c r="B143" t="s">
        <v>204</v>
      </c>
      <c r="C143" t="s">
        <v>164</v>
      </c>
      <c r="D143" t="s">
        <v>165</v>
      </c>
      <c r="E143" s="4">
        <f>IF(AND('Multiple Choice Questions'!$A$40&lt;&gt;"",IFERROR(INDEX(Responses!$A$1:$XFD$1,1,CHOOSE(LEN(TRIM('Multiple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Questions'!$A$40),1))-64))),"")=""),"Column '"&amp;'Multiple Choice Questions'!$A$40&amp;"' has no header on the Responses sheet, so there are no answers for Themefinder to analyse.","")</f>
        <v>0</v>
      </c>
      <c r="F143" s="4" t="s">
        <v>217</v>
      </c>
    </row>
    <row r="144" spans="1:6" ht="75" customHeight="1">
      <c r="A144" t="s">
        <v>218</v>
      </c>
      <c r="B144" t="s">
        <v>205</v>
      </c>
      <c r="C144" t="s">
        <v>164</v>
      </c>
      <c r="D144" t="s">
        <v>165</v>
      </c>
      <c r="E144" s="4">
        <f>IF(AND('Multiple Choice Questions'!$A$41&lt;&gt;"",IFERROR(INDEX(Responses!$A$1:$XFD$1,1,CHOOSE(LEN(TRIM('Multiple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Questions'!$A$41),1))-64))),"")=""),"Column '"&amp;'Multiple Choice Questions'!$A$41&amp;"' has no header on the Responses sheet, so there are no answers for Themefinder to analyse.","")</f>
        <v>0</v>
      </c>
      <c r="F144" s="4" t="s">
        <v>217</v>
      </c>
    </row>
    <row r="145" spans="1:6" ht="75" customHeight="1">
      <c r="A145" t="s">
        <v>218</v>
      </c>
      <c r="B145" t="s">
        <v>206</v>
      </c>
      <c r="C145" t="s">
        <v>164</v>
      </c>
      <c r="D145" t="s">
        <v>165</v>
      </c>
      <c r="E145" s="4">
        <f>IF(AND('Multiple Choice Questions'!$A$42&lt;&gt;"",IFERROR(INDEX(Responses!$A$1:$XFD$1,1,CHOOSE(LEN(TRIM('Multiple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Questions'!$A$42),1))-64))),"")=""),"Column '"&amp;'Multiple Choice Questions'!$A$42&amp;"' has no header on the Responses sheet, so there are no answers for Themefinder to analyse.","")</f>
        <v>0</v>
      </c>
      <c r="F145" s="4" t="s">
        <v>217</v>
      </c>
    </row>
    <row r="146" spans="1:6" ht="75" customHeight="1">
      <c r="A146" t="s">
        <v>218</v>
      </c>
      <c r="B146" t="s">
        <v>207</v>
      </c>
      <c r="C146" t="s">
        <v>164</v>
      </c>
      <c r="D146" t="s">
        <v>165</v>
      </c>
      <c r="E146" s="4">
        <f>IF(AND('Multiple Choice Questions'!$A$43&lt;&gt;"",IFERROR(INDEX(Responses!$A$1:$XFD$1,1,CHOOSE(LEN(TRIM('Multiple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Questions'!$A$43),1))-64))),"")=""),"Column '"&amp;'Multiple Choice Questions'!$A$43&amp;"' has no header on the Responses sheet, so there are no answers for Themefinder to analyse.","")</f>
        <v>0</v>
      </c>
      <c r="F146" s="4" t="s">
        <v>217</v>
      </c>
    </row>
    <row r="147" spans="1:6" ht="75" customHeight="1">
      <c r="A147" t="s">
        <v>218</v>
      </c>
      <c r="B147" t="s">
        <v>208</v>
      </c>
      <c r="C147" t="s">
        <v>164</v>
      </c>
      <c r="D147" t="s">
        <v>165</v>
      </c>
      <c r="E147" s="4">
        <f>IF(AND('Multiple Choice Questions'!$A$44&lt;&gt;"",IFERROR(INDEX(Responses!$A$1:$XFD$1,1,CHOOSE(LEN(TRIM('Multiple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Questions'!$A$44),1))-64))),"")=""),"Column '"&amp;'Multiple Choice Questions'!$A$44&amp;"' has no header on the Responses sheet, so there are no answers for Themefinder to analyse.","")</f>
        <v>0</v>
      </c>
      <c r="F147" s="4" t="s">
        <v>217</v>
      </c>
    </row>
    <row r="148" spans="1:6" ht="75" customHeight="1">
      <c r="A148" t="s">
        <v>218</v>
      </c>
      <c r="B148" t="s">
        <v>209</v>
      </c>
      <c r="C148" t="s">
        <v>164</v>
      </c>
      <c r="D148" t="s">
        <v>165</v>
      </c>
      <c r="E148" s="4">
        <f>IF(AND('Multiple Choice Questions'!$A$45&lt;&gt;"",IFERROR(INDEX(Responses!$A$1:$XFD$1,1,CHOOSE(LEN(TRIM('Multiple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Questions'!$A$45),1))-64))),"")=""),"Column '"&amp;'Multiple Choice Questions'!$A$45&amp;"' has no header on the Responses sheet, so there are no answers for Themefinder to analyse.","")</f>
        <v>0</v>
      </c>
      <c r="F148" s="4" t="s">
        <v>217</v>
      </c>
    </row>
    <row r="149" spans="1:6" ht="75" customHeight="1">
      <c r="A149" t="s">
        <v>218</v>
      </c>
      <c r="B149" t="s">
        <v>210</v>
      </c>
      <c r="C149" t="s">
        <v>164</v>
      </c>
      <c r="D149" t="s">
        <v>165</v>
      </c>
      <c r="E149" s="4">
        <f>IF(AND('Multiple Choice Questions'!$A$46&lt;&gt;"",IFERROR(INDEX(Responses!$A$1:$XFD$1,1,CHOOSE(LEN(TRIM('Multiple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Questions'!$A$46),1))-64))),"")=""),"Column '"&amp;'Multiple Choice Questions'!$A$46&amp;"' has no header on the Responses sheet, so there are no answers for Themefinder to analyse.","")</f>
        <v>0</v>
      </c>
      <c r="F149" s="4" t="s">
        <v>217</v>
      </c>
    </row>
    <row r="150" spans="1:6" ht="75" customHeight="1">
      <c r="A150" t="s">
        <v>218</v>
      </c>
      <c r="B150" t="s">
        <v>211</v>
      </c>
      <c r="C150" t="s">
        <v>164</v>
      </c>
      <c r="D150" t="s">
        <v>165</v>
      </c>
      <c r="E150" s="4">
        <f>IF(AND('Multiple Choice Questions'!$A$47&lt;&gt;"",IFERROR(INDEX(Responses!$A$1:$XFD$1,1,CHOOSE(LEN(TRIM('Multiple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Questions'!$A$47),1))-64))),"")=""),"Column '"&amp;'Multiple Choice Questions'!$A$47&amp;"' has no header on the Responses sheet, so there are no answers for Themefinder to analyse.","")</f>
        <v>0</v>
      </c>
      <c r="F150" s="4" t="s">
        <v>217</v>
      </c>
    </row>
    <row r="151" spans="1:6" ht="75" customHeight="1">
      <c r="A151" t="s">
        <v>218</v>
      </c>
      <c r="B151" t="s">
        <v>212</v>
      </c>
      <c r="C151" t="s">
        <v>164</v>
      </c>
      <c r="D151" t="s">
        <v>165</v>
      </c>
      <c r="E151" s="4">
        <f>IF(AND('Multiple Choice Questions'!$A$48&lt;&gt;"",IFERROR(INDEX(Responses!$A$1:$XFD$1,1,CHOOSE(LEN(TRIM('Multiple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Questions'!$A$48),1))-64))),"")=""),"Column '"&amp;'Multiple Choice Questions'!$A$48&amp;"' has no header on the Responses sheet, so there are no answers for Themefinder to analyse.","")</f>
        <v>0</v>
      </c>
      <c r="F151" s="4" t="s">
        <v>217</v>
      </c>
    </row>
    <row r="152" spans="1:6" ht="75" customHeight="1">
      <c r="A152" t="s">
        <v>218</v>
      </c>
      <c r="B152" t="s">
        <v>213</v>
      </c>
      <c r="C152" t="s">
        <v>164</v>
      </c>
      <c r="D152" t="s">
        <v>165</v>
      </c>
      <c r="E152" s="4">
        <f>IF(AND('Multiple Choice Questions'!$A$49&lt;&gt;"",IFERROR(INDEX(Responses!$A$1:$XFD$1,1,CHOOSE(LEN(TRIM('Multiple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Questions'!$A$49),1))-64))),"")=""),"Column '"&amp;'Multiple Choice Questions'!$A$49&amp;"' has no header on the Responses sheet, so there are no answers for Themefinder to analyse.","")</f>
        <v>0</v>
      </c>
      <c r="F152" s="4" t="s">
        <v>217</v>
      </c>
    </row>
    <row r="153" spans="1:6" ht="75" customHeight="1">
      <c r="A153" t="s">
        <v>218</v>
      </c>
      <c r="B153" t="s">
        <v>214</v>
      </c>
      <c r="C153" t="s">
        <v>164</v>
      </c>
      <c r="D153" t="s">
        <v>165</v>
      </c>
      <c r="E153" s="4">
        <f>IF(AND('Multiple Choice Questions'!$A$50&lt;&gt;"",IFERROR(INDEX(Responses!$A$1:$XFD$1,1,CHOOSE(LEN(TRIM('Multiple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Questions'!$A$50),1))-64))),"")=""),"Column '"&amp;'Multiple Choice Questions'!$A$50&amp;"' has no header on the Responses sheet, so there are no answers for Themefinder to analyse.","")</f>
        <v>0</v>
      </c>
      <c r="F153" s="4" t="s">
        <v>217</v>
      </c>
    </row>
    <row r="154" spans="1:6" ht="75" customHeight="1">
      <c r="A154" t="s">
        <v>218</v>
      </c>
      <c r="B154" t="s">
        <v>215</v>
      </c>
      <c r="C154" t="s">
        <v>164</v>
      </c>
      <c r="D154" t="s">
        <v>165</v>
      </c>
      <c r="E154" s="4">
        <f>IF(AND('Multiple Choice Questions'!$A$51&lt;&gt;"",IFERROR(INDEX(Responses!$A$1:$XFD$1,1,CHOOSE(LEN(TRIM('Multiple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Questions'!$A$51),1))-64))),"")=""),"Column '"&amp;'Multiple Choice Questions'!$A$51&amp;"' has no header on the Responses sheet, so there are no answers for Themefinder to analyse.","")</f>
        <v>0</v>
      </c>
      <c r="F154" s="4" t="s">
        <v>217</v>
      </c>
    </row>
    <row r="155" spans="1:6" ht="75" customHeight="1">
      <c r="A155" t="s">
        <v>216</v>
      </c>
      <c r="B155" t="s">
        <v>219</v>
      </c>
      <c r="C155" t="s">
        <v>220</v>
      </c>
      <c r="D155" t="s">
        <v>165</v>
      </c>
      <c r="E155" s="4">
        <f>IF(AND('Open Questions'!$B$2&lt;&gt;"",ISNUMBER('Open Questions'!$B$2),(COUNTIF('Open Questions'!$B$2:$B$1001,'Open Questions'!$B$2)+COUNTIF('Multiple Choice Questions'!$B$2:$B$1001,'Open Questions'!$B$2)+COUNTIF('Hybrid Questions'!$B$2:$B$1001,'Open Questions'!$B$2))&gt;1),"Question number '"&amp;'Open Questions'!$B$2&amp;"' is already used by another row. Numbers must be unique because they're used as output folder names.","")</f>
        <v>0</v>
      </c>
      <c r="F155" s="4" t="s">
        <v>221</v>
      </c>
    </row>
    <row r="156" spans="1:6" ht="75" customHeight="1">
      <c r="A156" t="s">
        <v>216</v>
      </c>
      <c r="B156" t="s">
        <v>222</v>
      </c>
      <c r="C156" t="s">
        <v>220</v>
      </c>
      <c r="D156" t="s">
        <v>165</v>
      </c>
      <c r="E156" s="4">
        <f>IF(AND('Open Questions'!$B$3&lt;&gt;"",ISNUMBER('Open Questions'!$B$3),(COUNTIF('Open Questions'!$B$2:$B$1001,'Open Questions'!$B$3)+COUNTIF('Multiple Choice Questions'!$B$2:$B$1001,'Open Questions'!$B$3)+COUNTIF('Hybrid Questions'!$B$2:$B$1001,'Open Questions'!$B$3))&gt;1),"Question number '"&amp;'Open Questions'!$B$3&amp;"' is already used by another row. Numbers must be unique because they're used as output folder names.","")</f>
        <v>0</v>
      </c>
      <c r="F156" s="4" t="s">
        <v>221</v>
      </c>
    </row>
    <row r="157" spans="1:6" ht="75" customHeight="1">
      <c r="A157" t="s">
        <v>216</v>
      </c>
      <c r="B157" t="s">
        <v>223</v>
      </c>
      <c r="C157" t="s">
        <v>220</v>
      </c>
      <c r="D157" t="s">
        <v>165</v>
      </c>
      <c r="E157" s="4">
        <f>IF(AND('Open Questions'!$B$4&lt;&gt;"",ISNUMBER('Open Questions'!$B$4),(COUNTIF('Open Questions'!$B$2:$B$1001,'Open Questions'!$B$4)+COUNTIF('Multiple Choice Questions'!$B$2:$B$1001,'Open Questions'!$B$4)+COUNTIF('Hybrid Questions'!$B$2:$B$1001,'Open Questions'!$B$4))&gt;1),"Question number '"&amp;'Open Questions'!$B$4&amp;"' is already used by another row. Numbers must be unique because they're used as output folder names.","")</f>
        <v>0</v>
      </c>
      <c r="F157" s="4" t="s">
        <v>221</v>
      </c>
    </row>
    <row r="158" spans="1:6" ht="75" customHeight="1">
      <c r="A158" t="s">
        <v>216</v>
      </c>
      <c r="B158" t="s">
        <v>224</v>
      </c>
      <c r="C158" t="s">
        <v>220</v>
      </c>
      <c r="D158" t="s">
        <v>165</v>
      </c>
      <c r="E158" s="4">
        <f>IF(AND('Open Questions'!$B$5&lt;&gt;"",ISNUMBER('Open Questions'!$B$5),(COUNTIF('Open Questions'!$B$2:$B$1001,'Open Questions'!$B$5)+COUNTIF('Multiple Choice Questions'!$B$2:$B$1001,'Open Questions'!$B$5)+COUNTIF('Hybrid Questions'!$B$2:$B$1001,'Open Questions'!$B$5))&gt;1),"Question number '"&amp;'Open Questions'!$B$5&amp;"' is already used by another row. Numbers must be unique because they're used as output folder names.","")</f>
        <v>0</v>
      </c>
      <c r="F158" s="4" t="s">
        <v>221</v>
      </c>
    </row>
    <row r="159" spans="1:6" ht="75" customHeight="1">
      <c r="A159" t="s">
        <v>216</v>
      </c>
      <c r="B159" t="s">
        <v>225</v>
      </c>
      <c r="C159" t="s">
        <v>220</v>
      </c>
      <c r="D159" t="s">
        <v>165</v>
      </c>
      <c r="E159" s="4">
        <f>IF(AND('Open Questions'!$B$6&lt;&gt;"",ISNUMBER('Open Questions'!$B$6),(COUNTIF('Open Questions'!$B$2:$B$1001,'Open Questions'!$B$6)+COUNTIF('Multiple Choice Questions'!$B$2:$B$1001,'Open Questions'!$B$6)+COUNTIF('Hybrid Questions'!$B$2:$B$1001,'Open Questions'!$B$6))&gt;1),"Question number '"&amp;'Open Questions'!$B$6&amp;"' is already used by another row. Numbers must be unique because they're used as output folder names.","")</f>
        <v>0</v>
      </c>
      <c r="F159" s="4" t="s">
        <v>221</v>
      </c>
    </row>
    <row r="160" spans="1:6" ht="75" customHeight="1">
      <c r="A160" t="s">
        <v>216</v>
      </c>
      <c r="B160" t="s">
        <v>226</v>
      </c>
      <c r="C160" t="s">
        <v>220</v>
      </c>
      <c r="D160" t="s">
        <v>165</v>
      </c>
      <c r="E160" s="4">
        <f>IF(AND('Open Questions'!$B$7&lt;&gt;"",ISNUMBER('Open Questions'!$B$7),(COUNTIF('Open Questions'!$B$2:$B$1001,'Open Questions'!$B$7)+COUNTIF('Multiple Choice Questions'!$B$2:$B$1001,'Open Questions'!$B$7)+COUNTIF('Hybrid Questions'!$B$2:$B$1001,'Open Questions'!$B$7))&gt;1),"Question number '"&amp;'Open Questions'!$B$7&amp;"' is already used by another row. Numbers must be unique because they're used as output folder names.","")</f>
        <v>0</v>
      </c>
      <c r="F160" s="4" t="s">
        <v>221</v>
      </c>
    </row>
    <row r="161" spans="1:6" ht="75" customHeight="1">
      <c r="A161" t="s">
        <v>216</v>
      </c>
      <c r="B161" t="s">
        <v>227</v>
      </c>
      <c r="C161" t="s">
        <v>220</v>
      </c>
      <c r="D161" t="s">
        <v>165</v>
      </c>
      <c r="E161" s="4">
        <f>IF(AND('Open Questions'!$B$8&lt;&gt;"",ISNUMBER('Open Questions'!$B$8),(COUNTIF('Open Questions'!$B$2:$B$1001,'Open Questions'!$B$8)+COUNTIF('Multiple Choice Questions'!$B$2:$B$1001,'Open Questions'!$B$8)+COUNTIF('Hybrid Questions'!$B$2:$B$1001,'Open Questions'!$B$8))&gt;1),"Question number '"&amp;'Open Questions'!$B$8&amp;"' is already used by another row. Numbers must be unique because they're used as output folder names.","")</f>
        <v>0</v>
      </c>
      <c r="F161" s="4" t="s">
        <v>221</v>
      </c>
    </row>
    <row r="162" spans="1:6" ht="75" customHeight="1">
      <c r="A162" t="s">
        <v>216</v>
      </c>
      <c r="B162" t="s">
        <v>228</v>
      </c>
      <c r="C162" t="s">
        <v>220</v>
      </c>
      <c r="D162" t="s">
        <v>165</v>
      </c>
      <c r="E162" s="4">
        <f>IF(AND('Open Questions'!$B$9&lt;&gt;"",ISNUMBER('Open Questions'!$B$9),(COUNTIF('Open Questions'!$B$2:$B$1001,'Open Questions'!$B$9)+COUNTIF('Multiple Choice Questions'!$B$2:$B$1001,'Open Questions'!$B$9)+COUNTIF('Hybrid Questions'!$B$2:$B$1001,'Open Questions'!$B$9))&gt;1),"Question number '"&amp;'Open Questions'!$B$9&amp;"' is already used by another row. Numbers must be unique because they're used as output folder names.","")</f>
        <v>0</v>
      </c>
      <c r="F162" s="4" t="s">
        <v>221</v>
      </c>
    </row>
    <row r="163" spans="1:6" ht="75" customHeight="1">
      <c r="A163" t="s">
        <v>216</v>
      </c>
      <c r="B163" t="s">
        <v>229</v>
      </c>
      <c r="C163" t="s">
        <v>220</v>
      </c>
      <c r="D163" t="s">
        <v>165</v>
      </c>
      <c r="E163" s="4">
        <f>IF(AND('Open Questions'!$B$10&lt;&gt;"",ISNUMBER('Open Questions'!$B$10),(COUNTIF('Open Questions'!$B$2:$B$1001,'Open Questions'!$B$10)+COUNTIF('Multiple Choice Questions'!$B$2:$B$1001,'Open Questions'!$B$10)+COUNTIF('Hybrid Questions'!$B$2:$B$1001,'Open Questions'!$B$10))&gt;1),"Question number '"&amp;'Open Questions'!$B$10&amp;"' is already used by another row. Numbers must be unique because they're used as output folder names.","")</f>
        <v>0</v>
      </c>
      <c r="F163" s="4" t="s">
        <v>221</v>
      </c>
    </row>
    <row r="164" spans="1:6" ht="75" customHeight="1">
      <c r="A164" t="s">
        <v>216</v>
      </c>
      <c r="B164" t="s">
        <v>230</v>
      </c>
      <c r="C164" t="s">
        <v>220</v>
      </c>
      <c r="D164" t="s">
        <v>165</v>
      </c>
      <c r="E164" s="4">
        <f>IF(AND('Open Questions'!$B$11&lt;&gt;"",ISNUMBER('Open Questions'!$B$11),(COUNTIF('Open Questions'!$B$2:$B$1001,'Open Questions'!$B$11)+COUNTIF('Multiple Choice Questions'!$B$2:$B$1001,'Open Questions'!$B$11)+COUNTIF('Hybrid Questions'!$B$2:$B$1001,'Open Questions'!$B$11))&gt;1),"Question number '"&amp;'Open Questions'!$B$11&amp;"' is already used by another row. Numbers must be unique because they're used as output folder names.","")</f>
        <v>0</v>
      </c>
      <c r="F164" s="4" t="s">
        <v>221</v>
      </c>
    </row>
    <row r="165" spans="1:6" ht="75" customHeight="1">
      <c r="A165" t="s">
        <v>216</v>
      </c>
      <c r="B165" t="s">
        <v>231</v>
      </c>
      <c r="C165" t="s">
        <v>220</v>
      </c>
      <c r="D165" t="s">
        <v>165</v>
      </c>
      <c r="E165" s="4">
        <f>IF(AND('Open Questions'!$B$12&lt;&gt;"",ISNUMBER('Open Questions'!$B$12),(COUNTIF('Open Questions'!$B$2:$B$1001,'Open Questions'!$B$12)+COUNTIF('Multiple Choice Questions'!$B$2:$B$1001,'Open Questions'!$B$12)+COUNTIF('Hybrid Questions'!$B$2:$B$1001,'Open Questions'!$B$12))&gt;1),"Question number '"&amp;'Open Questions'!$B$12&amp;"' is already used by another row. Numbers must be unique because they're used as output folder names.","")</f>
        <v>0</v>
      </c>
      <c r="F165" s="4" t="s">
        <v>221</v>
      </c>
    </row>
    <row r="166" spans="1:6" ht="75" customHeight="1">
      <c r="A166" t="s">
        <v>216</v>
      </c>
      <c r="B166" t="s">
        <v>232</v>
      </c>
      <c r="C166" t="s">
        <v>220</v>
      </c>
      <c r="D166" t="s">
        <v>165</v>
      </c>
      <c r="E166" s="4">
        <f>IF(AND('Open Questions'!$B$13&lt;&gt;"",ISNUMBER('Open Questions'!$B$13),(COUNTIF('Open Questions'!$B$2:$B$1001,'Open Questions'!$B$13)+COUNTIF('Multiple Choice Questions'!$B$2:$B$1001,'Open Questions'!$B$13)+COUNTIF('Hybrid Questions'!$B$2:$B$1001,'Open Questions'!$B$13))&gt;1),"Question number '"&amp;'Open Questions'!$B$13&amp;"' is already used by another row. Numbers must be unique because they're used as output folder names.","")</f>
        <v>0</v>
      </c>
      <c r="F166" s="4" t="s">
        <v>221</v>
      </c>
    </row>
    <row r="167" spans="1:6" ht="75" customHeight="1">
      <c r="A167" t="s">
        <v>216</v>
      </c>
      <c r="B167" t="s">
        <v>233</v>
      </c>
      <c r="C167" t="s">
        <v>220</v>
      </c>
      <c r="D167" t="s">
        <v>165</v>
      </c>
      <c r="E167" s="4">
        <f>IF(AND('Open Questions'!$B$14&lt;&gt;"",ISNUMBER('Open Questions'!$B$14),(COUNTIF('Open Questions'!$B$2:$B$1001,'Open Questions'!$B$14)+COUNTIF('Multiple Choice Questions'!$B$2:$B$1001,'Open Questions'!$B$14)+COUNTIF('Hybrid Questions'!$B$2:$B$1001,'Open Questions'!$B$14))&gt;1),"Question number '"&amp;'Open Questions'!$B$14&amp;"' is already used by another row. Numbers must be unique because they're used as output folder names.","")</f>
        <v>0</v>
      </c>
      <c r="F167" s="4" t="s">
        <v>221</v>
      </c>
    </row>
    <row r="168" spans="1:6" ht="75" customHeight="1">
      <c r="A168" t="s">
        <v>216</v>
      </c>
      <c r="B168" t="s">
        <v>234</v>
      </c>
      <c r="C168" t="s">
        <v>220</v>
      </c>
      <c r="D168" t="s">
        <v>165</v>
      </c>
      <c r="E168" s="4">
        <f>IF(AND('Open Questions'!$B$15&lt;&gt;"",ISNUMBER('Open Questions'!$B$15),(COUNTIF('Open Questions'!$B$2:$B$1001,'Open Questions'!$B$15)+COUNTIF('Multiple Choice Questions'!$B$2:$B$1001,'Open Questions'!$B$15)+COUNTIF('Hybrid Questions'!$B$2:$B$1001,'Open Questions'!$B$15))&gt;1),"Question number '"&amp;'Open Questions'!$B$15&amp;"' is already used by another row. Numbers must be unique because they're used as output folder names.","")</f>
        <v>0</v>
      </c>
      <c r="F168" s="4" t="s">
        <v>221</v>
      </c>
    </row>
    <row r="169" spans="1:6" ht="75" customHeight="1">
      <c r="A169" t="s">
        <v>216</v>
      </c>
      <c r="B169" t="s">
        <v>235</v>
      </c>
      <c r="C169" t="s">
        <v>220</v>
      </c>
      <c r="D169" t="s">
        <v>165</v>
      </c>
      <c r="E169" s="4">
        <f>IF(AND('Open Questions'!$B$16&lt;&gt;"",ISNUMBER('Open Questions'!$B$16),(COUNTIF('Open Questions'!$B$2:$B$1001,'Open Questions'!$B$16)+COUNTIF('Multiple Choice Questions'!$B$2:$B$1001,'Open Questions'!$B$16)+COUNTIF('Hybrid Questions'!$B$2:$B$1001,'Open Questions'!$B$16))&gt;1),"Question number '"&amp;'Open Questions'!$B$16&amp;"' is already used by another row. Numbers must be unique because they're used as output folder names.","")</f>
        <v>0</v>
      </c>
      <c r="F169" s="4" t="s">
        <v>221</v>
      </c>
    </row>
    <row r="170" spans="1:6" ht="75" customHeight="1">
      <c r="A170" t="s">
        <v>216</v>
      </c>
      <c r="B170" t="s">
        <v>236</v>
      </c>
      <c r="C170" t="s">
        <v>220</v>
      </c>
      <c r="D170" t="s">
        <v>165</v>
      </c>
      <c r="E170" s="4">
        <f>IF(AND('Open Questions'!$B$17&lt;&gt;"",ISNUMBER('Open Questions'!$B$17),(COUNTIF('Open Questions'!$B$2:$B$1001,'Open Questions'!$B$17)+COUNTIF('Multiple Choice Questions'!$B$2:$B$1001,'Open Questions'!$B$17)+COUNTIF('Hybrid Questions'!$B$2:$B$1001,'Open Questions'!$B$17))&gt;1),"Question number '"&amp;'Open Questions'!$B$17&amp;"' is already used by another row. Numbers must be unique because they're used as output folder names.","")</f>
        <v>0</v>
      </c>
      <c r="F170" s="4" t="s">
        <v>221</v>
      </c>
    </row>
    <row r="171" spans="1:6" ht="75" customHeight="1">
      <c r="A171" t="s">
        <v>216</v>
      </c>
      <c r="B171" t="s">
        <v>237</v>
      </c>
      <c r="C171" t="s">
        <v>220</v>
      </c>
      <c r="D171" t="s">
        <v>165</v>
      </c>
      <c r="E171" s="4">
        <f>IF(AND('Open Questions'!$B$18&lt;&gt;"",ISNUMBER('Open Questions'!$B$18),(COUNTIF('Open Questions'!$B$2:$B$1001,'Open Questions'!$B$18)+COUNTIF('Multiple Choice Questions'!$B$2:$B$1001,'Open Questions'!$B$18)+COUNTIF('Hybrid Questions'!$B$2:$B$1001,'Open Questions'!$B$18))&gt;1),"Question number '"&amp;'Open Questions'!$B$18&amp;"' is already used by another row. Numbers must be unique because they're used as output folder names.","")</f>
        <v>0</v>
      </c>
      <c r="F171" s="4" t="s">
        <v>221</v>
      </c>
    </row>
    <row r="172" spans="1:6" ht="75" customHeight="1">
      <c r="A172" t="s">
        <v>216</v>
      </c>
      <c r="B172" t="s">
        <v>238</v>
      </c>
      <c r="C172" t="s">
        <v>220</v>
      </c>
      <c r="D172" t="s">
        <v>165</v>
      </c>
      <c r="E172" s="4">
        <f>IF(AND('Open Questions'!$B$19&lt;&gt;"",ISNUMBER('Open Questions'!$B$19),(COUNTIF('Open Questions'!$B$2:$B$1001,'Open Questions'!$B$19)+COUNTIF('Multiple Choice Questions'!$B$2:$B$1001,'Open Questions'!$B$19)+COUNTIF('Hybrid Questions'!$B$2:$B$1001,'Open Questions'!$B$19))&gt;1),"Question number '"&amp;'Open Questions'!$B$19&amp;"' is already used by another row. Numbers must be unique because they're used as output folder names.","")</f>
        <v>0</v>
      </c>
      <c r="F172" s="4" t="s">
        <v>221</v>
      </c>
    </row>
    <row r="173" spans="1:6" ht="75" customHeight="1">
      <c r="A173" t="s">
        <v>216</v>
      </c>
      <c r="B173" t="s">
        <v>239</v>
      </c>
      <c r="C173" t="s">
        <v>220</v>
      </c>
      <c r="D173" t="s">
        <v>165</v>
      </c>
      <c r="E173" s="4">
        <f>IF(AND('Open Questions'!$B$20&lt;&gt;"",ISNUMBER('Open Questions'!$B$20),(COUNTIF('Open Questions'!$B$2:$B$1001,'Open Questions'!$B$20)+COUNTIF('Multiple Choice Questions'!$B$2:$B$1001,'Open Questions'!$B$20)+COUNTIF('Hybrid Questions'!$B$2:$B$1001,'Open Questions'!$B$20))&gt;1),"Question number '"&amp;'Open Questions'!$B$20&amp;"' is already used by another row. Numbers must be unique because they're used as output folder names.","")</f>
        <v>0</v>
      </c>
      <c r="F173" s="4" t="s">
        <v>221</v>
      </c>
    </row>
    <row r="174" spans="1:6" ht="75" customHeight="1">
      <c r="A174" t="s">
        <v>216</v>
      </c>
      <c r="B174" t="s">
        <v>240</v>
      </c>
      <c r="C174" t="s">
        <v>220</v>
      </c>
      <c r="D174" t="s">
        <v>165</v>
      </c>
      <c r="E174" s="4">
        <f>IF(AND('Open Questions'!$B$21&lt;&gt;"",ISNUMBER('Open Questions'!$B$21),(COUNTIF('Open Questions'!$B$2:$B$1001,'Open Questions'!$B$21)+COUNTIF('Multiple Choice Questions'!$B$2:$B$1001,'Open Questions'!$B$21)+COUNTIF('Hybrid Questions'!$B$2:$B$1001,'Open Questions'!$B$21))&gt;1),"Question number '"&amp;'Open Questions'!$B$21&amp;"' is already used by another row. Numbers must be unique because they're used as output folder names.","")</f>
        <v>0</v>
      </c>
      <c r="F174" s="4" t="s">
        <v>221</v>
      </c>
    </row>
    <row r="175" spans="1:6" ht="75" customHeight="1">
      <c r="A175" t="s">
        <v>216</v>
      </c>
      <c r="B175" t="s">
        <v>241</v>
      </c>
      <c r="C175" t="s">
        <v>220</v>
      </c>
      <c r="D175" t="s">
        <v>165</v>
      </c>
      <c r="E175" s="4">
        <f>IF(AND('Open Questions'!$B$22&lt;&gt;"",ISNUMBER('Open Questions'!$B$22),(COUNTIF('Open Questions'!$B$2:$B$1001,'Open Questions'!$B$22)+COUNTIF('Multiple Choice Questions'!$B$2:$B$1001,'Open Questions'!$B$22)+COUNTIF('Hybrid Questions'!$B$2:$B$1001,'Open Questions'!$B$22))&gt;1),"Question number '"&amp;'Open Questions'!$B$22&amp;"' is already used by another row. Numbers must be unique because they're used as output folder names.","")</f>
        <v>0</v>
      </c>
      <c r="F175" s="4" t="s">
        <v>221</v>
      </c>
    </row>
    <row r="176" spans="1:6" ht="75" customHeight="1">
      <c r="A176" t="s">
        <v>216</v>
      </c>
      <c r="B176" t="s">
        <v>242</v>
      </c>
      <c r="C176" t="s">
        <v>220</v>
      </c>
      <c r="D176" t="s">
        <v>165</v>
      </c>
      <c r="E176" s="4">
        <f>IF(AND('Open Questions'!$B$23&lt;&gt;"",ISNUMBER('Open Questions'!$B$23),(COUNTIF('Open Questions'!$B$2:$B$1001,'Open Questions'!$B$23)+COUNTIF('Multiple Choice Questions'!$B$2:$B$1001,'Open Questions'!$B$23)+COUNTIF('Hybrid Questions'!$B$2:$B$1001,'Open Questions'!$B$23))&gt;1),"Question number '"&amp;'Open Questions'!$B$23&amp;"' is already used by another row. Numbers must be unique because they're used as output folder names.","")</f>
        <v>0</v>
      </c>
      <c r="F176" s="4" t="s">
        <v>221</v>
      </c>
    </row>
    <row r="177" spans="1:6" ht="75" customHeight="1">
      <c r="A177" t="s">
        <v>216</v>
      </c>
      <c r="B177" t="s">
        <v>243</v>
      </c>
      <c r="C177" t="s">
        <v>220</v>
      </c>
      <c r="D177" t="s">
        <v>165</v>
      </c>
      <c r="E177" s="4">
        <f>IF(AND('Open Questions'!$B$24&lt;&gt;"",ISNUMBER('Open Questions'!$B$24),(COUNTIF('Open Questions'!$B$2:$B$1001,'Open Questions'!$B$24)+COUNTIF('Multiple Choice Questions'!$B$2:$B$1001,'Open Questions'!$B$24)+COUNTIF('Hybrid Questions'!$B$2:$B$1001,'Open Questions'!$B$24))&gt;1),"Question number '"&amp;'Open Questions'!$B$24&amp;"' is already used by another row. Numbers must be unique because they're used as output folder names.","")</f>
        <v>0</v>
      </c>
      <c r="F177" s="4" t="s">
        <v>221</v>
      </c>
    </row>
    <row r="178" spans="1:6" ht="75" customHeight="1">
      <c r="A178" t="s">
        <v>216</v>
      </c>
      <c r="B178" t="s">
        <v>244</v>
      </c>
      <c r="C178" t="s">
        <v>220</v>
      </c>
      <c r="D178" t="s">
        <v>165</v>
      </c>
      <c r="E178" s="4">
        <f>IF(AND('Open Questions'!$B$25&lt;&gt;"",ISNUMBER('Open Questions'!$B$25),(COUNTIF('Open Questions'!$B$2:$B$1001,'Open Questions'!$B$25)+COUNTIF('Multiple Choice Questions'!$B$2:$B$1001,'Open Questions'!$B$25)+COUNTIF('Hybrid Questions'!$B$2:$B$1001,'Open Questions'!$B$25))&gt;1),"Question number '"&amp;'Open Questions'!$B$25&amp;"' is already used by another row. Numbers must be unique because they're used as output folder names.","")</f>
        <v>0</v>
      </c>
      <c r="F178" s="4" t="s">
        <v>221</v>
      </c>
    </row>
    <row r="179" spans="1:6" ht="75" customHeight="1">
      <c r="A179" t="s">
        <v>216</v>
      </c>
      <c r="B179" t="s">
        <v>245</v>
      </c>
      <c r="C179" t="s">
        <v>220</v>
      </c>
      <c r="D179" t="s">
        <v>165</v>
      </c>
      <c r="E179" s="4">
        <f>IF(AND('Open Questions'!$B$26&lt;&gt;"",ISNUMBER('Open Questions'!$B$26),(COUNTIF('Open Questions'!$B$2:$B$1001,'Open Questions'!$B$26)+COUNTIF('Multiple Choice Questions'!$B$2:$B$1001,'Open Questions'!$B$26)+COUNTIF('Hybrid Questions'!$B$2:$B$1001,'Open Questions'!$B$26))&gt;1),"Question number '"&amp;'Open Questions'!$B$26&amp;"' is already used by another row. Numbers must be unique because they're used as output folder names.","")</f>
        <v>0</v>
      </c>
      <c r="F179" s="4" t="s">
        <v>221</v>
      </c>
    </row>
    <row r="180" spans="1:6" ht="75" customHeight="1">
      <c r="A180" t="s">
        <v>216</v>
      </c>
      <c r="B180" t="s">
        <v>246</v>
      </c>
      <c r="C180" t="s">
        <v>220</v>
      </c>
      <c r="D180" t="s">
        <v>165</v>
      </c>
      <c r="E180" s="4">
        <f>IF(AND('Open Questions'!$B$27&lt;&gt;"",ISNUMBER('Open Questions'!$B$27),(COUNTIF('Open Questions'!$B$2:$B$1001,'Open Questions'!$B$27)+COUNTIF('Multiple Choice Questions'!$B$2:$B$1001,'Open Questions'!$B$27)+COUNTIF('Hybrid Questions'!$B$2:$B$1001,'Open Questions'!$B$27))&gt;1),"Question number '"&amp;'Open Questions'!$B$27&amp;"' is already used by another row. Numbers must be unique because they're used as output folder names.","")</f>
        <v>0</v>
      </c>
      <c r="F180" s="4" t="s">
        <v>221</v>
      </c>
    </row>
    <row r="181" spans="1:6" ht="75" customHeight="1">
      <c r="A181" t="s">
        <v>216</v>
      </c>
      <c r="B181" t="s">
        <v>247</v>
      </c>
      <c r="C181" t="s">
        <v>220</v>
      </c>
      <c r="D181" t="s">
        <v>165</v>
      </c>
      <c r="E181" s="4">
        <f>IF(AND('Open Questions'!$B$28&lt;&gt;"",ISNUMBER('Open Questions'!$B$28),(COUNTIF('Open Questions'!$B$2:$B$1001,'Open Questions'!$B$28)+COUNTIF('Multiple Choice Questions'!$B$2:$B$1001,'Open Questions'!$B$28)+COUNTIF('Hybrid Questions'!$B$2:$B$1001,'Open Questions'!$B$28))&gt;1),"Question number '"&amp;'Open Questions'!$B$28&amp;"' is already used by another row. Numbers must be unique because they're used as output folder names.","")</f>
        <v>0</v>
      </c>
      <c r="F181" s="4" t="s">
        <v>221</v>
      </c>
    </row>
    <row r="182" spans="1:6" ht="75" customHeight="1">
      <c r="A182" t="s">
        <v>216</v>
      </c>
      <c r="B182" t="s">
        <v>248</v>
      </c>
      <c r="C182" t="s">
        <v>220</v>
      </c>
      <c r="D182" t="s">
        <v>165</v>
      </c>
      <c r="E182" s="4">
        <f>IF(AND('Open Questions'!$B$29&lt;&gt;"",ISNUMBER('Open Questions'!$B$29),(COUNTIF('Open Questions'!$B$2:$B$1001,'Open Questions'!$B$29)+COUNTIF('Multiple Choice Questions'!$B$2:$B$1001,'Open Questions'!$B$29)+COUNTIF('Hybrid Questions'!$B$2:$B$1001,'Open Questions'!$B$29))&gt;1),"Question number '"&amp;'Open Questions'!$B$29&amp;"' is already used by another row. Numbers must be unique because they're used as output folder names.","")</f>
        <v>0</v>
      </c>
      <c r="F182" s="4" t="s">
        <v>221</v>
      </c>
    </row>
    <row r="183" spans="1:6" ht="75" customHeight="1">
      <c r="A183" t="s">
        <v>216</v>
      </c>
      <c r="B183" t="s">
        <v>249</v>
      </c>
      <c r="C183" t="s">
        <v>220</v>
      </c>
      <c r="D183" t="s">
        <v>165</v>
      </c>
      <c r="E183" s="4">
        <f>IF(AND('Open Questions'!$B$30&lt;&gt;"",ISNUMBER('Open Questions'!$B$30),(COUNTIF('Open Questions'!$B$2:$B$1001,'Open Questions'!$B$30)+COUNTIF('Multiple Choice Questions'!$B$2:$B$1001,'Open Questions'!$B$30)+COUNTIF('Hybrid Questions'!$B$2:$B$1001,'Open Questions'!$B$30))&gt;1),"Question number '"&amp;'Open Questions'!$B$30&amp;"' is already used by another row. Numbers must be unique because they're used as output folder names.","")</f>
        <v>0</v>
      </c>
      <c r="F183" s="4" t="s">
        <v>221</v>
      </c>
    </row>
    <row r="184" spans="1:6" ht="75" customHeight="1">
      <c r="A184" t="s">
        <v>216</v>
      </c>
      <c r="B184" t="s">
        <v>250</v>
      </c>
      <c r="C184" t="s">
        <v>220</v>
      </c>
      <c r="D184" t="s">
        <v>165</v>
      </c>
      <c r="E184" s="4">
        <f>IF(AND('Open Questions'!$B$31&lt;&gt;"",ISNUMBER('Open Questions'!$B$31),(COUNTIF('Open Questions'!$B$2:$B$1001,'Open Questions'!$B$31)+COUNTIF('Multiple Choice Questions'!$B$2:$B$1001,'Open Questions'!$B$31)+COUNTIF('Hybrid Questions'!$B$2:$B$1001,'Open Questions'!$B$31))&gt;1),"Question number '"&amp;'Open Questions'!$B$31&amp;"' is already used by another row. Numbers must be unique because they're used as output folder names.","")</f>
        <v>0</v>
      </c>
      <c r="F184" s="4" t="s">
        <v>221</v>
      </c>
    </row>
    <row r="185" spans="1:6" ht="75" customHeight="1">
      <c r="A185" t="s">
        <v>216</v>
      </c>
      <c r="B185" t="s">
        <v>251</v>
      </c>
      <c r="C185" t="s">
        <v>220</v>
      </c>
      <c r="D185" t="s">
        <v>165</v>
      </c>
      <c r="E185" s="4">
        <f>IF(AND('Open Questions'!$B$32&lt;&gt;"",ISNUMBER('Open Questions'!$B$32),(COUNTIF('Open Questions'!$B$2:$B$1001,'Open Questions'!$B$32)+COUNTIF('Multiple Choice Questions'!$B$2:$B$1001,'Open Questions'!$B$32)+COUNTIF('Hybrid Questions'!$B$2:$B$1001,'Open Questions'!$B$32))&gt;1),"Question number '"&amp;'Open Questions'!$B$32&amp;"' is already used by another row. Numbers must be unique because they're used as output folder names.","")</f>
        <v>0</v>
      </c>
      <c r="F185" s="4" t="s">
        <v>221</v>
      </c>
    </row>
    <row r="186" spans="1:6" ht="75" customHeight="1">
      <c r="A186" t="s">
        <v>216</v>
      </c>
      <c r="B186" t="s">
        <v>252</v>
      </c>
      <c r="C186" t="s">
        <v>220</v>
      </c>
      <c r="D186" t="s">
        <v>165</v>
      </c>
      <c r="E186" s="4">
        <f>IF(AND('Open Questions'!$B$33&lt;&gt;"",ISNUMBER('Open Questions'!$B$33),(COUNTIF('Open Questions'!$B$2:$B$1001,'Open Questions'!$B$33)+COUNTIF('Multiple Choice Questions'!$B$2:$B$1001,'Open Questions'!$B$33)+COUNTIF('Hybrid Questions'!$B$2:$B$1001,'Open Questions'!$B$33))&gt;1),"Question number '"&amp;'Open Questions'!$B$33&amp;"' is already used by another row. Numbers must be unique because they're used as output folder names.","")</f>
        <v>0</v>
      </c>
      <c r="F186" s="4" t="s">
        <v>221</v>
      </c>
    </row>
    <row r="187" spans="1:6" ht="75" customHeight="1">
      <c r="A187" t="s">
        <v>216</v>
      </c>
      <c r="B187" t="s">
        <v>253</v>
      </c>
      <c r="C187" t="s">
        <v>220</v>
      </c>
      <c r="D187" t="s">
        <v>165</v>
      </c>
      <c r="E187" s="4">
        <f>IF(AND('Open Questions'!$B$34&lt;&gt;"",ISNUMBER('Open Questions'!$B$34),(COUNTIF('Open Questions'!$B$2:$B$1001,'Open Questions'!$B$34)+COUNTIF('Multiple Choice Questions'!$B$2:$B$1001,'Open Questions'!$B$34)+COUNTIF('Hybrid Questions'!$B$2:$B$1001,'Open Questions'!$B$34))&gt;1),"Question number '"&amp;'Open Questions'!$B$34&amp;"' is already used by another row. Numbers must be unique because they're used as output folder names.","")</f>
        <v>0</v>
      </c>
      <c r="F187" s="4" t="s">
        <v>221</v>
      </c>
    </row>
    <row r="188" spans="1:6" ht="75" customHeight="1">
      <c r="A188" t="s">
        <v>216</v>
      </c>
      <c r="B188" t="s">
        <v>254</v>
      </c>
      <c r="C188" t="s">
        <v>220</v>
      </c>
      <c r="D188" t="s">
        <v>165</v>
      </c>
      <c r="E188" s="4">
        <f>IF(AND('Open Questions'!$B$35&lt;&gt;"",ISNUMBER('Open Questions'!$B$35),(COUNTIF('Open Questions'!$B$2:$B$1001,'Open Questions'!$B$35)+COUNTIF('Multiple Choice Questions'!$B$2:$B$1001,'Open Questions'!$B$35)+COUNTIF('Hybrid Questions'!$B$2:$B$1001,'Open Questions'!$B$35))&gt;1),"Question number '"&amp;'Open Questions'!$B$35&amp;"' is already used by another row. Numbers must be unique because they're used as output folder names.","")</f>
        <v>0</v>
      </c>
      <c r="F188" s="4" t="s">
        <v>221</v>
      </c>
    </row>
    <row r="189" spans="1:6" ht="75" customHeight="1">
      <c r="A189" t="s">
        <v>216</v>
      </c>
      <c r="B189" t="s">
        <v>255</v>
      </c>
      <c r="C189" t="s">
        <v>220</v>
      </c>
      <c r="D189" t="s">
        <v>165</v>
      </c>
      <c r="E189" s="4">
        <f>IF(AND('Open Questions'!$B$36&lt;&gt;"",ISNUMBER('Open Questions'!$B$36),(COUNTIF('Open Questions'!$B$2:$B$1001,'Open Questions'!$B$36)+COUNTIF('Multiple Choice Questions'!$B$2:$B$1001,'Open Questions'!$B$36)+COUNTIF('Hybrid Questions'!$B$2:$B$1001,'Open Questions'!$B$36))&gt;1),"Question number '"&amp;'Open Questions'!$B$36&amp;"' is already used by another row. Numbers must be unique because they're used as output folder names.","")</f>
        <v>0</v>
      </c>
      <c r="F189" s="4" t="s">
        <v>221</v>
      </c>
    </row>
    <row r="190" spans="1:6" ht="75" customHeight="1">
      <c r="A190" t="s">
        <v>216</v>
      </c>
      <c r="B190" t="s">
        <v>256</v>
      </c>
      <c r="C190" t="s">
        <v>220</v>
      </c>
      <c r="D190" t="s">
        <v>165</v>
      </c>
      <c r="E190" s="4">
        <f>IF(AND('Open Questions'!$B$37&lt;&gt;"",ISNUMBER('Open Questions'!$B$37),(COUNTIF('Open Questions'!$B$2:$B$1001,'Open Questions'!$B$37)+COUNTIF('Multiple Choice Questions'!$B$2:$B$1001,'Open Questions'!$B$37)+COUNTIF('Hybrid Questions'!$B$2:$B$1001,'Open Questions'!$B$37))&gt;1),"Question number '"&amp;'Open Questions'!$B$37&amp;"' is already used by another row. Numbers must be unique because they're used as output folder names.","")</f>
        <v>0</v>
      </c>
      <c r="F190" s="4" t="s">
        <v>221</v>
      </c>
    </row>
    <row r="191" spans="1:6" ht="75" customHeight="1">
      <c r="A191" t="s">
        <v>216</v>
      </c>
      <c r="B191" t="s">
        <v>257</v>
      </c>
      <c r="C191" t="s">
        <v>220</v>
      </c>
      <c r="D191" t="s">
        <v>165</v>
      </c>
      <c r="E191" s="4">
        <f>IF(AND('Open Questions'!$B$38&lt;&gt;"",ISNUMBER('Open Questions'!$B$38),(COUNTIF('Open Questions'!$B$2:$B$1001,'Open Questions'!$B$38)+COUNTIF('Multiple Choice Questions'!$B$2:$B$1001,'Open Questions'!$B$38)+COUNTIF('Hybrid Questions'!$B$2:$B$1001,'Open Questions'!$B$38))&gt;1),"Question number '"&amp;'Open Questions'!$B$38&amp;"' is already used by another row. Numbers must be unique because they're used as output folder names.","")</f>
        <v>0</v>
      </c>
      <c r="F191" s="4" t="s">
        <v>221</v>
      </c>
    </row>
    <row r="192" spans="1:6" ht="75" customHeight="1">
      <c r="A192" t="s">
        <v>216</v>
      </c>
      <c r="B192" t="s">
        <v>258</v>
      </c>
      <c r="C192" t="s">
        <v>220</v>
      </c>
      <c r="D192" t="s">
        <v>165</v>
      </c>
      <c r="E192" s="4">
        <f>IF(AND('Open Questions'!$B$39&lt;&gt;"",ISNUMBER('Open Questions'!$B$39),(COUNTIF('Open Questions'!$B$2:$B$1001,'Open Questions'!$B$39)+COUNTIF('Multiple Choice Questions'!$B$2:$B$1001,'Open Questions'!$B$39)+COUNTIF('Hybrid Questions'!$B$2:$B$1001,'Open Questions'!$B$39))&gt;1),"Question number '"&amp;'Open Questions'!$B$39&amp;"' is already used by another row. Numbers must be unique because they're used as output folder names.","")</f>
        <v>0</v>
      </c>
      <c r="F192" s="4" t="s">
        <v>221</v>
      </c>
    </row>
    <row r="193" spans="1:6" ht="75" customHeight="1">
      <c r="A193" t="s">
        <v>216</v>
      </c>
      <c r="B193" t="s">
        <v>259</v>
      </c>
      <c r="C193" t="s">
        <v>220</v>
      </c>
      <c r="D193" t="s">
        <v>165</v>
      </c>
      <c r="E193" s="4">
        <f>IF(AND('Open Questions'!$B$40&lt;&gt;"",ISNUMBER('Open Questions'!$B$40),(COUNTIF('Open Questions'!$B$2:$B$1001,'Open Questions'!$B$40)+COUNTIF('Multiple Choice Questions'!$B$2:$B$1001,'Open Questions'!$B$40)+COUNTIF('Hybrid Questions'!$B$2:$B$1001,'Open Questions'!$B$40))&gt;1),"Question number '"&amp;'Open Questions'!$B$40&amp;"' is already used by another row. Numbers must be unique because they're used as output folder names.","")</f>
        <v>0</v>
      </c>
      <c r="F193" s="4" t="s">
        <v>221</v>
      </c>
    </row>
    <row r="194" spans="1:6" ht="75" customHeight="1">
      <c r="A194" t="s">
        <v>216</v>
      </c>
      <c r="B194" t="s">
        <v>260</v>
      </c>
      <c r="C194" t="s">
        <v>220</v>
      </c>
      <c r="D194" t="s">
        <v>165</v>
      </c>
      <c r="E194" s="4">
        <f>IF(AND('Open Questions'!$B$41&lt;&gt;"",ISNUMBER('Open Questions'!$B$41),(COUNTIF('Open Questions'!$B$2:$B$1001,'Open Questions'!$B$41)+COUNTIF('Multiple Choice Questions'!$B$2:$B$1001,'Open Questions'!$B$41)+COUNTIF('Hybrid Questions'!$B$2:$B$1001,'Open Questions'!$B$41))&gt;1),"Question number '"&amp;'Open Questions'!$B$41&amp;"' is already used by another row. Numbers must be unique because they're used as output folder names.","")</f>
        <v>0</v>
      </c>
      <c r="F194" s="4" t="s">
        <v>221</v>
      </c>
    </row>
    <row r="195" spans="1:6" ht="75" customHeight="1">
      <c r="A195" t="s">
        <v>216</v>
      </c>
      <c r="B195" t="s">
        <v>261</v>
      </c>
      <c r="C195" t="s">
        <v>220</v>
      </c>
      <c r="D195" t="s">
        <v>165</v>
      </c>
      <c r="E195" s="4">
        <f>IF(AND('Open Questions'!$B$42&lt;&gt;"",ISNUMBER('Open Questions'!$B$42),(COUNTIF('Open Questions'!$B$2:$B$1001,'Open Questions'!$B$42)+COUNTIF('Multiple Choice Questions'!$B$2:$B$1001,'Open Questions'!$B$42)+COUNTIF('Hybrid Questions'!$B$2:$B$1001,'Open Questions'!$B$42))&gt;1),"Question number '"&amp;'Open Questions'!$B$42&amp;"' is already used by another row. Numbers must be unique because they're used as output folder names.","")</f>
        <v>0</v>
      </c>
      <c r="F195" s="4" t="s">
        <v>221</v>
      </c>
    </row>
    <row r="196" spans="1:6" ht="75" customHeight="1">
      <c r="A196" t="s">
        <v>216</v>
      </c>
      <c r="B196" t="s">
        <v>262</v>
      </c>
      <c r="C196" t="s">
        <v>220</v>
      </c>
      <c r="D196" t="s">
        <v>165</v>
      </c>
      <c r="E196" s="4">
        <f>IF(AND('Open Questions'!$B$43&lt;&gt;"",ISNUMBER('Open Questions'!$B$43),(COUNTIF('Open Questions'!$B$2:$B$1001,'Open Questions'!$B$43)+COUNTIF('Multiple Choice Questions'!$B$2:$B$1001,'Open Questions'!$B$43)+COUNTIF('Hybrid Questions'!$B$2:$B$1001,'Open Questions'!$B$43))&gt;1),"Question number '"&amp;'Open Questions'!$B$43&amp;"' is already used by another row. Numbers must be unique because they're used as output folder names.","")</f>
        <v>0</v>
      </c>
      <c r="F196" s="4" t="s">
        <v>221</v>
      </c>
    </row>
    <row r="197" spans="1:6" ht="75" customHeight="1">
      <c r="A197" t="s">
        <v>216</v>
      </c>
      <c r="B197" t="s">
        <v>263</v>
      </c>
      <c r="C197" t="s">
        <v>220</v>
      </c>
      <c r="D197" t="s">
        <v>165</v>
      </c>
      <c r="E197" s="4">
        <f>IF(AND('Open Questions'!$B$44&lt;&gt;"",ISNUMBER('Open Questions'!$B$44),(COUNTIF('Open Questions'!$B$2:$B$1001,'Open Questions'!$B$44)+COUNTIF('Multiple Choice Questions'!$B$2:$B$1001,'Open Questions'!$B$44)+COUNTIF('Hybrid Questions'!$B$2:$B$1001,'Open Questions'!$B$44))&gt;1),"Question number '"&amp;'Open Questions'!$B$44&amp;"' is already used by another row. Numbers must be unique because they're used as output folder names.","")</f>
        <v>0</v>
      </c>
      <c r="F197" s="4" t="s">
        <v>221</v>
      </c>
    </row>
    <row r="198" spans="1:6" ht="75" customHeight="1">
      <c r="A198" t="s">
        <v>216</v>
      </c>
      <c r="B198" t="s">
        <v>264</v>
      </c>
      <c r="C198" t="s">
        <v>220</v>
      </c>
      <c r="D198" t="s">
        <v>165</v>
      </c>
      <c r="E198" s="4">
        <f>IF(AND('Open Questions'!$B$45&lt;&gt;"",ISNUMBER('Open Questions'!$B$45),(COUNTIF('Open Questions'!$B$2:$B$1001,'Open Questions'!$B$45)+COUNTIF('Multiple Choice Questions'!$B$2:$B$1001,'Open Questions'!$B$45)+COUNTIF('Hybrid Questions'!$B$2:$B$1001,'Open Questions'!$B$45))&gt;1),"Question number '"&amp;'Open Questions'!$B$45&amp;"' is already used by another row. Numbers must be unique because they're used as output folder names.","")</f>
        <v>0</v>
      </c>
      <c r="F198" s="4" t="s">
        <v>221</v>
      </c>
    </row>
    <row r="199" spans="1:6" ht="75" customHeight="1">
      <c r="A199" t="s">
        <v>216</v>
      </c>
      <c r="B199" t="s">
        <v>265</v>
      </c>
      <c r="C199" t="s">
        <v>220</v>
      </c>
      <c r="D199" t="s">
        <v>165</v>
      </c>
      <c r="E199" s="4">
        <f>IF(AND('Open Questions'!$B$46&lt;&gt;"",ISNUMBER('Open Questions'!$B$46),(COUNTIF('Open Questions'!$B$2:$B$1001,'Open Questions'!$B$46)+COUNTIF('Multiple Choice Questions'!$B$2:$B$1001,'Open Questions'!$B$46)+COUNTIF('Hybrid Questions'!$B$2:$B$1001,'Open Questions'!$B$46))&gt;1),"Question number '"&amp;'Open Questions'!$B$46&amp;"' is already used by another row. Numbers must be unique because they're used as output folder names.","")</f>
        <v>0</v>
      </c>
      <c r="F199" s="4" t="s">
        <v>221</v>
      </c>
    </row>
    <row r="200" spans="1:6" ht="75" customHeight="1">
      <c r="A200" t="s">
        <v>216</v>
      </c>
      <c r="B200" t="s">
        <v>266</v>
      </c>
      <c r="C200" t="s">
        <v>220</v>
      </c>
      <c r="D200" t="s">
        <v>165</v>
      </c>
      <c r="E200" s="4">
        <f>IF(AND('Open Questions'!$B$47&lt;&gt;"",ISNUMBER('Open Questions'!$B$47),(COUNTIF('Open Questions'!$B$2:$B$1001,'Open Questions'!$B$47)+COUNTIF('Multiple Choice Questions'!$B$2:$B$1001,'Open Questions'!$B$47)+COUNTIF('Hybrid Questions'!$B$2:$B$1001,'Open Questions'!$B$47))&gt;1),"Question number '"&amp;'Open Questions'!$B$47&amp;"' is already used by another row. Numbers must be unique because they're used as output folder names.","")</f>
        <v>0</v>
      </c>
      <c r="F200" s="4" t="s">
        <v>221</v>
      </c>
    </row>
    <row r="201" spans="1:6" ht="75" customHeight="1">
      <c r="A201" t="s">
        <v>216</v>
      </c>
      <c r="B201" t="s">
        <v>267</v>
      </c>
      <c r="C201" t="s">
        <v>220</v>
      </c>
      <c r="D201" t="s">
        <v>165</v>
      </c>
      <c r="E201" s="4">
        <f>IF(AND('Open Questions'!$B$48&lt;&gt;"",ISNUMBER('Open Questions'!$B$48),(COUNTIF('Open Questions'!$B$2:$B$1001,'Open Questions'!$B$48)+COUNTIF('Multiple Choice Questions'!$B$2:$B$1001,'Open Questions'!$B$48)+COUNTIF('Hybrid Questions'!$B$2:$B$1001,'Open Questions'!$B$48))&gt;1),"Question number '"&amp;'Open Questions'!$B$48&amp;"' is already used by another row. Numbers must be unique because they're used as output folder names.","")</f>
        <v>0</v>
      </c>
      <c r="F201" s="4" t="s">
        <v>221</v>
      </c>
    </row>
    <row r="202" spans="1:6" ht="75" customHeight="1">
      <c r="A202" t="s">
        <v>216</v>
      </c>
      <c r="B202" t="s">
        <v>268</v>
      </c>
      <c r="C202" t="s">
        <v>220</v>
      </c>
      <c r="D202" t="s">
        <v>165</v>
      </c>
      <c r="E202" s="4">
        <f>IF(AND('Open Questions'!$B$49&lt;&gt;"",ISNUMBER('Open Questions'!$B$49),(COUNTIF('Open Questions'!$B$2:$B$1001,'Open Questions'!$B$49)+COUNTIF('Multiple Choice Questions'!$B$2:$B$1001,'Open Questions'!$B$49)+COUNTIF('Hybrid Questions'!$B$2:$B$1001,'Open Questions'!$B$49))&gt;1),"Question number '"&amp;'Open Questions'!$B$49&amp;"' is already used by another row. Numbers must be unique because they're used as output folder names.","")</f>
        <v>0</v>
      </c>
      <c r="F202" s="4" t="s">
        <v>221</v>
      </c>
    </row>
    <row r="203" spans="1:6" ht="75" customHeight="1">
      <c r="A203" t="s">
        <v>216</v>
      </c>
      <c r="B203" t="s">
        <v>269</v>
      </c>
      <c r="C203" t="s">
        <v>220</v>
      </c>
      <c r="D203" t="s">
        <v>165</v>
      </c>
      <c r="E203" s="4">
        <f>IF(AND('Open Questions'!$B$50&lt;&gt;"",ISNUMBER('Open Questions'!$B$50),(COUNTIF('Open Questions'!$B$2:$B$1001,'Open Questions'!$B$50)+COUNTIF('Multiple Choice Questions'!$B$2:$B$1001,'Open Questions'!$B$50)+COUNTIF('Hybrid Questions'!$B$2:$B$1001,'Open Questions'!$B$50))&gt;1),"Question number '"&amp;'Open Questions'!$B$50&amp;"' is already used by another row. Numbers must be unique because they're used as output folder names.","")</f>
        <v>0</v>
      </c>
      <c r="F203" s="4" t="s">
        <v>221</v>
      </c>
    </row>
    <row r="204" spans="1:6" ht="75" customHeight="1">
      <c r="A204" t="s">
        <v>216</v>
      </c>
      <c r="B204" t="s">
        <v>270</v>
      </c>
      <c r="C204" t="s">
        <v>220</v>
      </c>
      <c r="D204" t="s">
        <v>165</v>
      </c>
      <c r="E204" s="4">
        <f>IF(AND('Open Questions'!$B$51&lt;&gt;"",ISNUMBER('Open Questions'!$B$51),(COUNTIF('Open Questions'!$B$2:$B$1001,'Open Questions'!$B$51)+COUNTIF('Multiple Choice Questions'!$B$2:$B$1001,'Open Questions'!$B$51)+COUNTIF('Hybrid Questions'!$B$2:$B$1001,'Open Questions'!$B$51))&gt;1),"Question number '"&amp;'Open Questions'!$B$51&amp;"' is already used by another row. Numbers must be unique because they're used as output folder names.","")</f>
        <v>0</v>
      </c>
      <c r="F204" s="4" t="s">
        <v>221</v>
      </c>
    </row>
    <row r="205" spans="1:6" ht="75" customHeight="1">
      <c r="A205" t="s">
        <v>218</v>
      </c>
      <c r="B205" t="s">
        <v>219</v>
      </c>
      <c r="C205" t="s">
        <v>220</v>
      </c>
      <c r="D205" t="s">
        <v>165</v>
      </c>
      <c r="E205" s="4">
        <f>IF(AND('Multiple Choice Questions'!$B$2&lt;&gt;"",ISNUMBER('Multiple Choice Questions'!$B$2),(COUNTIF('Open Questions'!$B$2:$B$1001,'Multiple Choice Questions'!$B$2)+COUNTIF('Multiple Choice Questions'!$B$2:$B$1001,'Multiple Choice Questions'!$B$2)+COUNTIF('Hybrid Questions'!$B$2:$B$1001,'Multiple Choice Questions'!$B$2))&gt;1),"Question number '"&amp;'Multiple Choice Questions'!$B$2&amp;"' is already used by another row. Numbers must be unique because they're used as output folder names.","")</f>
        <v>0</v>
      </c>
      <c r="F205" s="4" t="s">
        <v>221</v>
      </c>
    </row>
    <row r="206" spans="1:6" ht="75" customHeight="1">
      <c r="A206" t="s">
        <v>218</v>
      </c>
      <c r="B206" t="s">
        <v>222</v>
      </c>
      <c r="C206" t="s">
        <v>220</v>
      </c>
      <c r="D206" t="s">
        <v>165</v>
      </c>
      <c r="E206" s="4">
        <f>IF(AND('Multiple Choice Questions'!$B$3&lt;&gt;"",ISNUMBER('Multiple Choice Questions'!$B$3),(COUNTIF('Open Questions'!$B$2:$B$1001,'Multiple Choice Questions'!$B$3)+COUNTIF('Multiple Choice Questions'!$B$2:$B$1001,'Multiple Choice Questions'!$B$3)+COUNTIF('Hybrid Questions'!$B$2:$B$1001,'Multiple Choice Questions'!$B$3))&gt;1),"Question number '"&amp;'Multiple Choice Questions'!$B$3&amp;"' is already used by another row. Numbers must be unique because they're used as output folder names.","")</f>
        <v>0</v>
      </c>
      <c r="F206" s="4" t="s">
        <v>221</v>
      </c>
    </row>
    <row r="207" spans="1:6" ht="75" customHeight="1">
      <c r="A207" t="s">
        <v>218</v>
      </c>
      <c r="B207" t="s">
        <v>223</v>
      </c>
      <c r="C207" t="s">
        <v>220</v>
      </c>
      <c r="D207" t="s">
        <v>165</v>
      </c>
      <c r="E207" s="4">
        <f>IF(AND('Multiple Choice Questions'!$B$4&lt;&gt;"",ISNUMBER('Multiple Choice Questions'!$B$4),(COUNTIF('Open Questions'!$B$2:$B$1001,'Multiple Choice Questions'!$B$4)+COUNTIF('Multiple Choice Questions'!$B$2:$B$1001,'Multiple Choice Questions'!$B$4)+COUNTIF('Hybrid Questions'!$B$2:$B$1001,'Multiple Choice Questions'!$B$4))&gt;1),"Question number '"&amp;'Multiple Choice Questions'!$B$4&amp;"' is already used by another row. Numbers must be unique because they're used as output folder names.","")</f>
        <v>0</v>
      </c>
      <c r="F207" s="4" t="s">
        <v>221</v>
      </c>
    </row>
    <row r="208" spans="1:6" ht="75" customHeight="1">
      <c r="A208" t="s">
        <v>218</v>
      </c>
      <c r="B208" t="s">
        <v>224</v>
      </c>
      <c r="C208" t="s">
        <v>220</v>
      </c>
      <c r="D208" t="s">
        <v>165</v>
      </c>
      <c r="E208" s="4">
        <f>IF(AND('Multiple Choice Questions'!$B$5&lt;&gt;"",ISNUMBER('Multiple Choice Questions'!$B$5),(COUNTIF('Open Questions'!$B$2:$B$1001,'Multiple Choice Questions'!$B$5)+COUNTIF('Multiple Choice Questions'!$B$2:$B$1001,'Multiple Choice Questions'!$B$5)+COUNTIF('Hybrid Questions'!$B$2:$B$1001,'Multiple Choice Questions'!$B$5))&gt;1),"Question number '"&amp;'Multiple Choice Questions'!$B$5&amp;"' is already used by another row. Numbers must be unique because they're used as output folder names.","")</f>
        <v>0</v>
      </c>
      <c r="F208" s="4" t="s">
        <v>221</v>
      </c>
    </row>
    <row r="209" spans="1:6" ht="75" customHeight="1">
      <c r="A209" t="s">
        <v>218</v>
      </c>
      <c r="B209" t="s">
        <v>225</v>
      </c>
      <c r="C209" t="s">
        <v>220</v>
      </c>
      <c r="D209" t="s">
        <v>165</v>
      </c>
      <c r="E209" s="4">
        <f>IF(AND('Multiple Choice Questions'!$B$6&lt;&gt;"",ISNUMBER('Multiple Choice Questions'!$B$6),(COUNTIF('Open Questions'!$B$2:$B$1001,'Multiple Choice Questions'!$B$6)+COUNTIF('Multiple Choice Questions'!$B$2:$B$1001,'Multiple Choice Questions'!$B$6)+COUNTIF('Hybrid Questions'!$B$2:$B$1001,'Multiple Choice Questions'!$B$6))&gt;1),"Question number '"&amp;'Multiple Choice Questions'!$B$6&amp;"' is already used by another row. Numbers must be unique because they're used as output folder names.","")</f>
        <v>0</v>
      </c>
      <c r="F209" s="4" t="s">
        <v>221</v>
      </c>
    </row>
    <row r="210" spans="1:6" ht="75" customHeight="1">
      <c r="A210" t="s">
        <v>218</v>
      </c>
      <c r="B210" t="s">
        <v>226</v>
      </c>
      <c r="C210" t="s">
        <v>220</v>
      </c>
      <c r="D210" t="s">
        <v>165</v>
      </c>
      <c r="E210" s="4">
        <f>IF(AND('Multiple Choice Questions'!$B$7&lt;&gt;"",ISNUMBER('Multiple Choice Questions'!$B$7),(COUNTIF('Open Questions'!$B$2:$B$1001,'Multiple Choice Questions'!$B$7)+COUNTIF('Multiple Choice Questions'!$B$2:$B$1001,'Multiple Choice Questions'!$B$7)+COUNTIF('Hybrid Questions'!$B$2:$B$1001,'Multiple Choice Questions'!$B$7))&gt;1),"Question number '"&amp;'Multiple Choice Questions'!$B$7&amp;"' is already used by another row. Numbers must be unique because they're used as output folder names.","")</f>
        <v>0</v>
      </c>
      <c r="F210" s="4" t="s">
        <v>221</v>
      </c>
    </row>
    <row r="211" spans="1:6" ht="75" customHeight="1">
      <c r="A211" t="s">
        <v>218</v>
      </c>
      <c r="B211" t="s">
        <v>227</v>
      </c>
      <c r="C211" t="s">
        <v>220</v>
      </c>
      <c r="D211" t="s">
        <v>165</v>
      </c>
      <c r="E211" s="4">
        <f>IF(AND('Multiple Choice Questions'!$B$8&lt;&gt;"",ISNUMBER('Multiple Choice Questions'!$B$8),(COUNTIF('Open Questions'!$B$2:$B$1001,'Multiple Choice Questions'!$B$8)+COUNTIF('Multiple Choice Questions'!$B$2:$B$1001,'Multiple Choice Questions'!$B$8)+COUNTIF('Hybrid Questions'!$B$2:$B$1001,'Multiple Choice Questions'!$B$8))&gt;1),"Question number '"&amp;'Multiple Choice Questions'!$B$8&amp;"' is already used by another row. Numbers must be unique because they're used as output folder names.","")</f>
        <v>0</v>
      </c>
      <c r="F211" s="4" t="s">
        <v>221</v>
      </c>
    </row>
    <row r="212" spans="1:6" ht="75" customHeight="1">
      <c r="A212" t="s">
        <v>218</v>
      </c>
      <c r="B212" t="s">
        <v>228</v>
      </c>
      <c r="C212" t="s">
        <v>220</v>
      </c>
      <c r="D212" t="s">
        <v>165</v>
      </c>
      <c r="E212" s="4">
        <f>IF(AND('Multiple Choice Questions'!$B$9&lt;&gt;"",ISNUMBER('Multiple Choice Questions'!$B$9),(COUNTIF('Open Questions'!$B$2:$B$1001,'Multiple Choice Questions'!$B$9)+COUNTIF('Multiple Choice Questions'!$B$2:$B$1001,'Multiple Choice Questions'!$B$9)+COUNTIF('Hybrid Questions'!$B$2:$B$1001,'Multiple Choice Questions'!$B$9))&gt;1),"Question number '"&amp;'Multiple Choice Questions'!$B$9&amp;"' is already used by another row. Numbers must be unique because they're used as output folder names.","")</f>
        <v>0</v>
      </c>
      <c r="F212" s="4" t="s">
        <v>221</v>
      </c>
    </row>
    <row r="213" spans="1:6" ht="75" customHeight="1">
      <c r="A213" t="s">
        <v>218</v>
      </c>
      <c r="B213" t="s">
        <v>229</v>
      </c>
      <c r="C213" t="s">
        <v>220</v>
      </c>
      <c r="D213" t="s">
        <v>165</v>
      </c>
      <c r="E213" s="4">
        <f>IF(AND('Multiple Choice Questions'!$B$10&lt;&gt;"",ISNUMBER('Multiple Choice Questions'!$B$10),(COUNTIF('Open Questions'!$B$2:$B$1001,'Multiple Choice Questions'!$B$10)+COUNTIF('Multiple Choice Questions'!$B$2:$B$1001,'Multiple Choice Questions'!$B$10)+COUNTIF('Hybrid Questions'!$B$2:$B$1001,'Multiple Choice Questions'!$B$10))&gt;1),"Question number '"&amp;'Multiple Choice Questions'!$B$10&amp;"' is already used by another row. Numbers must be unique because they're used as output folder names.","")</f>
        <v>0</v>
      </c>
      <c r="F213" s="4" t="s">
        <v>221</v>
      </c>
    </row>
    <row r="214" spans="1:6" ht="75" customHeight="1">
      <c r="A214" t="s">
        <v>218</v>
      </c>
      <c r="B214" t="s">
        <v>230</v>
      </c>
      <c r="C214" t="s">
        <v>220</v>
      </c>
      <c r="D214" t="s">
        <v>165</v>
      </c>
      <c r="E214" s="4">
        <f>IF(AND('Multiple Choice Questions'!$B$11&lt;&gt;"",ISNUMBER('Multiple Choice Questions'!$B$11),(COUNTIF('Open Questions'!$B$2:$B$1001,'Multiple Choice Questions'!$B$11)+COUNTIF('Multiple Choice Questions'!$B$2:$B$1001,'Multiple Choice Questions'!$B$11)+COUNTIF('Hybrid Questions'!$B$2:$B$1001,'Multiple Choice Questions'!$B$11))&gt;1),"Question number '"&amp;'Multiple Choice Questions'!$B$11&amp;"' is already used by another row. Numbers must be unique because they're used as output folder names.","")</f>
        <v>0</v>
      </c>
      <c r="F214" s="4" t="s">
        <v>221</v>
      </c>
    </row>
    <row r="215" spans="1:6" ht="75" customHeight="1">
      <c r="A215" t="s">
        <v>218</v>
      </c>
      <c r="B215" t="s">
        <v>231</v>
      </c>
      <c r="C215" t="s">
        <v>220</v>
      </c>
      <c r="D215" t="s">
        <v>165</v>
      </c>
      <c r="E215" s="4">
        <f>IF(AND('Multiple Choice Questions'!$B$12&lt;&gt;"",ISNUMBER('Multiple Choice Questions'!$B$12),(COUNTIF('Open Questions'!$B$2:$B$1001,'Multiple Choice Questions'!$B$12)+COUNTIF('Multiple Choice Questions'!$B$2:$B$1001,'Multiple Choice Questions'!$B$12)+COUNTIF('Hybrid Questions'!$B$2:$B$1001,'Multiple Choice Questions'!$B$12))&gt;1),"Question number '"&amp;'Multiple Choice Questions'!$B$12&amp;"' is already used by another row. Numbers must be unique because they're used as output folder names.","")</f>
        <v>0</v>
      </c>
      <c r="F215" s="4" t="s">
        <v>221</v>
      </c>
    </row>
    <row r="216" spans="1:6" ht="75" customHeight="1">
      <c r="A216" t="s">
        <v>218</v>
      </c>
      <c r="B216" t="s">
        <v>232</v>
      </c>
      <c r="C216" t="s">
        <v>220</v>
      </c>
      <c r="D216" t="s">
        <v>165</v>
      </c>
      <c r="E216" s="4">
        <f>IF(AND('Multiple Choice Questions'!$B$13&lt;&gt;"",ISNUMBER('Multiple Choice Questions'!$B$13),(COUNTIF('Open Questions'!$B$2:$B$1001,'Multiple Choice Questions'!$B$13)+COUNTIF('Multiple Choice Questions'!$B$2:$B$1001,'Multiple Choice Questions'!$B$13)+COUNTIF('Hybrid Questions'!$B$2:$B$1001,'Multiple Choice Questions'!$B$13))&gt;1),"Question number '"&amp;'Multiple Choice Questions'!$B$13&amp;"' is already used by another row. Numbers must be unique because they're used as output folder names.","")</f>
        <v>0</v>
      </c>
      <c r="F216" s="4" t="s">
        <v>221</v>
      </c>
    </row>
    <row r="217" spans="1:6" ht="75" customHeight="1">
      <c r="A217" t="s">
        <v>218</v>
      </c>
      <c r="B217" t="s">
        <v>233</v>
      </c>
      <c r="C217" t="s">
        <v>220</v>
      </c>
      <c r="D217" t="s">
        <v>165</v>
      </c>
      <c r="E217" s="4">
        <f>IF(AND('Multiple Choice Questions'!$B$14&lt;&gt;"",ISNUMBER('Multiple Choice Questions'!$B$14),(COUNTIF('Open Questions'!$B$2:$B$1001,'Multiple Choice Questions'!$B$14)+COUNTIF('Multiple Choice Questions'!$B$2:$B$1001,'Multiple Choice Questions'!$B$14)+COUNTIF('Hybrid Questions'!$B$2:$B$1001,'Multiple Choice Questions'!$B$14))&gt;1),"Question number '"&amp;'Multiple Choice Questions'!$B$14&amp;"' is already used by another row. Numbers must be unique because they're used as output folder names.","")</f>
        <v>0</v>
      </c>
      <c r="F217" s="4" t="s">
        <v>221</v>
      </c>
    </row>
    <row r="218" spans="1:6" ht="75" customHeight="1">
      <c r="A218" t="s">
        <v>218</v>
      </c>
      <c r="B218" t="s">
        <v>234</v>
      </c>
      <c r="C218" t="s">
        <v>220</v>
      </c>
      <c r="D218" t="s">
        <v>165</v>
      </c>
      <c r="E218" s="4">
        <f>IF(AND('Multiple Choice Questions'!$B$15&lt;&gt;"",ISNUMBER('Multiple Choice Questions'!$B$15),(COUNTIF('Open Questions'!$B$2:$B$1001,'Multiple Choice Questions'!$B$15)+COUNTIF('Multiple Choice Questions'!$B$2:$B$1001,'Multiple Choice Questions'!$B$15)+COUNTIF('Hybrid Questions'!$B$2:$B$1001,'Multiple Choice Questions'!$B$15))&gt;1),"Question number '"&amp;'Multiple Choice Questions'!$B$15&amp;"' is already used by another row. Numbers must be unique because they're used as output folder names.","")</f>
        <v>0</v>
      </c>
      <c r="F218" s="4" t="s">
        <v>221</v>
      </c>
    </row>
    <row r="219" spans="1:6" ht="75" customHeight="1">
      <c r="A219" t="s">
        <v>218</v>
      </c>
      <c r="B219" t="s">
        <v>235</v>
      </c>
      <c r="C219" t="s">
        <v>220</v>
      </c>
      <c r="D219" t="s">
        <v>165</v>
      </c>
      <c r="E219" s="4">
        <f>IF(AND('Multiple Choice Questions'!$B$16&lt;&gt;"",ISNUMBER('Multiple Choice Questions'!$B$16),(COUNTIF('Open Questions'!$B$2:$B$1001,'Multiple Choice Questions'!$B$16)+COUNTIF('Multiple Choice Questions'!$B$2:$B$1001,'Multiple Choice Questions'!$B$16)+COUNTIF('Hybrid Questions'!$B$2:$B$1001,'Multiple Choice Questions'!$B$16))&gt;1),"Question number '"&amp;'Multiple Choice Questions'!$B$16&amp;"' is already used by another row. Numbers must be unique because they're used as output folder names.","")</f>
        <v>0</v>
      </c>
      <c r="F219" s="4" t="s">
        <v>221</v>
      </c>
    </row>
    <row r="220" spans="1:6" ht="75" customHeight="1">
      <c r="A220" t="s">
        <v>218</v>
      </c>
      <c r="B220" t="s">
        <v>236</v>
      </c>
      <c r="C220" t="s">
        <v>220</v>
      </c>
      <c r="D220" t="s">
        <v>165</v>
      </c>
      <c r="E220" s="4">
        <f>IF(AND('Multiple Choice Questions'!$B$17&lt;&gt;"",ISNUMBER('Multiple Choice Questions'!$B$17),(COUNTIF('Open Questions'!$B$2:$B$1001,'Multiple Choice Questions'!$B$17)+COUNTIF('Multiple Choice Questions'!$B$2:$B$1001,'Multiple Choice Questions'!$B$17)+COUNTIF('Hybrid Questions'!$B$2:$B$1001,'Multiple Choice Questions'!$B$17))&gt;1),"Question number '"&amp;'Multiple Choice Questions'!$B$17&amp;"' is already used by another row. Numbers must be unique because they're used as output folder names.","")</f>
        <v>0</v>
      </c>
      <c r="F220" s="4" t="s">
        <v>221</v>
      </c>
    </row>
    <row r="221" spans="1:6" ht="75" customHeight="1">
      <c r="A221" t="s">
        <v>218</v>
      </c>
      <c r="B221" t="s">
        <v>237</v>
      </c>
      <c r="C221" t="s">
        <v>220</v>
      </c>
      <c r="D221" t="s">
        <v>165</v>
      </c>
      <c r="E221" s="4">
        <f>IF(AND('Multiple Choice Questions'!$B$18&lt;&gt;"",ISNUMBER('Multiple Choice Questions'!$B$18),(COUNTIF('Open Questions'!$B$2:$B$1001,'Multiple Choice Questions'!$B$18)+COUNTIF('Multiple Choice Questions'!$B$2:$B$1001,'Multiple Choice Questions'!$B$18)+COUNTIF('Hybrid Questions'!$B$2:$B$1001,'Multiple Choice Questions'!$B$18))&gt;1),"Question number '"&amp;'Multiple Choice Questions'!$B$18&amp;"' is already used by another row. Numbers must be unique because they're used as output folder names.","")</f>
        <v>0</v>
      </c>
      <c r="F221" s="4" t="s">
        <v>221</v>
      </c>
    </row>
    <row r="222" spans="1:6" ht="75" customHeight="1">
      <c r="A222" t="s">
        <v>218</v>
      </c>
      <c r="B222" t="s">
        <v>238</v>
      </c>
      <c r="C222" t="s">
        <v>220</v>
      </c>
      <c r="D222" t="s">
        <v>165</v>
      </c>
      <c r="E222" s="4">
        <f>IF(AND('Multiple Choice Questions'!$B$19&lt;&gt;"",ISNUMBER('Multiple Choice Questions'!$B$19),(COUNTIF('Open Questions'!$B$2:$B$1001,'Multiple Choice Questions'!$B$19)+COUNTIF('Multiple Choice Questions'!$B$2:$B$1001,'Multiple Choice Questions'!$B$19)+COUNTIF('Hybrid Questions'!$B$2:$B$1001,'Multiple Choice Questions'!$B$19))&gt;1),"Question number '"&amp;'Multiple Choice Questions'!$B$19&amp;"' is already used by another row. Numbers must be unique because they're used as output folder names.","")</f>
        <v>0</v>
      </c>
      <c r="F222" s="4" t="s">
        <v>221</v>
      </c>
    </row>
    <row r="223" spans="1:6" ht="75" customHeight="1">
      <c r="A223" t="s">
        <v>218</v>
      </c>
      <c r="B223" t="s">
        <v>239</v>
      </c>
      <c r="C223" t="s">
        <v>220</v>
      </c>
      <c r="D223" t="s">
        <v>165</v>
      </c>
      <c r="E223" s="4">
        <f>IF(AND('Multiple Choice Questions'!$B$20&lt;&gt;"",ISNUMBER('Multiple Choice Questions'!$B$20),(COUNTIF('Open Questions'!$B$2:$B$1001,'Multiple Choice Questions'!$B$20)+COUNTIF('Multiple Choice Questions'!$B$2:$B$1001,'Multiple Choice Questions'!$B$20)+COUNTIF('Hybrid Questions'!$B$2:$B$1001,'Multiple Choice Questions'!$B$20))&gt;1),"Question number '"&amp;'Multiple Choice Questions'!$B$20&amp;"' is already used by another row. Numbers must be unique because they're used as output folder names.","")</f>
        <v>0</v>
      </c>
      <c r="F223" s="4" t="s">
        <v>221</v>
      </c>
    </row>
    <row r="224" spans="1:6" ht="75" customHeight="1">
      <c r="A224" t="s">
        <v>218</v>
      </c>
      <c r="B224" t="s">
        <v>240</v>
      </c>
      <c r="C224" t="s">
        <v>220</v>
      </c>
      <c r="D224" t="s">
        <v>165</v>
      </c>
      <c r="E224" s="4">
        <f>IF(AND('Multiple Choice Questions'!$B$21&lt;&gt;"",ISNUMBER('Multiple Choice Questions'!$B$21),(COUNTIF('Open Questions'!$B$2:$B$1001,'Multiple Choice Questions'!$B$21)+COUNTIF('Multiple Choice Questions'!$B$2:$B$1001,'Multiple Choice Questions'!$B$21)+COUNTIF('Hybrid Questions'!$B$2:$B$1001,'Multiple Choice Questions'!$B$21))&gt;1),"Question number '"&amp;'Multiple Choice Questions'!$B$21&amp;"' is already used by another row. Numbers must be unique because they're used as output folder names.","")</f>
        <v>0</v>
      </c>
      <c r="F224" s="4" t="s">
        <v>221</v>
      </c>
    </row>
    <row r="225" spans="1:6" ht="75" customHeight="1">
      <c r="A225" t="s">
        <v>218</v>
      </c>
      <c r="B225" t="s">
        <v>241</v>
      </c>
      <c r="C225" t="s">
        <v>220</v>
      </c>
      <c r="D225" t="s">
        <v>165</v>
      </c>
      <c r="E225" s="4">
        <f>IF(AND('Multiple Choice Questions'!$B$22&lt;&gt;"",ISNUMBER('Multiple Choice Questions'!$B$22),(COUNTIF('Open Questions'!$B$2:$B$1001,'Multiple Choice Questions'!$B$22)+COUNTIF('Multiple Choice Questions'!$B$2:$B$1001,'Multiple Choice Questions'!$B$22)+COUNTIF('Hybrid Questions'!$B$2:$B$1001,'Multiple Choice Questions'!$B$22))&gt;1),"Question number '"&amp;'Multiple Choice Questions'!$B$22&amp;"' is already used by another row. Numbers must be unique because they're used as output folder names.","")</f>
        <v>0</v>
      </c>
      <c r="F225" s="4" t="s">
        <v>221</v>
      </c>
    </row>
    <row r="226" spans="1:6" ht="75" customHeight="1">
      <c r="A226" t="s">
        <v>218</v>
      </c>
      <c r="B226" t="s">
        <v>242</v>
      </c>
      <c r="C226" t="s">
        <v>220</v>
      </c>
      <c r="D226" t="s">
        <v>165</v>
      </c>
      <c r="E226" s="4">
        <f>IF(AND('Multiple Choice Questions'!$B$23&lt;&gt;"",ISNUMBER('Multiple Choice Questions'!$B$23),(COUNTIF('Open Questions'!$B$2:$B$1001,'Multiple Choice Questions'!$B$23)+COUNTIF('Multiple Choice Questions'!$B$2:$B$1001,'Multiple Choice Questions'!$B$23)+COUNTIF('Hybrid Questions'!$B$2:$B$1001,'Multiple Choice Questions'!$B$23))&gt;1),"Question number '"&amp;'Multiple Choice Questions'!$B$23&amp;"' is already used by another row. Numbers must be unique because they're used as output folder names.","")</f>
        <v>0</v>
      </c>
      <c r="F226" s="4" t="s">
        <v>221</v>
      </c>
    </row>
    <row r="227" spans="1:6" ht="75" customHeight="1">
      <c r="A227" t="s">
        <v>218</v>
      </c>
      <c r="B227" t="s">
        <v>243</v>
      </c>
      <c r="C227" t="s">
        <v>220</v>
      </c>
      <c r="D227" t="s">
        <v>165</v>
      </c>
      <c r="E227" s="4">
        <f>IF(AND('Multiple Choice Questions'!$B$24&lt;&gt;"",ISNUMBER('Multiple Choice Questions'!$B$24),(COUNTIF('Open Questions'!$B$2:$B$1001,'Multiple Choice Questions'!$B$24)+COUNTIF('Multiple Choice Questions'!$B$2:$B$1001,'Multiple Choice Questions'!$B$24)+COUNTIF('Hybrid Questions'!$B$2:$B$1001,'Multiple Choice Questions'!$B$24))&gt;1),"Question number '"&amp;'Multiple Choice Questions'!$B$24&amp;"' is already used by another row. Numbers must be unique because they're used as output folder names.","")</f>
        <v>0</v>
      </c>
      <c r="F227" s="4" t="s">
        <v>221</v>
      </c>
    </row>
    <row r="228" spans="1:6" ht="75" customHeight="1">
      <c r="A228" t="s">
        <v>218</v>
      </c>
      <c r="B228" t="s">
        <v>244</v>
      </c>
      <c r="C228" t="s">
        <v>220</v>
      </c>
      <c r="D228" t="s">
        <v>165</v>
      </c>
      <c r="E228" s="4">
        <f>IF(AND('Multiple Choice Questions'!$B$25&lt;&gt;"",ISNUMBER('Multiple Choice Questions'!$B$25),(COUNTIF('Open Questions'!$B$2:$B$1001,'Multiple Choice Questions'!$B$25)+COUNTIF('Multiple Choice Questions'!$B$2:$B$1001,'Multiple Choice Questions'!$B$25)+COUNTIF('Hybrid Questions'!$B$2:$B$1001,'Multiple Choice Questions'!$B$25))&gt;1),"Question number '"&amp;'Multiple Choice Questions'!$B$25&amp;"' is already used by another row. Numbers must be unique because they're used as output folder names.","")</f>
        <v>0</v>
      </c>
      <c r="F228" s="4" t="s">
        <v>221</v>
      </c>
    </row>
    <row r="229" spans="1:6" ht="75" customHeight="1">
      <c r="A229" t="s">
        <v>218</v>
      </c>
      <c r="B229" t="s">
        <v>245</v>
      </c>
      <c r="C229" t="s">
        <v>220</v>
      </c>
      <c r="D229" t="s">
        <v>165</v>
      </c>
      <c r="E229" s="4">
        <f>IF(AND('Multiple Choice Questions'!$B$26&lt;&gt;"",ISNUMBER('Multiple Choice Questions'!$B$26),(COUNTIF('Open Questions'!$B$2:$B$1001,'Multiple Choice Questions'!$B$26)+COUNTIF('Multiple Choice Questions'!$B$2:$B$1001,'Multiple Choice Questions'!$B$26)+COUNTIF('Hybrid Questions'!$B$2:$B$1001,'Multiple Choice Questions'!$B$26))&gt;1),"Question number '"&amp;'Multiple Choice Questions'!$B$26&amp;"' is already used by another row. Numbers must be unique because they're used as output folder names.","")</f>
        <v>0</v>
      </c>
      <c r="F229" s="4" t="s">
        <v>221</v>
      </c>
    </row>
    <row r="230" spans="1:6" ht="75" customHeight="1">
      <c r="A230" t="s">
        <v>218</v>
      </c>
      <c r="B230" t="s">
        <v>246</v>
      </c>
      <c r="C230" t="s">
        <v>220</v>
      </c>
      <c r="D230" t="s">
        <v>165</v>
      </c>
      <c r="E230" s="4">
        <f>IF(AND('Multiple Choice Questions'!$B$27&lt;&gt;"",ISNUMBER('Multiple Choice Questions'!$B$27),(COUNTIF('Open Questions'!$B$2:$B$1001,'Multiple Choice Questions'!$B$27)+COUNTIF('Multiple Choice Questions'!$B$2:$B$1001,'Multiple Choice Questions'!$B$27)+COUNTIF('Hybrid Questions'!$B$2:$B$1001,'Multiple Choice Questions'!$B$27))&gt;1),"Question number '"&amp;'Multiple Choice Questions'!$B$27&amp;"' is already used by another row. Numbers must be unique because they're used as output folder names.","")</f>
        <v>0</v>
      </c>
      <c r="F230" s="4" t="s">
        <v>221</v>
      </c>
    </row>
    <row r="231" spans="1:6" ht="75" customHeight="1">
      <c r="A231" t="s">
        <v>218</v>
      </c>
      <c r="B231" t="s">
        <v>247</v>
      </c>
      <c r="C231" t="s">
        <v>220</v>
      </c>
      <c r="D231" t="s">
        <v>165</v>
      </c>
      <c r="E231" s="4">
        <f>IF(AND('Multiple Choice Questions'!$B$28&lt;&gt;"",ISNUMBER('Multiple Choice Questions'!$B$28),(COUNTIF('Open Questions'!$B$2:$B$1001,'Multiple Choice Questions'!$B$28)+COUNTIF('Multiple Choice Questions'!$B$2:$B$1001,'Multiple Choice Questions'!$B$28)+COUNTIF('Hybrid Questions'!$B$2:$B$1001,'Multiple Choice Questions'!$B$28))&gt;1),"Question number '"&amp;'Multiple Choice Questions'!$B$28&amp;"' is already used by another row. Numbers must be unique because they're used as output folder names.","")</f>
        <v>0</v>
      </c>
      <c r="F231" s="4" t="s">
        <v>221</v>
      </c>
    </row>
    <row r="232" spans="1:6" ht="75" customHeight="1">
      <c r="A232" t="s">
        <v>218</v>
      </c>
      <c r="B232" t="s">
        <v>248</v>
      </c>
      <c r="C232" t="s">
        <v>220</v>
      </c>
      <c r="D232" t="s">
        <v>165</v>
      </c>
      <c r="E232" s="4">
        <f>IF(AND('Multiple Choice Questions'!$B$29&lt;&gt;"",ISNUMBER('Multiple Choice Questions'!$B$29),(COUNTIF('Open Questions'!$B$2:$B$1001,'Multiple Choice Questions'!$B$29)+COUNTIF('Multiple Choice Questions'!$B$2:$B$1001,'Multiple Choice Questions'!$B$29)+COUNTIF('Hybrid Questions'!$B$2:$B$1001,'Multiple Choice Questions'!$B$29))&gt;1),"Question number '"&amp;'Multiple Choice Questions'!$B$29&amp;"' is already used by another row. Numbers must be unique because they're used as output folder names.","")</f>
        <v>0</v>
      </c>
      <c r="F232" s="4" t="s">
        <v>221</v>
      </c>
    </row>
    <row r="233" spans="1:6" ht="75" customHeight="1">
      <c r="A233" t="s">
        <v>218</v>
      </c>
      <c r="B233" t="s">
        <v>249</v>
      </c>
      <c r="C233" t="s">
        <v>220</v>
      </c>
      <c r="D233" t="s">
        <v>165</v>
      </c>
      <c r="E233" s="4">
        <f>IF(AND('Multiple Choice Questions'!$B$30&lt;&gt;"",ISNUMBER('Multiple Choice Questions'!$B$30),(COUNTIF('Open Questions'!$B$2:$B$1001,'Multiple Choice Questions'!$B$30)+COUNTIF('Multiple Choice Questions'!$B$2:$B$1001,'Multiple Choice Questions'!$B$30)+COUNTIF('Hybrid Questions'!$B$2:$B$1001,'Multiple Choice Questions'!$B$30))&gt;1),"Question number '"&amp;'Multiple Choice Questions'!$B$30&amp;"' is already used by another row. Numbers must be unique because they're used as output folder names.","")</f>
        <v>0</v>
      </c>
      <c r="F233" s="4" t="s">
        <v>221</v>
      </c>
    </row>
    <row r="234" spans="1:6" ht="75" customHeight="1">
      <c r="A234" t="s">
        <v>218</v>
      </c>
      <c r="B234" t="s">
        <v>250</v>
      </c>
      <c r="C234" t="s">
        <v>220</v>
      </c>
      <c r="D234" t="s">
        <v>165</v>
      </c>
      <c r="E234" s="4">
        <f>IF(AND('Multiple Choice Questions'!$B$31&lt;&gt;"",ISNUMBER('Multiple Choice Questions'!$B$31),(COUNTIF('Open Questions'!$B$2:$B$1001,'Multiple Choice Questions'!$B$31)+COUNTIF('Multiple Choice Questions'!$B$2:$B$1001,'Multiple Choice Questions'!$B$31)+COUNTIF('Hybrid Questions'!$B$2:$B$1001,'Multiple Choice Questions'!$B$31))&gt;1),"Question number '"&amp;'Multiple Choice Questions'!$B$31&amp;"' is already used by another row. Numbers must be unique because they're used as output folder names.","")</f>
        <v>0</v>
      </c>
      <c r="F234" s="4" t="s">
        <v>221</v>
      </c>
    </row>
    <row r="235" spans="1:6" ht="75" customHeight="1">
      <c r="A235" t="s">
        <v>218</v>
      </c>
      <c r="B235" t="s">
        <v>251</v>
      </c>
      <c r="C235" t="s">
        <v>220</v>
      </c>
      <c r="D235" t="s">
        <v>165</v>
      </c>
      <c r="E235" s="4">
        <f>IF(AND('Multiple Choice Questions'!$B$32&lt;&gt;"",ISNUMBER('Multiple Choice Questions'!$B$32),(COUNTIF('Open Questions'!$B$2:$B$1001,'Multiple Choice Questions'!$B$32)+COUNTIF('Multiple Choice Questions'!$B$2:$B$1001,'Multiple Choice Questions'!$B$32)+COUNTIF('Hybrid Questions'!$B$2:$B$1001,'Multiple Choice Questions'!$B$32))&gt;1),"Question number '"&amp;'Multiple Choice Questions'!$B$32&amp;"' is already used by another row. Numbers must be unique because they're used as output folder names.","")</f>
        <v>0</v>
      </c>
      <c r="F235" s="4" t="s">
        <v>221</v>
      </c>
    </row>
    <row r="236" spans="1:6" ht="75" customHeight="1">
      <c r="A236" t="s">
        <v>218</v>
      </c>
      <c r="B236" t="s">
        <v>252</v>
      </c>
      <c r="C236" t="s">
        <v>220</v>
      </c>
      <c r="D236" t="s">
        <v>165</v>
      </c>
      <c r="E236" s="4">
        <f>IF(AND('Multiple Choice Questions'!$B$33&lt;&gt;"",ISNUMBER('Multiple Choice Questions'!$B$33),(COUNTIF('Open Questions'!$B$2:$B$1001,'Multiple Choice Questions'!$B$33)+COUNTIF('Multiple Choice Questions'!$B$2:$B$1001,'Multiple Choice Questions'!$B$33)+COUNTIF('Hybrid Questions'!$B$2:$B$1001,'Multiple Choice Questions'!$B$33))&gt;1),"Question number '"&amp;'Multiple Choice Questions'!$B$33&amp;"' is already used by another row. Numbers must be unique because they're used as output folder names.","")</f>
        <v>0</v>
      </c>
      <c r="F236" s="4" t="s">
        <v>221</v>
      </c>
    </row>
    <row r="237" spans="1:6" ht="75" customHeight="1">
      <c r="A237" t="s">
        <v>218</v>
      </c>
      <c r="B237" t="s">
        <v>253</v>
      </c>
      <c r="C237" t="s">
        <v>220</v>
      </c>
      <c r="D237" t="s">
        <v>165</v>
      </c>
      <c r="E237" s="4">
        <f>IF(AND('Multiple Choice Questions'!$B$34&lt;&gt;"",ISNUMBER('Multiple Choice Questions'!$B$34),(COUNTIF('Open Questions'!$B$2:$B$1001,'Multiple Choice Questions'!$B$34)+COUNTIF('Multiple Choice Questions'!$B$2:$B$1001,'Multiple Choice Questions'!$B$34)+COUNTIF('Hybrid Questions'!$B$2:$B$1001,'Multiple Choice Questions'!$B$34))&gt;1),"Question number '"&amp;'Multiple Choice Questions'!$B$34&amp;"' is already used by another row. Numbers must be unique because they're used as output folder names.","")</f>
        <v>0</v>
      </c>
      <c r="F237" s="4" t="s">
        <v>221</v>
      </c>
    </row>
    <row r="238" spans="1:6" ht="75" customHeight="1">
      <c r="A238" t="s">
        <v>218</v>
      </c>
      <c r="B238" t="s">
        <v>254</v>
      </c>
      <c r="C238" t="s">
        <v>220</v>
      </c>
      <c r="D238" t="s">
        <v>165</v>
      </c>
      <c r="E238" s="4">
        <f>IF(AND('Multiple Choice Questions'!$B$35&lt;&gt;"",ISNUMBER('Multiple Choice Questions'!$B$35),(COUNTIF('Open Questions'!$B$2:$B$1001,'Multiple Choice Questions'!$B$35)+COUNTIF('Multiple Choice Questions'!$B$2:$B$1001,'Multiple Choice Questions'!$B$35)+COUNTIF('Hybrid Questions'!$B$2:$B$1001,'Multiple Choice Questions'!$B$35))&gt;1),"Question number '"&amp;'Multiple Choice Questions'!$B$35&amp;"' is already used by another row. Numbers must be unique because they're used as output folder names.","")</f>
        <v>0</v>
      </c>
      <c r="F238" s="4" t="s">
        <v>221</v>
      </c>
    </row>
    <row r="239" spans="1:6" ht="75" customHeight="1">
      <c r="A239" t="s">
        <v>218</v>
      </c>
      <c r="B239" t="s">
        <v>255</v>
      </c>
      <c r="C239" t="s">
        <v>220</v>
      </c>
      <c r="D239" t="s">
        <v>165</v>
      </c>
      <c r="E239" s="4">
        <f>IF(AND('Multiple Choice Questions'!$B$36&lt;&gt;"",ISNUMBER('Multiple Choice Questions'!$B$36),(COUNTIF('Open Questions'!$B$2:$B$1001,'Multiple Choice Questions'!$B$36)+COUNTIF('Multiple Choice Questions'!$B$2:$B$1001,'Multiple Choice Questions'!$B$36)+COUNTIF('Hybrid Questions'!$B$2:$B$1001,'Multiple Choice Questions'!$B$36))&gt;1),"Question number '"&amp;'Multiple Choice Questions'!$B$36&amp;"' is already used by another row. Numbers must be unique because they're used as output folder names.","")</f>
        <v>0</v>
      </c>
      <c r="F239" s="4" t="s">
        <v>221</v>
      </c>
    </row>
    <row r="240" spans="1:6" ht="75" customHeight="1">
      <c r="A240" t="s">
        <v>218</v>
      </c>
      <c r="B240" t="s">
        <v>256</v>
      </c>
      <c r="C240" t="s">
        <v>220</v>
      </c>
      <c r="D240" t="s">
        <v>165</v>
      </c>
      <c r="E240" s="4">
        <f>IF(AND('Multiple Choice Questions'!$B$37&lt;&gt;"",ISNUMBER('Multiple Choice Questions'!$B$37),(COUNTIF('Open Questions'!$B$2:$B$1001,'Multiple Choice Questions'!$B$37)+COUNTIF('Multiple Choice Questions'!$B$2:$B$1001,'Multiple Choice Questions'!$B$37)+COUNTIF('Hybrid Questions'!$B$2:$B$1001,'Multiple Choice Questions'!$B$37))&gt;1),"Question number '"&amp;'Multiple Choice Questions'!$B$37&amp;"' is already used by another row. Numbers must be unique because they're used as output folder names.","")</f>
        <v>0</v>
      </c>
      <c r="F240" s="4" t="s">
        <v>221</v>
      </c>
    </row>
    <row r="241" spans="1:6" ht="75" customHeight="1">
      <c r="A241" t="s">
        <v>218</v>
      </c>
      <c r="B241" t="s">
        <v>257</v>
      </c>
      <c r="C241" t="s">
        <v>220</v>
      </c>
      <c r="D241" t="s">
        <v>165</v>
      </c>
      <c r="E241" s="4">
        <f>IF(AND('Multiple Choice Questions'!$B$38&lt;&gt;"",ISNUMBER('Multiple Choice Questions'!$B$38),(COUNTIF('Open Questions'!$B$2:$B$1001,'Multiple Choice Questions'!$B$38)+COUNTIF('Multiple Choice Questions'!$B$2:$B$1001,'Multiple Choice Questions'!$B$38)+COUNTIF('Hybrid Questions'!$B$2:$B$1001,'Multiple Choice Questions'!$B$38))&gt;1),"Question number '"&amp;'Multiple Choice Questions'!$B$38&amp;"' is already used by another row. Numbers must be unique because they're used as output folder names.","")</f>
        <v>0</v>
      </c>
      <c r="F241" s="4" t="s">
        <v>221</v>
      </c>
    </row>
    <row r="242" spans="1:6" ht="75" customHeight="1">
      <c r="A242" t="s">
        <v>218</v>
      </c>
      <c r="B242" t="s">
        <v>258</v>
      </c>
      <c r="C242" t="s">
        <v>220</v>
      </c>
      <c r="D242" t="s">
        <v>165</v>
      </c>
      <c r="E242" s="4">
        <f>IF(AND('Multiple Choice Questions'!$B$39&lt;&gt;"",ISNUMBER('Multiple Choice Questions'!$B$39),(COUNTIF('Open Questions'!$B$2:$B$1001,'Multiple Choice Questions'!$B$39)+COUNTIF('Multiple Choice Questions'!$B$2:$B$1001,'Multiple Choice Questions'!$B$39)+COUNTIF('Hybrid Questions'!$B$2:$B$1001,'Multiple Choice Questions'!$B$39))&gt;1),"Question number '"&amp;'Multiple Choice Questions'!$B$39&amp;"' is already used by another row. Numbers must be unique because they're used as output folder names.","")</f>
        <v>0</v>
      </c>
      <c r="F242" s="4" t="s">
        <v>221</v>
      </c>
    </row>
    <row r="243" spans="1:6" ht="75" customHeight="1">
      <c r="A243" t="s">
        <v>218</v>
      </c>
      <c r="B243" t="s">
        <v>259</v>
      </c>
      <c r="C243" t="s">
        <v>220</v>
      </c>
      <c r="D243" t="s">
        <v>165</v>
      </c>
      <c r="E243" s="4">
        <f>IF(AND('Multiple Choice Questions'!$B$40&lt;&gt;"",ISNUMBER('Multiple Choice Questions'!$B$40),(COUNTIF('Open Questions'!$B$2:$B$1001,'Multiple Choice Questions'!$B$40)+COUNTIF('Multiple Choice Questions'!$B$2:$B$1001,'Multiple Choice Questions'!$B$40)+COUNTIF('Hybrid Questions'!$B$2:$B$1001,'Multiple Choice Questions'!$B$40))&gt;1),"Question number '"&amp;'Multiple Choice Questions'!$B$40&amp;"' is already used by another row. Numbers must be unique because they're used as output folder names.","")</f>
        <v>0</v>
      </c>
      <c r="F243" s="4" t="s">
        <v>221</v>
      </c>
    </row>
    <row r="244" spans="1:6" ht="75" customHeight="1">
      <c r="A244" t="s">
        <v>218</v>
      </c>
      <c r="B244" t="s">
        <v>260</v>
      </c>
      <c r="C244" t="s">
        <v>220</v>
      </c>
      <c r="D244" t="s">
        <v>165</v>
      </c>
      <c r="E244" s="4">
        <f>IF(AND('Multiple Choice Questions'!$B$41&lt;&gt;"",ISNUMBER('Multiple Choice Questions'!$B$41),(COUNTIF('Open Questions'!$B$2:$B$1001,'Multiple Choice Questions'!$B$41)+COUNTIF('Multiple Choice Questions'!$B$2:$B$1001,'Multiple Choice Questions'!$B$41)+COUNTIF('Hybrid Questions'!$B$2:$B$1001,'Multiple Choice Questions'!$B$41))&gt;1),"Question number '"&amp;'Multiple Choice Questions'!$B$41&amp;"' is already used by another row. Numbers must be unique because they're used as output folder names.","")</f>
        <v>0</v>
      </c>
      <c r="F244" s="4" t="s">
        <v>221</v>
      </c>
    </row>
    <row r="245" spans="1:6" ht="75" customHeight="1">
      <c r="A245" t="s">
        <v>218</v>
      </c>
      <c r="B245" t="s">
        <v>261</v>
      </c>
      <c r="C245" t="s">
        <v>220</v>
      </c>
      <c r="D245" t="s">
        <v>165</v>
      </c>
      <c r="E245" s="4">
        <f>IF(AND('Multiple Choice Questions'!$B$42&lt;&gt;"",ISNUMBER('Multiple Choice Questions'!$B$42),(COUNTIF('Open Questions'!$B$2:$B$1001,'Multiple Choice Questions'!$B$42)+COUNTIF('Multiple Choice Questions'!$B$2:$B$1001,'Multiple Choice Questions'!$B$42)+COUNTIF('Hybrid Questions'!$B$2:$B$1001,'Multiple Choice Questions'!$B$42))&gt;1),"Question number '"&amp;'Multiple Choice Questions'!$B$42&amp;"' is already used by another row. Numbers must be unique because they're used as output folder names.","")</f>
        <v>0</v>
      </c>
      <c r="F245" s="4" t="s">
        <v>221</v>
      </c>
    </row>
    <row r="246" spans="1:6" ht="75" customHeight="1">
      <c r="A246" t="s">
        <v>218</v>
      </c>
      <c r="B246" t="s">
        <v>262</v>
      </c>
      <c r="C246" t="s">
        <v>220</v>
      </c>
      <c r="D246" t="s">
        <v>165</v>
      </c>
      <c r="E246" s="4">
        <f>IF(AND('Multiple Choice Questions'!$B$43&lt;&gt;"",ISNUMBER('Multiple Choice Questions'!$B$43),(COUNTIF('Open Questions'!$B$2:$B$1001,'Multiple Choice Questions'!$B$43)+COUNTIF('Multiple Choice Questions'!$B$2:$B$1001,'Multiple Choice Questions'!$B$43)+COUNTIF('Hybrid Questions'!$B$2:$B$1001,'Multiple Choice Questions'!$B$43))&gt;1),"Question number '"&amp;'Multiple Choice Questions'!$B$43&amp;"' is already used by another row. Numbers must be unique because they're used as output folder names.","")</f>
        <v>0</v>
      </c>
      <c r="F246" s="4" t="s">
        <v>221</v>
      </c>
    </row>
    <row r="247" spans="1:6" ht="75" customHeight="1">
      <c r="A247" t="s">
        <v>218</v>
      </c>
      <c r="B247" t="s">
        <v>263</v>
      </c>
      <c r="C247" t="s">
        <v>220</v>
      </c>
      <c r="D247" t="s">
        <v>165</v>
      </c>
      <c r="E247" s="4">
        <f>IF(AND('Multiple Choice Questions'!$B$44&lt;&gt;"",ISNUMBER('Multiple Choice Questions'!$B$44),(COUNTIF('Open Questions'!$B$2:$B$1001,'Multiple Choice Questions'!$B$44)+COUNTIF('Multiple Choice Questions'!$B$2:$B$1001,'Multiple Choice Questions'!$B$44)+COUNTIF('Hybrid Questions'!$B$2:$B$1001,'Multiple Choice Questions'!$B$44))&gt;1),"Question number '"&amp;'Multiple Choice Questions'!$B$44&amp;"' is already used by another row. Numbers must be unique because they're used as output folder names.","")</f>
        <v>0</v>
      </c>
      <c r="F247" s="4" t="s">
        <v>221</v>
      </c>
    </row>
    <row r="248" spans="1:6" ht="75" customHeight="1">
      <c r="A248" t="s">
        <v>218</v>
      </c>
      <c r="B248" t="s">
        <v>264</v>
      </c>
      <c r="C248" t="s">
        <v>220</v>
      </c>
      <c r="D248" t="s">
        <v>165</v>
      </c>
      <c r="E248" s="4">
        <f>IF(AND('Multiple Choice Questions'!$B$45&lt;&gt;"",ISNUMBER('Multiple Choice Questions'!$B$45),(COUNTIF('Open Questions'!$B$2:$B$1001,'Multiple Choice Questions'!$B$45)+COUNTIF('Multiple Choice Questions'!$B$2:$B$1001,'Multiple Choice Questions'!$B$45)+COUNTIF('Hybrid Questions'!$B$2:$B$1001,'Multiple Choice Questions'!$B$45))&gt;1),"Question number '"&amp;'Multiple Choice Questions'!$B$45&amp;"' is already used by another row. Numbers must be unique because they're used as output folder names.","")</f>
        <v>0</v>
      </c>
      <c r="F248" s="4" t="s">
        <v>221</v>
      </c>
    </row>
    <row r="249" spans="1:6" ht="75" customHeight="1">
      <c r="A249" t="s">
        <v>218</v>
      </c>
      <c r="B249" t="s">
        <v>265</v>
      </c>
      <c r="C249" t="s">
        <v>220</v>
      </c>
      <c r="D249" t="s">
        <v>165</v>
      </c>
      <c r="E249" s="4">
        <f>IF(AND('Multiple Choice Questions'!$B$46&lt;&gt;"",ISNUMBER('Multiple Choice Questions'!$B$46),(COUNTIF('Open Questions'!$B$2:$B$1001,'Multiple Choice Questions'!$B$46)+COUNTIF('Multiple Choice Questions'!$B$2:$B$1001,'Multiple Choice Questions'!$B$46)+COUNTIF('Hybrid Questions'!$B$2:$B$1001,'Multiple Choice Questions'!$B$46))&gt;1),"Question number '"&amp;'Multiple Choice Questions'!$B$46&amp;"' is already used by another row. Numbers must be unique because they're used as output folder names.","")</f>
        <v>0</v>
      </c>
      <c r="F249" s="4" t="s">
        <v>221</v>
      </c>
    </row>
    <row r="250" spans="1:6" ht="75" customHeight="1">
      <c r="A250" t="s">
        <v>218</v>
      </c>
      <c r="B250" t="s">
        <v>266</v>
      </c>
      <c r="C250" t="s">
        <v>220</v>
      </c>
      <c r="D250" t="s">
        <v>165</v>
      </c>
      <c r="E250" s="4">
        <f>IF(AND('Multiple Choice Questions'!$B$47&lt;&gt;"",ISNUMBER('Multiple Choice Questions'!$B$47),(COUNTIF('Open Questions'!$B$2:$B$1001,'Multiple Choice Questions'!$B$47)+COUNTIF('Multiple Choice Questions'!$B$2:$B$1001,'Multiple Choice Questions'!$B$47)+COUNTIF('Hybrid Questions'!$B$2:$B$1001,'Multiple Choice Questions'!$B$47))&gt;1),"Question number '"&amp;'Multiple Choice Questions'!$B$47&amp;"' is already used by another row. Numbers must be unique because they're used as output folder names.","")</f>
        <v>0</v>
      </c>
      <c r="F250" s="4" t="s">
        <v>221</v>
      </c>
    </row>
    <row r="251" spans="1:6" ht="75" customHeight="1">
      <c r="A251" t="s">
        <v>218</v>
      </c>
      <c r="B251" t="s">
        <v>267</v>
      </c>
      <c r="C251" t="s">
        <v>220</v>
      </c>
      <c r="D251" t="s">
        <v>165</v>
      </c>
      <c r="E251" s="4">
        <f>IF(AND('Multiple Choice Questions'!$B$48&lt;&gt;"",ISNUMBER('Multiple Choice Questions'!$B$48),(COUNTIF('Open Questions'!$B$2:$B$1001,'Multiple Choice Questions'!$B$48)+COUNTIF('Multiple Choice Questions'!$B$2:$B$1001,'Multiple Choice Questions'!$B$48)+COUNTIF('Hybrid Questions'!$B$2:$B$1001,'Multiple Choice Questions'!$B$48))&gt;1),"Question number '"&amp;'Multiple Choice Questions'!$B$48&amp;"' is already used by another row. Numbers must be unique because they're used as output folder names.","")</f>
        <v>0</v>
      </c>
      <c r="F251" s="4" t="s">
        <v>221</v>
      </c>
    </row>
    <row r="252" spans="1:6" ht="75" customHeight="1">
      <c r="A252" t="s">
        <v>218</v>
      </c>
      <c r="B252" t="s">
        <v>268</v>
      </c>
      <c r="C252" t="s">
        <v>220</v>
      </c>
      <c r="D252" t="s">
        <v>165</v>
      </c>
      <c r="E252" s="4">
        <f>IF(AND('Multiple Choice Questions'!$B$49&lt;&gt;"",ISNUMBER('Multiple Choice Questions'!$B$49),(COUNTIF('Open Questions'!$B$2:$B$1001,'Multiple Choice Questions'!$B$49)+COUNTIF('Multiple Choice Questions'!$B$2:$B$1001,'Multiple Choice Questions'!$B$49)+COUNTIF('Hybrid Questions'!$B$2:$B$1001,'Multiple Choice Questions'!$B$49))&gt;1),"Question number '"&amp;'Multiple Choice Questions'!$B$49&amp;"' is already used by another row. Numbers must be unique because they're used as output folder names.","")</f>
        <v>0</v>
      </c>
      <c r="F252" s="4" t="s">
        <v>221</v>
      </c>
    </row>
    <row r="253" spans="1:6" ht="75" customHeight="1">
      <c r="A253" t="s">
        <v>218</v>
      </c>
      <c r="B253" t="s">
        <v>269</v>
      </c>
      <c r="C253" t="s">
        <v>220</v>
      </c>
      <c r="D253" t="s">
        <v>165</v>
      </c>
      <c r="E253" s="4">
        <f>IF(AND('Multiple Choice Questions'!$B$50&lt;&gt;"",ISNUMBER('Multiple Choice Questions'!$B$50),(COUNTIF('Open Questions'!$B$2:$B$1001,'Multiple Choice Questions'!$B$50)+COUNTIF('Multiple Choice Questions'!$B$2:$B$1001,'Multiple Choice Questions'!$B$50)+COUNTIF('Hybrid Questions'!$B$2:$B$1001,'Multiple Choice Questions'!$B$50))&gt;1),"Question number '"&amp;'Multiple Choice Questions'!$B$50&amp;"' is already used by another row. Numbers must be unique because they're used as output folder names.","")</f>
        <v>0</v>
      </c>
      <c r="F253" s="4" t="s">
        <v>221</v>
      </c>
    </row>
    <row r="254" spans="1:6" ht="75" customHeight="1">
      <c r="A254" t="s">
        <v>218</v>
      </c>
      <c r="B254" t="s">
        <v>270</v>
      </c>
      <c r="C254" t="s">
        <v>220</v>
      </c>
      <c r="D254" t="s">
        <v>165</v>
      </c>
      <c r="E254" s="4">
        <f>IF(AND('Multiple Choice Questions'!$B$51&lt;&gt;"",ISNUMBER('Multiple Choice Questions'!$B$51),(COUNTIF('Open Questions'!$B$2:$B$1001,'Multiple Choice Questions'!$B$51)+COUNTIF('Multiple Choice Questions'!$B$2:$B$1001,'Multiple Choice Questions'!$B$51)+COUNTIF('Hybrid Questions'!$B$2:$B$1001,'Multiple Choice Questions'!$B$51))&gt;1),"Question number '"&amp;'Multiple Choice Questions'!$B$51&amp;"' is already used by another row. Numbers must be unique because they're used as output folder names.","")</f>
        <v>0</v>
      </c>
      <c r="F254" s="4" t="s">
        <v>221</v>
      </c>
    </row>
    <row r="255" spans="1:6" ht="75" customHeight="1">
      <c r="A255" t="s">
        <v>271</v>
      </c>
      <c r="B255" t="s">
        <v>219</v>
      </c>
      <c r="C255" t="s">
        <v>220</v>
      </c>
      <c r="D255" t="s">
        <v>165</v>
      </c>
      <c r="E255" s="4">
        <f>IF(AND('Hybrid Questions'!$B$2&lt;&gt;"",ISNUMBER('Hybrid Questions'!$B$2),(COUNTIF('Open Questions'!$B$2:$B$1001,'Hybrid Questions'!$B$2)+COUNTIF('Multiple Choice Questions'!$B$2:$B$1001,'Hybrid Questions'!$B$2)+COUNTIF('Hybrid Questions'!$B$2:$B$1001,'Hybrid Questions'!$B$2))&gt;1),"Question number '"&amp;'Hybrid Questions'!$B$2&amp;"' is already used by another row. Numbers must be unique because they're used as output folder names.","")</f>
        <v>0</v>
      </c>
      <c r="F255" s="4" t="s">
        <v>221</v>
      </c>
    </row>
    <row r="256" spans="1:6" ht="75" customHeight="1">
      <c r="A256" t="s">
        <v>271</v>
      </c>
      <c r="B256" t="s">
        <v>222</v>
      </c>
      <c r="C256" t="s">
        <v>220</v>
      </c>
      <c r="D256" t="s">
        <v>165</v>
      </c>
      <c r="E256" s="4">
        <f>IF(AND('Hybrid Questions'!$B$3&lt;&gt;"",ISNUMBER('Hybrid Questions'!$B$3),(COUNTIF('Open Questions'!$B$2:$B$1001,'Hybrid Questions'!$B$3)+COUNTIF('Multiple Choice Questions'!$B$2:$B$1001,'Hybrid Questions'!$B$3)+COUNTIF('Hybrid Questions'!$B$2:$B$1001,'Hybrid Questions'!$B$3))&gt;1),"Question number '"&amp;'Hybrid Questions'!$B$3&amp;"' is already used by another row. Numbers must be unique because they're used as output folder names.","")</f>
        <v>0</v>
      </c>
      <c r="F256" s="4" t="s">
        <v>221</v>
      </c>
    </row>
    <row r="257" spans="1:6" ht="75" customHeight="1">
      <c r="A257" t="s">
        <v>271</v>
      </c>
      <c r="B257" t="s">
        <v>223</v>
      </c>
      <c r="C257" t="s">
        <v>220</v>
      </c>
      <c r="D257" t="s">
        <v>165</v>
      </c>
      <c r="E257" s="4">
        <f>IF(AND('Hybrid Questions'!$B$4&lt;&gt;"",ISNUMBER('Hybrid Questions'!$B$4),(COUNTIF('Open Questions'!$B$2:$B$1001,'Hybrid Questions'!$B$4)+COUNTIF('Multiple Choice Questions'!$B$2:$B$1001,'Hybrid Questions'!$B$4)+COUNTIF('Hybrid Questions'!$B$2:$B$1001,'Hybrid Questions'!$B$4))&gt;1),"Question number '"&amp;'Hybrid Questions'!$B$4&amp;"' is already used by another row. Numbers must be unique because they're used as output folder names.","")</f>
        <v>0</v>
      </c>
      <c r="F257" s="4" t="s">
        <v>221</v>
      </c>
    </row>
    <row r="258" spans="1:6" ht="75" customHeight="1">
      <c r="A258" t="s">
        <v>271</v>
      </c>
      <c r="B258" t="s">
        <v>224</v>
      </c>
      <c r="C258" t="s">
        <v>220</v>
      </c>
      <c r="D258" t="s">
        <v>165</v>
      </c>
      <c r="E258" s="4">
        <f>IF(AND('Hybrid Questions'!$B$5&lt;&gt;"",ISNUMBER('Hybrid Questions'!$B$5),(COUNTIF('Open Questions'!$B$2:$B$1001,'Hybrid Questions'!$B$5)+COUNTIF('Multiple Choice Questions'!$B$2:$B$1001,'Hybrid Questions'!$B$5)+COUNTIF('Hybrid Questions'!$B$2:$B$1001,'Hybrid Questions'!$B$5))&gt;1),"Question number '"&amp;'Hybrid Questions'!$B$5&amp;"' is already used by another row. Numbers must be unique because they're used as output folder names.","")</f>
        <v>0</v>
      </c>
      <c r="F258" s="4" t="s">
        <v>221</v>
      </c>
    </row>
    <row r="259" spans="1:6" ht="75" customHeight="1">
      <c r="A259" t="s">
        <v>271</v>
      </c>
      <c r="B259" t="s">
        <v>225</v>
      </c>
      <c r="C259" t="s">
        <v>220</v>
      </c>
      <c r="D259" t="s">
        <v>165</v>
      </c>
      <c r="E259" s="4">
        <f>IF(AND('Hybrid Questions'!$B$6&lt;&gt;"",ISNUMBER('Hybrid Questions'!$B$6),(COUNTIF('Open Questions'!$B$2:$B$1001,'Hybrid Questions'!$B$6)+COUNTIF('Multiple Choice Questions'!$B$2:$B$1001,'Hybrid Questions'!$B$6)+COUNTIF('Hybrid Questions'!$B$2:$B$1001,'Hybrid Questions'!$B$6))&gt;1),"Question number '"&amp;'Hybrid Questions'!$B$6&amp;"' is already used by another row. Numbers must be unique because they're used as output folder names.","")</f>
        <v>0</v>
      </c>
      <c r="F259" s="4" t="s">
        <v>221</v>
      </c>
    </row>
    <row r="260" spans="1:6" ht="75" customHeight="1">
      <c r="A260" t="s">
        <v>271</v>
      </c>
      <c r="B260" t="s">
        <v>226</v>
      </c>
      <c r="C260" t="s">
        <v>220</v>
      </c>
      <c r="D260" t="s">
        <v>165</v>
      </c>
      <c r="E260" s="4">
        <f>IF(AND('Hybrid Questions'!$B$7&lt;&gt;"",ISNUMBER('Hybrid Questions'!$B$7),(COUNTIF('Open Questions'!$B$2:$B$1001,'Hybrid Questions'!$B$7)+COUNTIF('Multiple Choice Questions'!$B$2:$B$1001,'Hybrid Questions'!$B$7)+COUNTIF('Hybrid Questions'!$B$2:$B$1001,'Hybrid Questions'!$B$7))&gt;1),"Question number '"&amp;'Hybrid Questions'!$B$7&amp;"' is already used by another row. Numbers must be unique because they're used as output folder names.","")</f>
        <v>0</v>
      </c>
      <c r="F260" s="4" t="s">
        <v>221</v>
      </c>
    </row>
    <row r="261" spans="1:6" ht="75" customHeight="1">
      <c r="A261" t="s">
        <v>271</v>
      </c>
      <c r="B261" t="s">
        <v>227</v>
      </c>
      <c r="C261" t="s">
        <v>220</v>
      </c>
      <c r="D261" t="s">
        <v>165</v>
      </c>
      <c r="E261" s="4">
        <f>IF(AND('Hybrid Questions'!$B$8&lt;&gt;"",ISNUMBER('Hybrid Questions'!$B$8),(COUNTIF('Open Questions'!$B$2:$B$1001,'Hybrid Questions'!$B$8)+COUNTIF('Multiple Choice Questions'!$B$2:$B$1001,'Hybrid Questions'!$B$8)+COUNTIF('Hybrid Questions'!$B$2:$B$1001,'Hybrid Questions'!$B$8))&gt;1),"Question number '"&amp;'Hybrid Questions'!$B$8&amp;"' is already used by another row. Numbers must be unique because they're used as output folder names.","")</f>
        <v>0</v>
      </c>
      <c r="F261" s="4" t="s">
        <v>221</v>
      </c>
    </row>
    <row r="262" spans="1:6" ht="75" customHeight="1">
      <c r="A262" t="s">
        <v>271</v>
      </c>
      <c r="B262" t="s">
        <v>228</v>
      </c>
      <c r="C262" t="s">
        <v>220</v>
      </c>
      <c r="D262" t="s">
        <v>165</v>
      </c>
      <c r="E262" s="4">
        <f>IF(AND('Hybrid Questions'!$B$9&lt;&gt;"",ISNUMBER('Hybrid Questions'!$B$9),(COUNTIF('Open Questions'!$B$2:$B$1001,'Hybrid Questions'!$B$9)+COUNTIF('Multiple Choice Questions'!$B$2:$B$1001,'Hybrid Questions'!$B$9)+COUNTIF('Hybrid Questions'!$B$2:$B$1001,'Hybrid Questions'!$B$9))&gt;1),"Question number '"&amp;'Hybrid Questions'!$B$9&amp;"' is already used by another row. Numbers must be unique because they're used as output folder names.","")</f>
        <v>0</v>
      </c>
      <c r="F262" s="4" t="s">
        <v>221</v>
      </c>
    </row>
    <row r="263" spans="1:6" ht="75" customHeight="1">
      <c r="A263" t="s">
        <v>271</v>
      </c>
      <c r="B263" t="s">
        <v>229</v>
      </c>
      <c r="C263" t="s">
        <v>220</v>
      </c>
      <c r="D263" t="s">
        <v>165</v>
      </c>
      <c r="E263" s="4">
        <f>IF(AND('Hybrid Questions'!$B$10&lt;&gt;"",ISNUMBER('Hybrid Questions'!$B$10),(COUNTIF('Open Questions'!$B$2:$B$1001,'Hybrid Questions'!$B$10)+COUNTIF('Multiple Choice Questions'!$B$2:$B$1001,'Hybrid Questions'!$B$10)+COUNTIF('Hybrid Questions'!$B$2:$B$1001,'Hybrid Questions'!$B$10))&gt;1),"Question number '"&amp;'Hybrid Questions'!$B$10&amp;"' is already used by another row. Numbers must be unique because they're used as output folder names.","")</f>
        <v>0</v>
      </c>
      <c r="F263" s="4" t="s">
        <v>221</v>
      </c>
    </row>
    <row r="264" spans="1:6" ht="75" customHeight="1">
      <c r="A264" t="s">
        <v>271</v>
      </c>
      <c r="B264" t="s">
        <v>230</v>
      </c>
      <c r="C264" t="s">
        <v>220</v>
      </c>
      <c r="D264" t="s">
        <v>165</v>
      </c>
      <c r="E264" s="4">
        <f>IF(AND('Hybrid Questions'!$B$11&lt;&gt;"",ISNUMBER('Hybrid Questions'!$B$11),(COUNTIF('Open Questions'!$B$2:$B$1001,'Hybrid Questions'!$B$11)+COUNTIF('Multiple Choice Questions'!$B$2:$B$1001,'Hybrid Questions'!$B$11)+COUNTIF('Hybrid Questions'!$B$2:$B$1001,'Hybrid Questions'!$B$11))&gt;1),"Question number '"&amp;'Hybrid Questions'!$B$11&amp;"' is already used by another row. Numbers must be unique because they're used as output folder names.","")</f>
        <v>0</v>
      </c>
      <c r="F264" s="4" t="s">
        <v>221</v>
      </c>
    </row>
    <row r="265" spans="1:6" ht="75" customHeight="1">
      <c r="A265" t="s">
        <v>271</v>
      </c>
      <c r="B265" t="s">
        <v>231</v>
      </c>
      <c r="C265" t="s">
        <v>220</v>
      </c>
      <c r="D265" t="s">
        <v>165</v>
      </c>
      <c r="E265" s="4">
        <f>IF(AND('Hybrid Questions'!$B$12&lt;&gt;"",ISNUMBER('Hybrid Questions'!$B$12),(COUNTIF('Open Questions'!$B$2:$B$1001,'Hybrid Questions'!$B$12)+COUNTIF('Multiple Choice Questions'!$B$2:$B$1001,'Hybrid Questions'!$B$12)+COUNTIF('Hybrid Questions'!$B$2:$B$1001,'Hybrid Questions'!$B$12))&gt;1),"Question number '"&amp;'Hybrid Questions'!$B$12&amp;"' is already used by another row. Numbers must be unique because they're used as output folder names.","")</f>
        <v>0</v>
      </c>
      <c r="F265" s="4" t="s">
        <v>221</v>
      </c>
    </row>
    <row r="266" spans="1:6" ht="75" customHeight="1">
      <c r="A266" t="s">
        <v>271</v>
      </c>
      <c r="B266" t="s">
        <v>232</v>
      </c>
      <c r="C266" t="s">
        <v>220</v>
      </c>
      <c r="D266" t="s">
        <v>165</v>
      </c>
      <c r="E266" s="4">
        <f>IF(AND('Hybrid Questions'!$B$13&lt;&gt;"",ISNUMBER('Hybrid Questions'!$B$13),(COUNTIF('Open Questions'!$B$2:$B$1001,'Hybrid Questions'!$B$13)+COUNTIF('Multiple Choice Questions'!$B$2:$B$1001,'Hybrid Questions'!$B$13)+COUNTIF('Hybrid Questions'!$B$2:$B$1001,'Hybrid Questions'!$B$13))&gt;1),"Question number '"&amp;'Hybrid Questions'!$B$13&amp;"' is already used by another row. Numbers must be unique because they're used as output folder names.","")</f>
        <v>0</v>
      </c>
      <c r="F266" s="4" t="s">
        <v>221</v>
      </c>
    </row>
    <row r="267" spans="1:6" ht="75" customHeight="1">
      <c r="A267" t="s">
        <v>271</v>
      </c>
      <c r="B267" t="s">
        <v>233</v>
      </c>
      <c r="C267" t="s">
        <v>220</v>
      </c>
      <c r="D267" t="s">
        <v>165</v>
      </c>
      <c r="E267" s="4">
        <f>IF(AND('Hybrid Questions'!$B$14&lt;&gt;"",ISNUMBER('Hybrid Questions'!$B$14),(COUNTIF('Open Questions'!$B$2:$B$1001,'Hybrid Questions'!$B$14)+COUNTIF('Multiple Choice Questions'!$B$2:$B$1001,'Hybrid Questions'!$B$14)+COUNTIF('Hybrid Questions'!$B$2:$B$1001,'Hybrid Questions'!$B$14))&gt;1),"Question number '"&amp;'Hybrid Questions'!$B$14&amp;"' is already used by another row. Numbers must be unique because they're used as output folder names.","")</f>
        <v>0</v>
      </c>
      <c r="F267" s="4" t="s">
        <v>221</v>
      </c>
    </row>
    <row r="268" spans="1:6" ht="75" customHeight="1">
      <c r="A268" t="s">
        <v>271</v>
      </c>
      <c r="B268" t="s">
        <v>234</v>
      </c>
      <c r="C268" t="s">
        <v>220</v>
      </c>
      <c r="D268" t="s">
        <v>165</v>
      </c>
      <c r="E268" s="4">
        <f>IF(AND('Hybrid Questions'!$B$15&lt;&gt;"",ISNUMBER('Hybrid Questions'!$B$15),(COUNTIF('Open Questions'!$B$2:$B$1001,'Hybrid Questions'!$B$15)+COUNTIF('Multiple Choice Questions'!$B$2:$B$1001,'Hybrid Questions'!$B$15)+COUNTIF('Hybrid Questions'!$B$2:$B$1001,'Hybrid Questions'!$B$15))&gt;1),"Question number '"&amp;'Hybrid Questions'!$B$15&amp;"' is already used by another row. Numbers must be unique because they're used as output folder names.","")</f>
        <v>0</v>
      </c>
      <c r="F268" s="4" t="s">
        <v>221</v>
      </c>
    </row>
    <row r="269" spans="1:6" ht="75" customHeight="1">
      <c r="A269" t="s">
        <v>271</v>
      </c>
      <c r="B269" t="s">
        <v>235</v>
      </c>
      <c r="C269" t="s">
        <v>220</v>
      </c>
      <c r="D269" t="s">
        <v>165</v>
      </c>
      <c r="E269" s="4">
        <f>IF(AND('Hybrid Questions'!$B$16&lt;&gt;"",ISNUMBER('Hybrid Questions'!$B$16),(COUNTIF('Open Questions'!$B$2:$B$1001,'Hybrid Questions'!$B$16)+COUNTIF('Multiple Choice Questions'!$B$2:$B$1001,'Hybrid Questions'!$B$16)+COUNTIF('Hybrid Questions'!$B$2:$B$1001,'Hybrid Questions'!$B$16))&gt;1),"Question number '"&amp;'Hybrid Questions'!$B$16&amp;"' is already used by another row. Numbers must be unique because they're used as output folder names.","")</f>
        <v>0</v>
      </c>
      <c r="F269" s="4" t="s">
        <v>221</v>
      </c>
    </row>
    <row r="270" spans="1:6" ht="75" customHeight="1">
      <c r="A270" t="s">
        <v>271</v>
      </c>
      <c r="B270" t="s">
        <v>236</v>
      </c>
      <c r="C270" t="s">
        <v>220</v>
      </c>
      <c r="D270" t="s">
        <v>165</v>
      </c>
      <c r="E270" s="4">
        <f>IF(AND('Hybrid Questions'!$B$17&lt;&gt;"",ISNUMBER('Hybrid Questions'!$B$17),(COUNTIF('Open Questions'!$B$2:$B$1001,'Hybrid Questions'!$B$17)+COUNTIF('Multiple Choice Questions'!$B$2:$B$1001,'Hybrid Questions'!$B$17)+COUNTIF('Hybrid Questions'!$B$2:$B$1001,'Hybrid Questions'!$B$17))&gt;1),"Question number '"&amp;'Hybrid Questions'!$B$17&amp;"' is already used by another row. Numbers must be unique because they're used as output folder names.","")</f>
        <v>0</v>
      </c>
      <c r="F270" s="4" t="s">
        <v>221</v>
      </c>
    </row>
    <row r="271" spans="1:6" ht="75" customHeight="1">
      <c r="A271" t="s">
        <v>271</v>
      </c>
      <c r="B271" t="s">
        <v>237</v>
      </c>
      <c r="C271" t="s">
        <v>220</v>
      </c>
      <c r="D271" t="s">
        <v>165</v>
      </c>
      <c r="E271" s="4">
        <f>IF(AND('Hybrid Questions'!$B$18&lt;&gt;"",ISNUMBER('Hybrid Questions'!$B$18),(COUNTIF('Open Questions'!$B$2:$B$1001,'Hybrid Questions'!$B$18)+COUNTIF('Multiple Choice Questions'!$B$2:$B$1001,'Hybrid Questions'!$B$18)+COUNTIF('Hybrid Questions'!$B$2:$B$1001,'Hybrid Questions'!$B$18))&gt;1),"Question number '"&amp;'Hybrid Questions'!$B$18&amp;"' is already used by another row. Numbers must be unique because they're used as output folder names.","")</f>
        <v>0</v>
      </c>
      <c r="F271" s="4" t="s">
        <v>221</v>
      </c>
    </row>
    <row r="272" spans="1:6" ht="75" customHeight="1">
      <c r="A272" t="s">
        <v>271</v>
      </c>
      <c r="B272" t="s">
        <v>238</v>
      </c>
      <c r="C272" t="s">
        <v>220</v>
      </c>
      <c r="D272" t="s">
        <v>165</v>
      </c>
      <c r="E272" s="4">
        <f>IF(AND('Hybrid Questions'!$B$19&lt;&gt;"",ISNUMBER('Hybrid Questions'!$B$19),(COUNTIF('Open Questions'!$B$2:$B$1001,'Hybrid Questions'!$B$19)+COUNTIF('Multiple Choice Questions'!$B$2:$B$1001,'Hybrid Questions'!$B$19)+COUNTIF('Hybrid Questions'!$B$2:$B$1001,'Hybrid Questions'!$B$19))&gt;1),"Question number '"&amp;'Hybrid Questions'!$B$19&amp;"' is already used by another row. Numbers must be unique because they're used as output folder names.","")</f>
        <v>0</v>
      </c>
      <c r="F272" s="4" t="s">
        <v>221</v>
      </c>
    </row>
    <row r="273" spans="1:6" ht="75" customHeight="1">
      <c r="A273" t="s">
        <v>271</v>
      </c>
      <c r="B273" t="s">
        <v>239</v>
      </c>
      <c r="C273" t="s">
        <v>220</v>
      </c>
      <c r="D273" t="s">
        <v>165</v>
      </c>
      <c r="E273" s="4">
        <f>IF(AND('Hybrid Questions'!$B$20&lt;&gt;"",ISNUMBER('Hybrid Questions'!$B$20),(COUNTIF('Open Questions'!$B$2:$B$1001,'Hybrid Questions'!$B$20)+COUNTIF('Multiple Choice Questions'!$B$2:$B$1001,'Hybrid Questions'!$B$20)+COUNTIF('Hybrid Questions'!$B$2:$B$1001,'Hybrid Questions'!$B$20))&gt;1),"Question number '"&amp;'Hybrid Questions'!$B$20&amp;"' is already used by another row. Numbers must be unique because they're used as output folder names.","")</f>
        <v>0</v>
      </c>
      <c r="F273" s="4" t="s">
        <v>221</v>
      </c>
    </row>
    <row r="274" spans="1:6" ht="75" customHeight="1">
      <c r="A274" t="s">
        <v>271</v>
      </c>
      <c r="B274" t="s">
        <v>240</v>
      </c>
      <c r="C274" t="s">
        <v>220</v>
      </c>
      <c r="D274" t="s">
        <v>165</v>
      </c>
      <c r="E274" s="4">
        <f>IF(AND('Hybrid Questions'!$B$21&lt;&gt;"",ISNUMBER('Hybrid Questions'!$B$21),(COUNTIF('Open Questions'!$B$2:$B$1001,'Hybrid Questions'!$B$21)+COUNTIF('Multiple Choice Questions'!$B$2:$B$1001,'Hybrid Questions'!$B$21)+COUNTIF('Hybrid Questions'!$B$2:$B$1001,'Hybrid Questions'!$B$21))&gt;1),"Question number '"&amp;'Hybrid Questions'!$B$21&amp;"' is already used by another row. Numbers must be unique because they're used as output folder names.","")</f>
        <v>0</v>
      </c>
      <c r="F274" s="4" t="s">
        <v>221</v>
      </c>
    </row>
    <row r="275" spans="1:6" ht="75" customHeight="1">
      <c r="A275" t="s">
        <v>271</v>
      </c>
      <c r="B275" t="s">
        <v>241</v>
      </c>
      <c r="C275" t="s">
        <v>220</v>
      </c>
      <c r="D275" t="s">
        <v>165</v>
      </c>
      <c r="E275" s="4">
        <f>IF(AND('Hybrid Questions'!$B$22&lt;&gt;"",ISNUMBER('Hybrid Questions'!$B$22),(COUNTIF('Open Questions'!$B$2:$B$1001,'Hybrid Questions'!$B$22)+COUNTIF('Multiple Choice Questions'!$B$2:$B$1001,'Hybrid Questions'!$B$22)+COUNTIF('Hybrid Questions'!$B$2:$B$1001,'Hybrid Questions'!$B$22))&gt;1),"Question number '"&amp;'Hybrid Questions'!$B$22&amp;"' is already used by another row. Numbers must be unique because they're used as output folder names.","")</f>
        <v>0</v>
      </c>
      <c r="F275" s="4" t="s">
        <v>221</v>
      </c>
    </row>
    <row r="276" spans="1:6" ht="75" customHeight="1">
      <c r="A276" t="s">
        <v>271</v>
      </c>
      <c r="B276" t="s">
        <v>242</v>
      </c>
      <c r="C276" t="s">
        <v>220</v>
      </c>
      <c r="D276" t="s">
        <v>165</v>
      </c>
      <c r="E276" s="4">
        <f>IF(AND('Hybrid Questions'!$B$23&lt;&gt;"",ISNUMBER('Hybrid Questions'!$B$23),(COUNTIF('Open Questions'!$B$2:$B$1001,'Hybrid Questions'!$B$23)+COUNTIF('Multiple Choice Questions'!$B$2:$B$1001,'Hybrid Questions'!$B$23)+COUNTIF('Hybrid Questions'!$B$2:$B$1001,'Hybrid Questions'!$B$23))&gt;1),"Question number '"&amp;'Hybrid Questions'!$B$23&amp;"' is already used by another row. Numbers must be unique because they're used as output folder names.","")</f>
        <v>0</v>
      </c>
      <c r="F276" s="4" t="s">
        <v>221</v>
      </c>
    </row>
    <row r="277" spans="1:6" ht="75" customHeight="1">
      <c r="A277" t="s">
        <v>271</v>
      </c>
      <c r="B277" t="s">
        <v>243</v>
      </c>
      <c r="C277" t="s">
        <v>220</v>
      </c>
      <c r="D277" t="s">
        <v>165</v>
      </c>
      <c r="E277" s="4">
        <f>IF(AND('Hybrid Questions'!$B$24&lt;&gt;"",ISNUMBER('Hybrid Questions'!$B$24),(COUNTIF('Open Questions'!$B$2:$B$1001,'Hybrid Questions'!$B$24)+COUNTIF('Multiple Choice Questions'!$B$2:$B$1001,'Hybrid Questions'!$B$24)+COUNTIF('Hybrid Questions'!$B$2:$B$1001,'Hybrid Questions'!$B$24))&gt;1),"Question number '"&amp;'Hybrid Questions'!$B$24&amp;"' is already used by another row. Numbers must be unique because they're used as output folder names.","")</f>
        <v>0</v>
      </c>
      <c r="F277" s="4" t="s">
        <v>221</v>
      </c>
    </row>
    <row r="278" spans="1:6" ht="75" customHeight="1">
      <c r="A278" t="s">
        <v>271</v>
      </c>
      <c r="B278" t="s">
        <v>244</v>
      </c>
      <c r="C278" t="s">
        <v>220</v>
      </c>
      <c r="D278" t="s">
        <v>165</v>
      </c>
      <c r="E278" s="4">
        <f>IF(AND('Hybrid Questions'!$B$25&lt;&gt;"",ISNUMBER('Hybrid Questions'!$B$25),(COUNTIF('Open Questions'!$B$2:$B$1001,'Hybrid Questions'!$B$25)+COUNTIF('Multiple Choice Questions'!$B$2:$B$1001,'Hybrid Questions'!$B$25)+COUNTIF('Hybrid Questions'!$B$2:$B$1001,'Hybrid Questions'!$B$25))&gt;1),"Question number '"&amp;'Hybrid Questions'!$B$25&amp;"' is already used by another row. Numbers must be unique because they're used as output folder names.","")</f>
        <v>0</v>
      </c>
      <c r="F278" s="4" t="s">
        <v>221</v>
      </c>
    </row>
    <row r="279" spans="1:6" ht="75" customHeight="1">
      <c r="A279" t="s">
        <v>271</v>
      </c>
      <c r="B279" t="s">
        <v>245</v>
      </c>
      <c r="C279" t="s">
        <v>220</v>
      </c>
      <c r="D279" t="s">
        <v>165</v>
      </c>
      <c r="E279" s="4">
        <f>IF(AND('Hybrid Questions'!$B$26&lt;&gt;"",ISNUMBER('Hybrid Questions'!$B$26),(COUNTIF('Open Questions'!$B$2:$B$1001,'Hybrid Questions'!$B$26)+COUNTIF('Multiple Choice Questions'!$B$2:$B$1001,'Hybrid Questions'!$B$26)+COUNTIF('Hybrid Questions'!$B$2:$B$1001,'Hybrid Questions'!$B$26))&gt;1),"Question number '"&amp;'Hybrid Questions'!$B$26&amp;"' is already used by another row. Numbers must be unique because they're used as output folder names.","")</f>
        <v>0</v>
      </c>
      <c r="F279" s="4" t="s">
        <v>221</v>
      </c>
    </row>
    <row r="280" spans="1:6" ht="75" customHeight="1">
      <c r="A280" t="s">
        <v>271</v>
      </c>
      <c r="B280" t="s">
        <v>246</v>
      </c>
      <c r="C280" t="s">
        <v>220</v>
      </c>
      <c r="D280" t="s">
        <v>165</v>
      </c>
      <c r="E280" s="4">
        <f>IF(AND('Hybrid Questions'!$B$27&lt;&gt;"",ISNUMBER('Hybrid Questions'!$B$27),(COUNTIF('Open Questions'!$B$2:$B$1001,'Hybrid Questions'!$B$27)+COUNTIF('Multiple Choice Questions'!$B$2:$B$1001,'Hybrid Questions'!$B$27)+COUNTIF('Hybrid Questions'!$B$2:$B$1001,'Hybrid Questions'!$B$27))&gt;1),"Question number '"&amp;'Hybrid Questions'!$B$27&amp;"' is already used by another row. Numbers must be unique because they're used as output folder names.","")</f>
        <v>0</v>
      </c>
      <c r="F280" s="4" t="s">
        <v>221</v>
      </c>
    </row>
    <row r="281" spans="1:6" ht="75" customHeight="1">
      <c r="A281" t="s">
        <v>271</v>
      </c>
      <c r="B281" t="s">
        <v>247</v>
      </c>
      <c r="C281" t="s">
        <v>220</v>
      </c>
      <c r="D281" t="s">
        <v>165</v>
      </c>
      <c r="E281" s="4">
        <f>IF(AND('Hybrid Questions'!$B$28&lt;&gt;"",ISNUMBER('Hybrid Questions'!$B$28),(COUNTIF('Open Questions'!$B$2:$B$1001,'Hybrid Questions'!$B$28)+COUNTIF('Multiple Choice Questions'!$B$2:$B$1001,'Hybrid Questions'!$B$28)+COUNTIF('Hybrid Questions'!$B$2:$B$1001,'Hybrid Questions'!$B$28))&gt;1),"Question number '"&amp;'Hybrid Questions'!$B$28&amp;"' is already used by another row. Numbers must be unique because they're used as output folder names.","")</f>
        <v>0</v>
      </c>
      <c r="F281" s="4" t="s">
        <v>221</v>
      </c>
    </row>
    <row r="282" spans="1:6" ht="75" customHeight="1">
      <c r="A282" t="s">
        <v>271</v>
      </c>
      <c r="B282" t="s">
        <v>248</v>
      </c>
      <c r="C282" t="s">
        <v>220</v>
      </c>
      <c r="D282" t="s">
        <v>165</v>
      </c>
      <c r="E282" s="4">
        <f>IF(AND('Hybrid Questions'!$B$29&lt;&gt;"",ISNUMBER('Hybrid Questions'!$B$29),(COUNTIF('Open Questions'!$B$2:$B$1001,'Hybrid Questions'!$B$29)+COUNTIF('Multiple Choice Questions'!$B$2:$B$1001,'Hybrid Questions'!$B$29)+COUNTIF('Hybrid Questions'!$B$2:$B$1001,'Hybrid Questions'!$B$29))&gt;1),"Question number '"&amp;'Hybrid Questions'!$B$29&amp;"' is already used by another row. Numbers must be unique because they're used as output folder names.","")</f>
        <v>0</v>
      </c>
      <c r="F282" s="4" t="s">
        <v>221</v>
      </c>
    </row>
    <row r="283" spans="1:6" ht="75" customHeight="1">
      <c r="A283" t="s">
        <v>271</v>
      </c>
      <c r="B283" t="s">
        <v>249</v>
      </c>
      <c r="C283" t="s">
        <v>220</v>
      </c>
      <c r="D283" t="s">
        <v>165</v>
      </c>
      <c r="E283" s="4">
        <f>IF(AND('Hybrid Questions'!$B$30&lt;&gt;"",ISNUMBER('Hybrid Questions'!$B$30),(COUNTIF('Open Questions'!$B$2:$B$1001,'Hybrid Questions'!$B$30)+COUNTIF('Multiple Choice Questions'!$B$2:$B$1001,'Hybrid Questions'!$B$30)+COUNTIF('Hybrid Questions'!$B$2:$B$1001,'Hybrid Questions'!$B$30))&gt;1),"Question number '"&amp;'Hybrid Questions'!$B$30&amp;"' is already used by another row. Numbers must be unique because they're used as output folder names.","")</f>
        <v>0</v>
      </c>
      <c r="F283" s="4" t="s">
        <v>221</v>
      </c>
    </row>
    <row r="284" spans="1:6" ht="75" customHeight="1">
      <c r="A284" t="s">
        <v>271</v>
      </c>
      <c r="B284" t="s">
        <v>250</v>
      </c>
      <c r="C284" t="s">
        <v>220</v>
      </c>
      <c r="D284" t="s">
        <v>165</v>
      </c>
      <c r="E284" s="4">
        <f>IF(AND('Hybrid Questions'!$B$31&lt;&gt;"",ISNUMBER('Hybrid Questions'!$B$31),(COUNTIF('Open Questions'!$B$2:$B$1001,'Hybrid Questions'!$B$31)+COUNTIF('Multiple Choice Questions'!$B$2:$B$1001,'Hybrid Questions'!$B$31)+COUNTIF('Hybrid Questions'!$B$2:$B$1001,'Hybrid Questions'!$B$31))&gt;1),"Question number '"&amp;'Hybrid Questions'!$B$31&amp;"' is already used by another row. Numbers must be unique because they're used as output folder names.","")</f>
        <v>0</v>
      </c>
      <c r="F284" s="4" t="s">
        <v>221</v>
      </c>
    </row>
    <row r="285" spans="1:6" ht="75" customHeight="1">
      <c r="A285" t="s">
        <v>271</v>
      </c>
      <c r="B285" t="s">
        <v>251</v>
      </c>
      <c r="C285" t="s">
        <v>220</v>
      </c>
      <c r="D285" t="s">
        <v>165</v>
      </c>
      <c r="E285" s="4">
        <f>IF(AND('Hybrid Questions'!$B$32&lt;&gt;"",ISNUMBER('Hybrid Questions'!$B$32),(COUNTIF('Open Questions'!$B$2:$B$1001,'Hybrid Questions'!$B$32)+COUNTIF('Multiple Choice Questions'!$B$2:$B$1001,'Hybrid Questions'!$B$32)+COUNTIF('Hybrid Questions'!$B$2:$B$1001,'Hybrid Questions'!$B$32))&gt;1),"Question number '"&amp;'Hybrid Questions'!$B$32&amp;"' is already used by another row. Numbers must be unique because they're used as output folder names.","")</f>
        <v>0</v>
      </c>
      <c r="F285" s="4" t="s">
        <v>221</v>
      </c>
    </row>
    <row r="286" spans="1:6" ht="75" customHeight="1">
      <c r="A286" t="s">
        <v>271</v>
      </c>
      <c r="B286" t="s">
        <v>252</v>
      </c>
      <c r="C286" t="s">
        <v>220</v>
      </c>
      <c r="D286" t="s">
        <v>165</v>
      </c>
      <c r="E286" s="4">
        <f>IF(AND('Hybrid Questions'!$B$33&lt;&gt;"",ISNUMBER('Hybrid Questions'!$B$33),(COUNTIF('Open Questions'!$B$2:$B$1001,'Hybrid Questions'!$B$33)+COUNTIF('Multiple Choice Questions'!$B$2:$B$1001,'Hybrid Questions'!$B$33)+COUNTIF('Hybrid Questions'!$B$2:$B$1001,'Hybrid Questions'!$B$33))&gt;1),"Question number '"&amp;'Hybrid Questions'!$B$33&amp;"' is already used by another row. Numbers must be unique because they're used as output folder names.","")</f>
        <v>0</v>
      </c>
      <c r="F286" s="4" t="s">
        <v>221</v>
      </c>
    </row>
    <row r="287" spans="1:6" ht="75" customHeight="1">
      <c r="A287" t="s">
        <v>271</v>
      </c>
      <c r="B287" t="s">
        <v>253</v>
      </c>
      <c r="C287" t="s">
        <v>220</v>
      </c>
      <c r="D287" t="s">
        <v>165</v>
      </c>
      <c r="E287" s="4">
        <f>IF(AND('Hybrid Questions'!$B$34&lt;&gt;"",ISNUMBER('Hybrid Questions'!$B$34),(COUNTIF('Open Questions'!$B$2:$B$1001,'Hybrid Questions'!$B$34)+COUNTIF('Multiple Choice Questions'!$B$2:$B$1001,'Hybrid Questions'!$B$34)+COUNTIF('Hybrid Questions'!$B$2:$B$1001,'Hybrid Questions'!$B$34))&gt;1),"Question number '"&amp;'Hybrid Questions'!$B$34&amp;"' is already used by another row. Numbers must be unique because they're used as output folder names.","")</f>
        <v>0</v>
      </c>
      <c r="F287" s="4" t="s">
        <v>221</v>
      </c>
    </row>
    <row r="288" spans="1:6" ht="75" customHeight="1">
      <c r="A288" t="s">
        <v>271</v>
      </c>
      <c r="B288" t="s">
        <v>254</v>
      </c>
      <c r="C288" t="s">
        <v>220</v>
      </c>
      <c r="D288" t="s">
        <v>165</v>
      </c>
      <c r="E288" s="4">
        <f>IF(AND('Hybrid Questions'!$B$35&lt;&gt;"",ISNUMBER('Hybrid Questions'!$B$35),(COUNTIF('Open Questions'!$B$2:$B$1001,'Hybrid Questions'!$B$35)+COUNTIF('Multiple Choice Questions'!$B$2:$B$1001,'Hybrid Questions'!$B$35)+COUNTIF('Hybrid Questions'!$B$2:$B$1001,'Hybrid Questions'!$B$35))&gt;1),"Question number '"&amp;'Hybrid Questions'!$B$35&amp;"' is already used by another row. Numbers must be unique because they're used as output folder names.","")</f>
        <v>0</v>
      </c>
      <c r="F288" s="4" t="s">
        <v>221</v>
      </c>
    </row>
    <row r="289" spans="1:6" ht="75" customHeight="1">
      <c r="A289" t="s">
        <v>271</v>
      </c>
      <c r="B289" t="s">
        <v>255</v>
      </c>
      <c r="C289" t="s">
        <v>220</v>
      </c>
      <c r="D289" t="s">
        <v>165</v>
      </c>
      <c r="E289" s="4">
        <f>IF(AND('Hybrid Questions'!$B$36&lt;&gt;"",ISNUMBER('Hybrid Questions'!$B$36),(COUNTIF('Open Questions'!$B$2:$B$1001,'Hybrid Questions'!$B$36)+COUNTIF('Multiple Choice Questions'!$B$2:$B$1001,'Hybrid Questions'!$B$36)+COUNTIF('Hybrid Questions'!$B$2:$B$1001,'Hybrid Questions'!$B$36))&gt;1),"Question number '"&amp;'Hybrid Questions'!$B$36&amp;"' is already used by another row. Numbers must be unique because they're used as output folder names.","")</f>
        <v>0</v>
      </c>
      <c r="F289" s="4" t="s">
        <v>221</v>
      </c>
    </row>
    <row r="290" spans="1:6" ht="75" customHeight="1">
      <c r="A290" t="s">
        <v>271</v>
      </c>
      <c r="B290" t="s">
        <v>256</v>
      </c>
      <c r="C290" t="s">
        <v>220</v>
      </c>
      <c r="D290" t="s">
        <v>165</v>
      </c>
      <c r="E290" s="4">
        <f>IF(AND('Hybrid Questions'!$B$37&lt;&gt;"",ISNUMBER('Hybrid Questions'!$B$37),(COUNTIF('Open Questions'!$B$2:$B$1001,'Hybrid Questions'!$B$37)+COUNTIF('Multiple Choice Questions'!$B$2:$B$1001,'Hybrid Questions'!$B$37)+COUNTIF('Hybrid Questions'!$B$2:$B$1001,'Hybrid Questions'!$B$37))&gt;1),"Question number '"&amp;'Hybrid Questions'!$B$37&amp;"' is already used by another row. Numbers must be unique because they're used as output folder names.","")</f>
        <v>0</v>
      </c>
      <c r="F290" s="4" t="s">
        <v>221</v>
      </c>
    </row>
    <row r="291" spans="1:6" ht="75" customHeight="1">
      <c r="A291" t="s">
        <v>271</v>
      </c>
      <c r="B291" t="s">
        <v>257</v>
      </c>
      <c r="C291" t="s">
        <v>220</v>
      </c>
      <c r="D291" t="s">
        <v>165</v>
      </c>
      <c r="E291" s="4">
        <f>IF(AND('Hybrid Questions'!$B$38&lt;&gt;"",ISNUMBER('Hybrid Questions'!$B$38),(COUNTIF('Open Questions'!$B$2:$B$1001,'Hybrid Questions'!$B$38)+COUNTIF('Multiple Choice Questions'!$B$2:$B$1001,'Hybrid Questions'!$B$38)+COUNTIF('Hybrid Questions'!$B$2:$B$1001,'Hybrid Questions'!$B$38))&gt;1),"Question number '"&amp;'Hybrid Questions'!$B$38&amp;"' is already used by another row. Numbers must be unique because they're used as output folder names.","")</f>
        <v>0</v>
      </c>
      <c r="F291" s="4" t="s">
        <v>221</v>
      </c>
    </row>
    <row r="292" spans="1:6" ht="75" customHeight="1">
      <c r="A292" t="s">
        <v>271</v>
      </c>
      <c r="B292" t="s">
        <v>258</v>
      </c>
      <c r="C292" t="s">
        <v>220</v>
      </c>
      <c r="D292" t="s">
        <v>165</v>
      </c>
      <c r="E292" s="4">
        <f>IF(AND('Hybrid Questions'!$B$39&lt;&gt;"",ISNUMBER('Hybrid Questions'!$B$39),(COUNTIF('Open Questions'!$B$2:$B$1001,'Hybrid Questions'!$B$39)+COUNTIF('Multiple Choice Questions'!$B$2:$B$1001,'Hybrid Questions'!$B$39)+COUNTIF('Hybrid Questions'!$B$2:$B$1001,'Hybrid Questions'!$B$39))&gt;1),"Question number '"&amp;'Hybrid Questions'!$B$39&amp;"' is already used by another row. Numbers must be unique because they're used as output folder names.","")</f>
        <v>0</v>
      </c>
      <c r="F292" s="4" t="s">
        <v>221</v>
      </c>
    </row>
    <row r="293" spans="1:6" ht="75" customHeight="1">
      <c r="A293" t="s">
        <v>271</v>
      </c>
      <c r="B293" t="s">
        <v>259</v>
      </c>
      <c r="C293" t="s">
        <v>220</v>
      </c>
      <c r="D293" t="s">
        <v>165</v>
      </c>
      <c r="E293" s="4">
        <f>IF(AND('Hybrid Questions'!$B$40&lt;&gt;"",ISNUMBER('Hybrid Questions'!$B$40),(COUNTIF('Open Questions'!$B$2:$B$1001,'Hybrid Questions'!$B$40)+COUNTIF('Multiple Choice Questions'!$B$2:$B$1001,'Hybrid Questions'!$B$40)+COUNTIF('Hybrid Questions'!$B$2:$B$1001,'Hybrid Questions'!$B$40))&gt;1),"Question number '"&amp;'Hybrid Questions'!$B$40&amp;"' is already used by another row. Numbers must be unique because they're used as output folder names.","")</f>
        <v>0</v>
      </c>
      <c r="F293" s="4" t="s">
        <v>221</v>
      </c>
    </row>
    <row r="294" spans="1:6" ht="75" customHeight="1">
      <c r="A294" t="s">
        <v>271</v>
      </c>
      <c r="B294" t="s">
        <v>260</v>
      </c>
      <c r="C294" t="s">
        <v>220</v>
      </c>
      <c r="D294" t="s">
        <v>165</v>
      </c>
      <c r="E294" s="4">
        <f>IF(AND('Hybrid Questions'!$B$41&lt;&gt;"",ISNUMBER('Hybrid Questions'!$B$41),(COUNTIF('Open Questions'!$B$2:$B$1001,'Hybrid Questions'!$B$41)+COUNTIF('Multiple Choice Questions'!$B$2:$B$1001,'Hybrid Questions'!$B$41)+COUNTIF('Hybrid Questions'!$B$2:$B$1001,'Hybrid Questions'!$B$41))&gt;1),"Question number '"&amp;'Hybrid Questions'!$B$41&amp;"' is already used by another row. Numbers must be unique because they're used as output folder names.","")</f>
        <v>0</v>
      </c>
      <c r="F294" s="4" t="s">
        <v>221</v>
      </c>
    </row>
    <row r="295" spans="1:6" ht="75" customHeight="1">
      <c r="A295" t="s">
        <v>271</v>
      </c>
      <c r="B295" t="s">
        <v>261</v>
      </c>
      <c r="C295" t="s">
        <v>220</v>
      </c>
      <c r="D295" t="s">
        <v>165</v>
      </c>
      <c r="E295" s="4">
        <f>IF(AND('Hybrid Questions'!$B$42&lt;&gt;"",ISNUMBER('Hybrid Questions'!$B$42),(COUNTIF('Open Questions'!$B$2:$B$1001,'Hybrid Questions'!$B$42)+COUNTIF('Multiple Choice Questions'!$B$2:$B$1001,'Hybrid Questions'!$B$42)+COUNTIF('Hybrid Questions'!$B$2:$B$1001,'Hybrid Questions'!$B$42))&gt;1),"Question number '"&amp;'Hybrid Questions'!$B$42&amp;"' is already used by another row. Numbers must be unique because they're used as output folder names.","")</f>
        <v>0</v>
      </c>
      <c r="F295" s="4" t="s">
        <v>221</v>
      </c>
    </row>
    <row r="296" spans="1:6" ht="75" customHeight="1">
      <c r="A296" t="s">
        <v>271</v>
      </c>
      <c r="B296" t="s">
        <v>262</v>
      </c>
      <c r="C296" t="s">
        <v>220</v>
      </c>
      <c r="D296" t="s">
        <v>165</v>
      </c>
      <c r="E296" s="4">
        <f>IF(AND('Hybrid Questions'!$B$43&lt;&gt;"",ISNUMBER('Hybrid Questions'!$B$43),(COUNTIF('Open Questions'!$B$2:$B$1001,'Hybrid Questions'!$B$43)+COUNTIF('Multiple Choice Questions'!$B$2:$B$1001,'Hybrid Questions'!$B$43)+COUNTIF('Hybrid Questions'!$B$2:$B$1001,'Hybrid Questions'!$B$43))&gt;1),"Question number '"&amp;'Hybrid Questions'!$B$43&amp;"' is already used by another row. Numbers must be unique because they're used as output folder names.","")</f>
        <v>0</v>
      </c>
      <c r="F296" s="4" t="s">
        <v>221</v>
      </c>
    </row>
    <row r="297" spans="1:6" ht="75" customHeight="1">
      <c r="A297" t="s">
        <v>271</v>
      </c>
      <c r="B297" t="s">
        <v>263</v>
      </c>
      <c r="C297" t="s">
        <v>220</v>
      </c>
      <c r="D297" t="s">
        <v>165</v>
      </c>
      <c r="E297" s="4">
        <f>IF(AND('Hybrid Questions'!$B$44&lt;&gt;"",ISNUMBER('Hybrid Questions'!$B$44),(COUNTIF('Open Questions'!$B$2:$B$1001,'Hybrid Questions'!$B$44)+COUNTIF('Multiple Choice Questions'!$B$2:$B$1001,'Hybrid Questions'!$B$44)+COUNTIF('Hybrid Questions'!$B$2:$B$1001,'Hybrid Questions'!$B$44))&gt;1),"Question number '"&amp;'Hybrid Questions'!$B$44&amp;"' is already used by another row. Numbers must be unique because they're used as output folder names.","")</f>
        <v>0</v>
      </c>
      <c r="F297" s="4" t="s">
        <v>221</v>
      </c>
    </row>
    <row r="298" spans="1:6" ht="75" customHeight="1">
      <c r="A298" t="s">
        <v>271</v>
      </c>
      <c r="B298" t="s">
        <v>264</v>
      </c>
      <c r="C298" t="s">
        <v>220</v>
      </c>
      <c r="D298" t="s">
        <v>165</v>
      </c>
      <c r="E298" s="4">
        <f>IF(AND('Hybrid Questions'!$B$45&lt;&gt;"",ISNUMBER('Hybrid Questions'!$B$45),(COUNTIF('Open Questions'!$B$2:$B$1001,'Hybrid Questions'!$B$45)+COUNTIF('Multiple Choice Questions'!$B$2:$B$1001,'Hybrid Questions'!$B$45)+COUNTIF('Hybrid Questions'!$B$2:$B$1001,'Hybrid Questions'!$B$45))&gt;1),"Question number '"&amp;'Hybrid Questions'!$B$45&amp;"' is already used by another row. Numbers must be unique because they're used as output folder names.","")</f>
        <v>0</v>
      </c>
      <c r="F298" s="4" t="s">
        <v>221</v>
      </c>
    </row>
    <row r="299" spans="1:6" ht="75" customHeight="1">
      <c r="A299" t="s">
        <v>271</v>
      </c>
      <c r="B299" t="s">
        <v>265</v>
      </c>
      <c r="C299" t="s">
        <v>220</v>
      </c>
      <c r="D299" t="s">
        <v>165</v>
      </c>
      <c r="E299" s="4">
        <f>IF(AND('Hybrid Questions'!$B$46&lt;&gt;"",ISNUMBER('Hybrid Questions'!$B$46),(COUNTIF('Open Questions'!$B$2:$B$1001,'Hybrid Questions'!$B$46)+COUNTIF('Multiple Choice Questions'!$B$2:$B$1001,'Hybrid Questions'!$B$46)+COUNTIF('Hybrid Questions'!$B$2:$B$1001,'Hybrid Questions'!$B$46))&gt;1),"Question number '"&amp;'Hybrid Questions'!$B$46&amp;"' is already used by another row. Numbers must be unique because they're used as output folder names.","")</f>
        <v>0</v>
      </c>
      <c r="F299" s="4" t="s">
        <v>221</v>
      </c>
    </row>
    <row r="300" spans="1:6" ht="75" customHeight="1">
      <c r="A300" t="s">
        <v>271</v>
      </c>
      <c r="B300" t="s">
        <v>266</v>
      </c>
      <c r="C300" t="s">
        <v>220</v>
      </c>
      <c r="D300" t="s">
        <v>165</v>
      </c>
      <c r="E300" s="4">
        <f>IF(AND('Hybrid Questions'!$B$47&lt;&gt;"",ISNUMBER('Hybrid Questions'!$B$47),(COUNTIF('Open Questions'!$B$2:$B$1001,'Hybrid Questions'!$B$47)+COUNTIF('Multiple Choice Questions'!$B$2:$B$1001,'Hybrid Questions'!$B$47)+COUNTIF('Hybrid Questions'!$B$2:$B$1001,'Hybrid Questions'!$B$47))&gt;1),"Question number '"&amp;'Hybrid Questions'!$B$47&amp;"' is already used by another row. Numbers must be unique because they're used as output folder names.","")</f>
        <v>0</v>
      </c>
      <c r="F300" s="4" t="s">
        <v>221</v>
      </c>
    </row>
    <row r="301" spans="1:6" ht="75" customHeight="1">
      <c r="A301" t="s">
        <v>271</v>
      </c>
      <c r="B301" t="s">
        <v>267</v>
      </c>
      <c r="C301" t="s">
        <v>220</v>
      </c>
      <c r="D301" t="s">
        <v>165</v>
      </c>
      <c r="E301" s="4">
        <f>IF(AND('Hybrid Questions'!$B$48&lt;&gt;"",ISNUMBER('Hybrid Questions'!$B$48),(COUNTIF('Open Questions'!$B$2:$B$1001,'Hybrid Questions'!$B$48)+COUNTIF('Multiple Choice Questions'!$B$2:$B$1001,'Hybrid Questions'!$B$48)+COUNTIF('Hybrid Questions'!$B$2:$B$1001,'Hybrid Questions'!$B$48))&gt;1),"Question number '"&amp;'Hybrid Questions'!$B$48&amp;"' is already used by another row. Numbers must be unique because they're used as output folder names.","")</f>
        <v>0</v>
      </c>
      <c r="F301" s="4" t="s">
        <v>221</v>
      </c>
    </row>
    <row r="302" spans="1:6" ht="75" customHeight="1">
      <c r="A302" t="s">
        <v>271</v>
      </c>
      <c r="B302" t="s">
        <v>268</v>
      </c>
      <c r="C302" t="s">
        <v>220</v>
      </c>
      <c r="D302" t="s">
        <v>165</v>
      </c>
      <c r="E302" s="4">
        <f>IF(AND('Hybrid Questions'!$B$49&lt;&gt;"",ISNUMBER('Hybrid Questions'!$B$49),(COUNTIF('Open Questions'!$B$2:$B$1001,'Hybrid Questions'!$B$49)+COUNTIF('Multiple Choice Questions'!$B$2:$B$1001,'Hybrid Questions'!$B$49)+COUNTIF('Hybrid Questions'!$B$2:$B$1001,'Hybrid Questions'!$B$49))&gt;1),"Question number '"&amp;'Hybrid Questions'!$B$49&amp;"' is already used by another row. Numbers must be unique because they're used as output folder names.","")</f>
        <v>0</v>
      </c>
      <c r="F302" s="4" t="s">
        <v>221</v>
      </c>
    </row>
    <row r="303" spans="1:6" ht="75" customHeight="1">
      <c r="A303" t="s">
        <v>271</v>
      </c>
      <c r="B303" t="s">
        <v>269</v>
      </c>
      <c r="C303" t="s">
        <v>220</v>
      </c>
      <c r="D303" t="s">
        <v>165</v>
      </c>
      <c r="E303" s="4">
        <f>IF(AND('Hybrid Questions'!$B$50&lt;&gt;"",ISNUMBER('Hybrid Questions'!$B$50),(COUNTIF('Open Questions'!$B$2:$B$1001,'Hybrid Questions'!$B$50)+COUNTIF('Multiple Choice Questions'!$B$2:$B$1001,'Hybrid Questions'!$B$50)+COUNTIF('Hybrid Questions'!$B$2:$B$1001,'Hybrid Questions'!$B$50))&gt;1),"Question number '"&amp;'Hybrid Questions'!$B$50&amp;"' is already used by another row. Numbers must be unique because they're used as output folder names.","")</f>
        <v>0</v>
      </c>
      <c r="F303" s="4" t="s">
        <v>221</v>
      </c>
    </row>
    <row r="304" spans="1:6" ht="75" customHeight="1">
      <c r="A304" t="s">
        <v>271</v>
      </c>
      <c r="B304" t="s">
        <v>270</v>
      </c>
      <c r="C304" t="s">
        <v>220</v>
      </c>
      <c r="D304" t="s">
        <v>165</v>
      </c>
      <c r="E304" s="4">
        <f>IF(AND('Hybrid Questions'!$B$51&lt;&gt;"",ISNUMBER('Hybrid Questions'!$B$51),(COUNTIF('Open Questions'!$B$2:$B$1001,'Hybrid Questions'!$B$51)+COUNTIF('Multiple Choice Questions'!$B$2:$B$1001,'Hybrid Questions'!$B$51)+COUNTIF('Hybrid Questions'!$B$2:$B$1001,'Hybrid Questions'!$B$51))&gt;1),"Question number '"&amp;'Hybrid Questions'!$B$51&amp;"' is already used by another row. Numbers must be unique because they're used as output folder names.","")</f>
        <v>0</v>
      </c>
      <c r="F304" s="4" t="s">
        <v>221</v>
      </c>
    </row>
    <row r="305" spans="1:6" ht="75" customHeight="1">
      <c r="A305" t="s">
        <v>271</v>
      </c>
      <c r="B305" t="s">
        <v>272</v>
      </c>
      <c r="C305" t="s">
        <v>273</v>
      </c>
      <c r="D305" t="s">
        <v>165</v>
      </c>
      <c r="E305" s="4">
        <f>IF(AND('Hybrid Questions'!$D$2&lt;&gt;"",NOT(AND(LEN(TRIM('Hybrid Questions'!$D$2))&gt;=1,LEN(TRIM('Hybrid Questions'!$D$2))&lt;=3,AND(CODE(MID(TRIM('Hybrid Questions'!$D$2)&amp;"AAA",1,1))&gt;=65,CODE(MID(TRIM('Hybrid Questions'!$D$2)&amp;"AAA",1,1))&lt;=90),AND(CODE(MID(TRIM('Hybrid Questions'!$D$2)&amp;"AAA",2,1))&gt;=65,CODE(MID(TRIM('Hybrid Questions'!$D$2)&amp;"AAA",2,1))&lt;=90),AND(CODE(MID(TRIM('Hybrid Questions'!$D$2)&amp;"AAA",3,1))&gt;=65,CODE(MID(TRIM('Hybrid Questions'!$D$2)&amp;"AAA",3,1))&lt;=90)))),"'"&amp;'Hybrid Questions'!$D$2&amp;"' isn't a valid Excel column letter, so Themefinder can't find the multiple-choice column on Responses.","")</f>
        <v>0</v>
      </c>
      <c r="F305" s="4" t="s">
        <v>274</v>
      </c>
    </row>
    <row r="306" spans="1:6" ht="75" customHeight="1">
      <c r="A306" t="s">
        <v>271</v>
      </c>
      <c r="B306" t="s">
        <v>275</v>
      </c>
      <c r="C306" t="s">
        <v>273</v>
      </c>
      <c r="D306" t="s">
        <v>165</v>
      </c>
      <c r="E306" s="4">
        <f>IF(AND('Hybrid Questions'!$D$3&lt;&gt;"",NOT(AND(LEN(TRIM('Hybrid Questions'!$D$3))&gt;=1,LEN(TRIM('Hybrid Questions'!$D$3))&lt;=3,AND(CODE(MID(TRIM('Hybrid Questions'!$D$3)&amp;"AAA",1,1))&gt;=65,CODE(MID(TRIM('Hybrid Questions'!$D$3)&amp;"AAA",1,1))&lt;=90),AND(CODE(MID(TRIM('Hybrid Questions'!$D$3)&amp;"AAA",2,1))&gt;=65,CODE(MID(TRIM('Hybrid Questions'!$D$3)&amp;"AAA",2,1))&lt;=90),AND(CODE(MID(TRIM('Hybrid Questions'!$D$3)&amp;"AAA",3,1))&gt;=65,CODE(MID(TRIM('Hybrid Questions'!$D$3)&amp;"AAA",3,1))&lt;=90)))),"'"&amp;'Hybrid Questions'!$D$3&amp;"' isn't a valid Excel column letter, so Themefinder can't find the multiple-choice column on Responses.","")</f>
        <v>0</v>
      </c>
      <c r="F306" s="4" t="s">
        <v>274</v>
      </c>
    </row>
    <row r="307" spans="1:6" ht="75" customHeight="1">
      <c r="A307" t="s">
        <v>271</v>
      </c>
      <c r="B307" t="s">
        <v>276</v>
      </c>
      <c r="C307" t="s">
        <v>273</v>
      </c>
      <c r="D307" t="s">
        <v>165</v>
      </c>
      <c r="E307" s="4">
        <f>IF(AND('Hybrid Questions'!$D$4&lt;&gt;"",NOT(AND(LEN(TRIM('Hybrid Questions'!$D$4))&gt;=1,LEN(TRIM('Hybrid Questions'!$D$4))&lt;=3,AND(CODE(MID(TRIM('Hybrid Questions'!$D$4)&amp;"AAA",1,1))&gt;=65,CODE(MID(TRIM('Hybrid Questions'!$D$4)&amp;"AAA",1,1))&lt;=90),AND(CODE(MID(TRIM('Hybrid Questions'!$D$4)&amp;"AAA",2,1))&gt;=65,CODE(MID(TRIM('Hybrid Questions'!$D$4)&amp;"AAA",2,1))&lt;=90),AND(CODE(MID(TRIM('Hybrid Questions'!$D$4)&amp;"AAA",3,1))&gt;=65,CODE(MID(TRIM('Hybrid Questions'!$D$4)&amp;"AAA",3,1))&lt;=90)))),"'"&amp;'Hybrid Questions'!$D$4&amp;"' isn't a valid Excel column letter, so Themefinder can't find the multiple-choice column on Responses.","")</f>
        <v>0</v>
      </c>
      <c r="F307" s="4" t="s">
        <v>274</v>
      </c>
    </row>
    <row r="308" spans="1:6" ht="75" customHeight="1">
      <c r="A308" t="s">
        <v>271</v>
      </c>
      <c r="B308" t="s">
        <v>277</v>
      </c>
      <c r="C308" t="s">
        <v>273</v>
      </c>
      <c r="D308" t="s">
        <v>165</v>
      </c>
      <c r="E308" s="4">
        <f>IF(AND('Hybrid Questions'!$D$5&lt;&gt;"",NOT(AND(LEN(TRIM('Hybrid Questions'!$D$5))&gt;=1,LEN(TRIM('Hybrid Questions'!$D$5))&lt;=3,AND(CODE(MID(TRIM('Hybrid Questions'!$D$5)&amp;"AAA",1,1))&gt;=65,CODE(MID(TRIM('Hybrid Questions'!$D$5)&amp;"AAA",1,1))&lt;=90),AND(CODE(MID(TRIM('Hybrid Questions'!$D$5)&amp;"AAA",2,1))&gt;=65,CODE(MID(TRIM('Hybrid Questions'!$D$5)&amp;"AAA",2,1))&lt;=90),AND(CODE(MID(TRIM('Hybrid Questions'!$D$5)&amp;"AAA",3,1))&gt;=65,CODE(MID(TRIM('Hybrid Questions'!$D$5)&amp;"AAA",3,1))&lt;=90)))),"'"&amp;'Hybrid Questions'!$D$5&amp;"' isn't a valid Excel column letter, so Themefinder can't find the multiple-choice column on Responses.","")</f>
        <v>0</v>
      </c>
      <c r="F308" s="4" t="s">
        <v>274</v>
      </c>
    </row>
    <row r="309" spans="1:6" ht="75" customHeight="1">
      <c r="A309" t="s">
        <v>271</v>
      </c>
      <c r="B309" t="s">
        <v>278</v>
      </c>
      <c r="C309" t="s">
        <v>273</v>
      </c>
      <c r="D309" t="s">
        <v>165</v>
      </c>
      <c r="E309" s="4">
        <f>IF(AND('Hybrid Questions'!$D$6&lt;&gt;"",NOT(AND(LEN(TRIM('Hybrid Questions'!$D$6))&gt;=1,LEN(TRIM('Hybrid Questions'!$D$6))&lt;=3,AND(CODE(MID(TRIM('Hybrid Questions'!$D$6)&amp;"AAA",1,1))&gt;=65,CODE(MID(TRIM('Hybrid Questions'!$D$6)&amp;"AAA",1,1))&lt;=90),AND(CODE(MID(TRIM('Hybrid Questions'!$D$6)&amp;"AAA",2,1))&gt;=65,CODE(MID(TRIM('Hybrid Questions'!$D$6)&amp;"AAA",2,1))&lt;=90),AND(CODE(MID(TRIM('Hybrid Questions'!$D$6)&amp;"AAA",3,1))&gt;=65,CODE(MID(TRIM('Hybrid Questions'!$D$6)&amp;"AAA",3,1))&lt;=90)))),"'"&amp;'Hybrid Questions'!$D$6&amp;"' isn't a valid Excel column letter, so Themefinder can't find the multiple-choice column on Responses.","")</f>
        <v>0</v>
      </c>
      <c r="F309" s="4" t="s">
        <v>274</v>
      </c>
    </row>
    <row r="310" spans="1:6" ht="75" customHeight="1">
      <c r="A310" t="s">
        <v>271</v>
      </c>
      <c r="B310" t="s">
        <v>279</v>
      </c>
      <c r="C310" t="s">
        <v>273</v>
      </c>
      <c r="D310" t="s">
        <v>165</v>
      </c>
      <c r="E310" s="4">
        <f>IF(AND('Hybrid Questions'!$D$7&lt;&gt;"",NOT(AND(LEN(TRIM('Hybrid Questions'!$D$7))&gt;=1,LEN(TRIM('Hybrid Questions'!$D$7))&lt;=3,AND(CODE(MID(TRIM('Hybrid Questions'!$D$7)&amp;"AAA",1,1))&gt;=65,CODE(MID(TRIM('Hybrid Questions'!$D$7)&amp;"AAA",1,1))&lt;=90),AND(CODE(MID(TRIM('Hybrid Questions'!$D$7)&amp;"AAA",2,1))&gt;=65,CODE(MID(TRIM('Hybrid Questions'!$D$7)&amp;"AAA",2,1))&lt;=90),AND(CODE(MID(TRIM('Hybrid Questions'!$D$7)&amp;"AAA",3,1))&gt;=65,CODE(MID(TRIM('Hybrid Questions'!$D$7)&amp;"AAA",3,1))&lt;=90)))),"'"&amp;'Hybrid Questions'!$D$7&amp;"' isn't a valid Excel column letter, so Themefinder can't find the multiple-choice column on Responses.","")</f>
        <v>0</v>
      </c>
      <c r="F310" s="4" t="s">
        <v>274</v>
      </c>
    </row>
    <row r="311" spans="1:6" ht="75" customHeight="1">
      <c r="A311" t="s">
        <v>271</v>
      </c>
      <c r="B311" t="s">
        <v>280</v>
      </c>
      <c r="C311" t="s">
        <v>273</v>
      </c>
      <c r="D311" t="s">
        <v>165</v>
      </c>
      <c r="E311" s="4">
        <f>IF(AND('Hybrid Questions'!$D$8&lt;&gt;"",NOT(AND(LEN(TRIM('Hybrid Questions'!$D$8))&gt;=1,LEN(TRIM('Hybrid Questions'!$D$8))&lt;=3,AND(CODE(MID(TRIM('Hybrid Questions'!$D$8)&amp;"AAA",1,1))&gt;=65,CODE(MID(TRIM('Hybrid Questions'!$D$8)&amp;"AAA",1,1))&lt;=90),AND(CODE(MID(TRIM('Hybrid Questions'!$D$8)&amp;"AAA",2,1))&gt;=65,CODE(MID(TRIM('Hybrid Questions'!$D$8)&amp;"AAA",2,1))&lt;=90),AND(CODE(MID(TRIM('Hybrid Questions'!$D$8)&amp;"AAA",3,1))&gt;=65,CODE(MID(TRIM('Hybrid Questions'!$D$8)&amp;"AAA",3,1))&lt;=90)))),"'"&amp;'Hybrid Questions'!$D$8&amp;"' isn't a valid Excel column letter, so Themefinder can't find the multiple-choice column on Responses.","")</f>
        <v>0</v>
      </c>
      <c r="F311" s="4" t="s">
        <v>274</v>
      </c>
    </row>
    <row r="312" spans="1:6" ht="75" customHeight="1">
      <c r="A312" t="s">
        <v>271</v>
      </c>
      <c r="B312" t="s">
        <v>281</v>
      </c>
      <c r="C312" t="s">
        <v>273</v>
      </c>
      <c r="D312" t="s">
        <v>165</v>
      </c>
      <c r="E312" s="4">
        <f>IF(AND('Hybrid Questions'!$D$9&lt;&gt;"",NOT(AND(LEN(TRIM('Hybrid Questions'!$D$9))&gt;=1,LEN(TRIM('Hybrid Questions'!$D$9))&lt;=3,AND(CODE(MID(TRIM('Hybrid Questions'!$D$9)&amp;"AAA",1,1))&gt;=65,CODE(MID(TRIM('Hybrid Questions'!$D$9)&amp;"AAA",1,1))&lt;=90),AND(CODE(MID(TRIM('Hybrid Questions'!$D$9)&amp;"AAA",2,1))&gt;=65,CODE(MID(TRIM('Hybrid Questions'!$D$9)&amp;"AAA",2,1))&lt;=90),AND(CODE(MID(TRIM('Hybrid Questions'!$D$9)&amp;"AAA",3,1))&gt;=65,CODE(MID(TRIM('Hybrid Questions'!$D$9)&amp;"AAA",3,1))&lt;=90)))),"'"&amp;'Hybrid Questions'!$D$9&amp;"' isn't a valid Excel column letter, so Themefinder can't find the multiple-choice column on Responses.","")</f>
        <v>0</v>
      </c>
      <c r="F312" s="4" t="s">
        <v>274</v>
      </c>
    </row>
    <row r="313" spans="1:6" ht="75" customHeight="1">
      <c r="A313" t="s">
        <v>271</v>
      </c>
      <c r="B313" t="s">
        <v>282</v>
      </c>
      <c r="C313" t="s">
        <v>273</v>
      </c>
      <c r="D313" t="s">
        <v>165</v>
      </c>
      <c r="E313" s="4">
        <f>IF(AND('Hybrid Questions'!$D$10&lt;&gt;"",NOT(AND(LEN(TRIM('Hybrid Questions'!$D$10))&gt;=1,LEN(TRIM('Hybrid Questions'!$D$10))&lt;=3,AND(CODE(MID(TRIM('Hybrid Questions'!$D$10)&amp;"AAA",1,1))&gt;=65,CODE(MID(TRIM('Hybrid Questions'!$D$10)&amp;"AAA",1,1))&lt;=90),AND(CODE(MID(TRIM('Hybrid Questions'!$D$10)&amp;"AAA",2,1))&gt;=65,CODE(MID(TRIM('Hybrid Questions'!$D$10)&amp;"AAA",2,1))&lt;=90),AND(CODE(MID(TRIM('Hybrid Questions'!$D$10)&amp;"AAA",3,1))&gt;=65,CODE(MID(TRIM('Hybrid Questions'!$D$10)&amp;"AAA",3,1))&lt;=90)))),"'"&amp;'Hybrid Questions'!$D$10&amp;"' isn't a valid Excel column letter, so Themefinder can't find the multiple-choice column on Responses.","")</f>
        <v>0</v>
      </c>
      <c r="F313" s="4" t="s">
        <v>274</v>
      </c>
    </row>
    <row r="314" spans="1:6" ht="75" customHeight="1">
      <c r="A314" t="s">
        <v>271</v>
      </c>
      <c r="B314" t="s">
        <v>283</v>
      </c>
      <c r="C314" t="s">
        <v>273</v>
      </c>
      <c r="D314" t="s">
        <v>165</v>
      </c>
      <c r="E314" s="4">
        <f>IF(AND('Hybrid Questions'!$D$11&lt;&gt;"",NOT(AND(LEN(TRIM('Hybrid Questions'!$D$11))&gt;=1,LEN(TRIM('Hybrid Questions'!$D$11))&lt;=3,AND(CODE(MID(TRIM('Hybrid Questions'!$D$11)&amp;"AAA",1,1))&gt;=65,CODE(MID(TRIM('Hybrid Questions'!$D$11)&amp;"AAA",1,1))&lt;=90),AND(CODE(MID(TRIM('Hybrid Questions'!$D$11)&amp;"AAA",2,1))&gt;=65,CODE(MID(TRIM('Hybrid Questions'!$D$11)&amp;"AAA",2,1))&lt;=90),AND(CODE(MID(TRIM('Hybrid Questions'!$D$11)&amp;"AAA",3,1))&gt;=65,CODE(MID(TRIM('Hybrid Questions'!$D$11)&amp;"AAA",3,1))&lt;=90)))),"'"&amp;'Hybrid Questions'!$D$11&amp;"' isn't a valid Excel column letter, so Themefinder can't find the multiple-choice column on Responses.","")</f>
        <v>0</v>
      </c>
      <c r="F314" s="4" t="s">
        <v>274</v>
      </c>
    </row>
    <row r="315" spans="1:6" ht="75" customHeight="1">
      <c r="A315" t="s">
        <v>271</v>
      </c>
      <c r="B315" t="s">
        <v>284</v>
      </c>
      <c r="C315" t="s">
        <v>273</v>
      </c>
      <c r="D315" t="s">
        <v>165</v>
      </c>
      <c r="E315" s="4">
        <f>IF(AND('Hybrid Questions'!$D$12&lt;&gt;"",NOT(AND(LEN(TRIM('Hybrid Questions'!$D$12))&gt;=1,LEN(TRIM('Hybrid Questions'!$D$12))&lt;=3,AND(CODE(MID(TRIM('Hybrid Questions'!$D$12)&amp;"AAA",1,1))&gt;=65,CODE(MID(TRIM('Hybrid Questions'!$D$12)&amp;"AAA",1,1))&lt;=90),AND(CODE(MID(TRIM('Hybrid Questions'!$D$12)&amp;"AAA",2,1))&gt;=65,CODE(MID(TRIM('Hybrid Questions'!$D$12)&amp;"AAA",2,1))&lt;=90),AND(CODE(MID(TRIM('Hybrid Questions'!$D$12)&amp;"AAA",3,1))&gt;=65,CODE(MID(TRIM('Hybrid Questions'!$D$12)&amp;"AAA",3,1))&lt;=90)))),"'"&amp;'Hybrid Questions'!$D$12&amp;"' isn't a valid Excel column letter, so Themefinder can't find the multiple-choice column on Responses.","")</f>
        <v>0</v>
      </c>
      <c r="F315" s="4" t="s">
        <v>274</v>
      </c>
    </row>
    <row r="316" spans="1:6" ht="75" customHeight="1">
      <c r="A316" t="s">
        <v>271</v>
      </c>
      <c r="B316" t="s">
        <v>285</v>
      </c>
      <c r="C316" t="s">
        <v>273</v>
      </c>
      <c r="D316" t="s">
        <v>165</v>
      </c>
      <c r="E316" s="4">
        <f>IF(AND('Hybrid Questions'!$D$13&lt;&gt;"",NOT(AND(LEN(TRIM('Hybrid Questions'!$D$13))&gt;=1,LEN(TRIM('Hybrid Questions'!$D$13))&lt;=3,AND(CODE(MID(TRIM('Hybrid Questions'!$D$13)&amp;"AAA",1,1))&gt;=65,CODE(MID(TRIM('Hybrid Questions'!$D$13)&amp;"AAA",1,1))&lt;=90),AND(CODE(MID(TRIM('Hybrid Questions'!$D$13)&amp;"AAA",2,1))&gt;=65,CODE(MID(TRIM('Hybrid Questions'!$D$13)&amp;"AAA",2,1))&lt;=90),AND(CODE(MID(TRIM('Hybrid Questions'!$D$13)&amp;"AAA",3,1))&gt;=65,CODE(MID(TRIM('Hybrid Questions'!$D$13)&amp;"AAA",3,1))&lt;=90)))),"'"&amp;'Hybrid Questions'!$D$13&amp;"' isn't a valid Excel column letter, so Themefinder can't find the multiple-choice column on Responses.","")</f>
        <v>0</v>
      </c>
      <c r="F316" s="4" t="s">
        <v>274</v>
      </c>
    </row>
    <row r="317" spans="1:6" ht="75" customHeight="1">
      <c r="A317" t="s">
        <v>271</v>
      </c>
      <c r="B317" t="s">
        <v>286</v>
      </c>
      <c r="C317" t="s">
        <v>273</v>
      </c>
      <c r="D317" t="s">
        <v>165</v>
      </c>
      <c r="E317" s="4">
        <f>IF(AND('Hybrid Questions'!$D$14&lt;&gt;"",NOT(AND(LEN(TRIM('Hybrid Questions'!$D$14))&gt;=1,LEN(TRIM('Hybrid Questions'!$D$14))&lt;=3,AND(CODE(MID(TRIM('Hybrid Questions'!$D$14)&amp;"AAA",1,1))&gt;=65,CODE(MID(TRIM('Hybrid Questions'!$D$14)&amp;"AAA",1,1))&lt;=90),AND(CODE(MID(TRIM('Hybrid Questions'!$D$14)&amp;"AAA",2,1))&gt;=65,CODE(MID(TRIM('Hybrid Questions'!$D$14)&amp;"AAA",2,1))&lt;=90),AND(CODE(MID(TRIM('Hybrid Questions'!$D$14)&amp;"AAA",3,1))&gt;=65,CODE(MID(TRIM('Hybrid Questions'!$D$14)&amp;"AAA",3,1))&lt;=90)))),"'"&amp;'Hybrid Questions'!$D$14&amp;"' isn't a valid Excel column letter, so Themefinder can't find the multiple-choice column on Responses.","")</f>
        <v>0</v>
      </c>
      <c r="F317" s="4" t="s">
        <v>274</v>
      </c>
    </row>
    <row r="318" spans="1:6" ht="75" customHeight="1">
      <c r="A318" t="s">
        <v>271</v>
      </c>
      <c r="B318" t="s">
        <v>287</v>
      </c>
      <c r="C318" t="s">
        <v>273</v>
      </c>
      <c r="D318" t="s">
        <v>165</v>
      </c>
      <c r="E318" s="4">
        <f>IF(AND('Hybrid Questions'!$D$15&lt;&gt;"",NOT(AND(LEN(TRIM('Hybrid Questions'!$D$15))&gt;=1,LEN(TRIM('Hybrid Questions'!$D$15))&lt;=3,AND(CODE(MID(TRIM('Hybrid Questions'!$D$15)&amp;"AAA",1,1))&gt;=65,CODE(MID(TRIM('Hybrid Questions'!$D$15)&amp;"AAA",1,1))&lt;=90),AND(CODE(MID(TRIM('Hybrid Questions'!$D$15)&amp;"AAA",2,1))&gt;=65,CODE(MID(TRIM('Hybrid Questions'!$D$15)&amp;"AAA",2,1))&lt;=90),AND(CODE(MID(TRIM('Hybrid Questions'!$D$15)&amp;"AAA",3,1))&gt;=65,CODE(MID(TRIM('Hybrid Questions'!$D$15)&amp;"AAA",3,1))&lt;=90)))),"'"&amp;'Hybrid Questions'!$D$15&amp;"' isn't a valid Excel column letter, so Themefinder can't find the multiple-choice column on Responses.","")</f>
        <v>0</v>
      </c>
      <c r="F318" s="4" t="s">
        <v>274</v>
      </c>
    </row>
    <row r="319" spans="1:6" ht="75" customHeight="1">
      <c r="A319" t="s">
        <v>271</v>
      </c>
      <c r="B319" t="s">
        <v>288</v>
      </c>
      <c r="C319" t="s">
        <v>273</v>
      </c>
      <c r="D319" t="s">
        <v>165</v>
      </c>
      <c r="E319" s="4">
        <f>IF(AND('Hybrid Questions'!$D$16&lt;&gt;"",NOT(AND(LEN(TRIM('Hybrid Questions'!$D$16))&gt;=1,LEN(TRIM('Hybrid Questions'!$D$16))&lt;=3,AND(CODE(MID(TRIM('Hybrid Questions'!$D$16)&amp;"AAA",1,1))&gt;=65,CODE(MID(TRIM('Hybrid Questions'!$D$16)&amp;"AAA",1,1))&lt;=90),AND(CODE(MID(TRIM('Hybrid Questions'!$D$16)&amp;"AAA",2,1))&gt;=65,CODE(MID(TRIM('Hybrid Questions'!$D$16)&amp;"AAA",2,1))&lt;=90),AND(CODE(MID(TRIM('Hybrid Questions'!$D$16)&amp;"AAA",3,1))&gt;=65,CODE(MID(TRIM('Hybrid Questions'!$D$16)&amp;"AAA",3,1))&lt;=90)))),"'"&amp;'Hybrid Questions'!$D$16&amp;"' isn't a valid Excel column letter, so Themefinder can't find the multiple-choice column on Responses.","")</f>
        <v>0</v>
      </c>
      <c r="F319" s="4" t="s">
        <v>274</v>
      </c>
    </row>
    <row r="320" spans="1:6" ht="75" customHeight="1">
      <c r="A320" t="s">
        <v>271</v>
      </c>
      <c r="B320" t="s">
        <v>289</v>
      </c>
      <c r="C320" t="s">
        <v>273</v>
      </c>
      <c r="D320" t="s">
        <v>165</v>
      </c>
      <c r="E320" s="4">
        <f>IF(AND('Hybrid Questions'!$D$17&lt;&gt;"",NOT(AND(LEN(TRIM('Hybrid Questions'!$D$17))&gt;=1,LEN(TRIM('Hybrid Questions'!$D$17))&lt;=3,AND(CODE(MID(TRIM('Hybrid Questions'!$D$17)&amp;"AAA",1,1))&gt;=65,CODE(MID(TRIM('Hybrid Questions'!$D$17)&amp;"AAA",1,1))&lt;=90),AND(CODE(MID(TRIM('Hybrid Questions'!$D$17)&amp;"AAA",2,1))&gt;=65,CODE(MID(TRIM('Hybrid Questions'!$D$17)&amp;"AAA",2,1))&lt;=90),AND(CODE(MID(TRIM('Hybrid Questions'!$D$17)&amp;"AAA",3,1))&gt;=65,CODE(MID(TRIM('Hybrid Questions'!$D$17)&amp;"AAA",3,1))&lt;=90)))),"'"&amp;'Hybrid Questions'!$D$17&amp;"' isn't a valid Excel column letter, so Themefinder can't find the multiple-choice column on Responses.","")</f>
        <v>0</v>
      </c>
      <c r="F320" s="4" t="s">
        <v>274</v>
      </c>
    </row>
    <row r="321" spans="1:6" ht="75" customHeight="1">
      <c r="A321" t="s">
        <v>271</v>
      </c>
      <c r="B321" t="s">
        <v>290</v>
      </c>
      <c r="C321" t="s">
        <v>273</v>
      </c>
      <c r="D321" t="s">
        <v>165</v>
      </c>
      <c r="E321" s="4">
        <f>IF(AND('Hybrid Questions'!$D$18&lt;&gt;"",NOT(AND(LEN(TRIM('Hybrid Questions'!$D$18))&gt;=1,LEN(TRIM('Hybrid Questions'!$D$18))&lt;=3,AND(CODE(MID(TRIM('Hybrid Questions'!$D$18)&amp;"AAA",1,1))&gt;=65,CODE(MID(TRIM('Hybrid Questions'!$D$18)&amp;"AAA",1,1))&lt;=90),AND(CODE(MID(TRIM('Hybrid Questions'!$D$18)&amp;"AAA",2,1))&gt;=65,CODE(MID(TRIM('Hybrid Questions'!$D$18)&amp;"AAA",2,1))&lt;=90),AND(CODE(MID(TRIM('Hybrid Questions'!$D$18)&amp;"AAA",3,1))&gt;=65,CODE(MID(TRIM('Hybrid Questions'!$D$18)&amp;"AAA",3,1))&lt;=90)))),"'"&amp;'Hybrid Questions'!$D$18&amp;"' isn't a valid Excel column letter, so Themefinder can't find the multiple-choice column on Responses.","")</f>
        <v>0</v>
      </c>
      <c r="F321" s="4" t="s">
        <v>274</v>
      </c>
    </row>
    <row r="322" spans="1:6" ht="75" customHeight="1">
      <c r="A322" t="s">
        <v>271</v>
      </c>
      <c r="B322" t="s">
        <v>291</v>
      </c>
      <c r="C322" t="s">
        <v>273</v>
      </c>
      <c r="D322" t="s">
        <v>165</v>
      </c>
      <c r="E322" s="4">
        <f>IF(AND('Hybrid Questions'!$D$19&lt;&gt;"",NOT(AND(LEN(TRIM('Hybrid Questions'!$D$19))&gt;=1,LEN(TRIM('Hybrid Questions'!$D$19))&lt;=3,AND(CODE(MID(TRIM('Hybrid Questions'!$D$19)&amp;"AAA",1,1))&gt;=65,CODE(MID(TRIM('Hybrid Questions'!$D$19)&amp;"AAA",1,1))&lt;=90),AND(CODE(MID(TRIM('Hybrid Questions'!$D$19)&amp;"AAA",2,1))&gt;=65,CODE(MID(TRIM('Hybrid Questions'!$D$19)&amp;"AAA",2,1))&lt;=90),AND(CODE(MID(TRIM('Hybrid Questions'!$D$19)&amp;"AAA",3,1))&gt;=65,CODE(MID(TRIM('Hybrid Questions'!$D$19)&amp;"AAA",3,1))&lt;=90)))),"'"&amp;'Hybrid Questions'!$D$19&amp;"' isn't a valid Excel column letter, so Themefinder can't find the multiple-choice column on Responses.","")</f>
        <v>0</v>
      </c>
      <c r="F322" s="4" t="s">
        <v>274</v>
      </c>
    </row>
    <row r="323" spans="1:6" ht="75" customHeight="1">
      <c r="A323" t="s">
        <v>271</v>
      </c>
      <c r="B323" t="s">
        <v>292</v>
      </c>
      <c r="C323" t="s">
        <v>273</v>
      </c>
      <c r="D323" t="s">
        <v>165</v>
      </c>
      <c r="E323" s="4">
        <f>IF(AND('Hybrid Questions'!$D$20&lt;&gt;"",NOT(AND(LEN(TRIM('Hybrid Questions'!$D$20))&gt;=1,LEN(TRIM('Hybrid Questions'!$D$20))&lt;=3,AND(CODE(MID(TRIM('Hybrid Questions'!$D$20)&amp;"AAA",1,1))&gt;=65,CODE(MID(TRIM('Hybrid Questions'!$D$20)&amp;"AAA",1,1))&lt;=90),AND(CODE(MID(TRIM('Hybrid Questions'!$D$20)&amp;"AAA",2,1))&gt;=65,CODE(MID(TRIM('Hybrid Questions'!$D$20)&amp;"AAA",2,1))&lt;=90),AND(CODE(MID(TRIM('Hybrid Questions'!$D$20)&amp;"AAA",3,1))&gt;=65,CODE(MID(TRIM('Hybrid Questions'!$D$20)&amp;"AAA",3,1))&lt;=90)))),"'"&amp;'Hybrid Questions'!$D$20&amp;"' isn't a valid Excel column letter, so Themefinder can't find the multiple-choice column on Responses.","")</f>
        <v>0</v>
      </c>
      <c r="F323" s="4" t="s">
        <v>274</v>
      </c>
    </row>
    <row r="324" spans="1:6" ht="75" customHeight="1">
      <c r="A324" t="s">
        <v>271</v>
      </c>
      <c r="B324" t="s">
        <v>293</v>
      </c>
      <c r="C324" t="s">
        <v>273</v>
      </c>
      <c r="D324" t="s">
        <v>165</v>
      </c>
      <c r="E324" s="4">
        <f>IF(AND('Hybrid Questions'!$D$21&lt;&gt;"",NOT(AND(LEN(TRIM('Hybrid Questions'!$D$21))&gt;=1,LEN(TRIM('Hybrid Questions'!$D$21))&lt;=3,AND(CODE(MID(TRIM('Hybrid Questions'!$D$21)&amp;"AAA",1,1))&gt;=65,CODE(MID(TRIM('Hybrid Questions'!$D$21)&amp;"AAA",1,1))&lt;=90),AND(CODE(MID(TRIM('Hybrid Questions'!$D$21)&amp;"AAA",2,1))&gt;=65,CODE(MID(TRIM('Hybrid Questions'!$D$21)&amp;"AAA",2,1))&lt;=90),AND(CODE(MID(TRIM('Hybrid Questions'!$D$21)&amp;"AAA",3,1))&gt;=65,CODE(MID(TRIM('Hybrid Questions'!$D$21)&amp;"AAA",3,1))&lt;=90)))),"'"&amp;'Hybrid Questions'!$D$21&amp;"' isn't a valid Excel column letter, so Themefinder can't find the multiple-choice column on Responses.","")</f>
        <v>0</v>
      </c>
      <c r="F324" s="4" t="s">
        <v>274</v>
      </c>
    </row>
    <row r="325" spans="1:6" ht="75" customHeight="1">
      <c r="A325" t="s">
        <v>271</v>
      </c>
      <c r="B325" t="s">
        <v>294</v>
      </c>
      <c r="C325" t="s">
        <v>273</v>
      </c>
      <c r="D325" t="s">
        <v>165</v>
      </c>
      <c r="E325" s="4">
        <f>IF(AND('Hybrid Questions'!$D$22&lt;&gt;"",NOT(AND(LEN(TRIM('Hybrid Questions'!$D$22))&gt;=1,LEN(TRIM('Hybrid Questions'!$D$22))&lt;=3,AND(CODE(MID(TRIM('Hybrid Questions'!$D$22)&amp;"AAA",1,1))&gt;=65,CODE(MID(TRIM('Hybrid Questions'!$D$22)&amp;"AAA",1,1))&lt;=90),AND(CODE(MID(TRIM('Hybrid Questions'!$D$22)&amp;"AAA",2,1))&gt;=65,CODE(MID(TRIM('Hybrid Questions'!$D$22)&amp;"AAA",2,1))&lt;=90),AND(CODE(MID(TRIM('Hybrid Questions'!$D$22)&amp;"AAA",3,1))&gt;=65,CODE(MID(TRIM('Hybrid Questions'!$D$22)&amp;"AAA",3,1))&lt;=90)))),"'"&amp;'Hybrid Questions'!$D$22&amp;"' isn't a valid Excel column letter, so Themefinder can't find the multiple-choice column on Responses.","")</f>
        <v>0</v>
      </c>
      <c r="F325" s="4" t="s">
        <v>274</v>
      </c>
    </row>
    <row r="326" spans="1:6" ht="75" customHeight="1">
      <c r="A326" t="s">
        <v>271</v>
      </c>
      <c r="B326" t="s">
        <v>295</v>
      </c>
      <c r="C326" t="s">
        <v>273</v>
      </c>
      <c r="D326" t="s">
        <v>165</v>
      </c>
      <c r="E326" s="4">
        <f>IF(AND('Hybrid Questions'!$D$23&lt;&gt;"",NOT(AND(LEN(TRIM('Hybrid Questions'!$D$23))&gt;=1,LEN(TRIM('Hybrid Questions'!$D$23))&lt;=3,AND(CODE(MID(TRIM('Hybrid Questions'!$D$23)&amp;"AAA",1,1))&gt;=65,CODE(MID(TRIM('Hybrid Questions'!$D$23)&amp;"AAA",1,1))&lt;=90),AND(CODE(MID(TRIM('Hybrid Questions'!$D$23)&amp;"AAA",2,1))&gt;=65,CODE(MID(TRIM('Hybrid Questions'!$D$23)&amp;"AAA",2,1))&lt;=90),AND(CODE(MID(TRIM('Hybrid Questions'!$D$23)&amp;"AAA",3,1))&gt;=65,CODE(MID(TRIM('Hybrid Questions'!$D$23)&amp;"AAA",3,1))&lt;=90)))),"'"&amp;'Hybrid Questions'!$D$23&amp;"' isn't a valid Excel column letter, so Themefinder can't find the multiple-choice column on Responses.","")</f>
        <v>0</v>
      </c>
      <c r="F326" s="4" t="s">
        <v>274</v>
      </c>
    </row>
    <row r="327" spans="1:6" ht="75" customHeight="1">
      <c r="A327" t="s">
        <v>271</v>
      </c>
      <c r="B327" t="s">
        <v>296</v>
      </c>
      <c r="C327" t="s">
        <v>273</v>
      </c>
      <c r="D327" t="s">
        <v>165</v>
      </c>
      <c r="E327" s="4">
        <f>IF(AND('Hybrid Questions'!$D$24&lt;&gt;"",NOT(AND(LEN(TRIM('Hybrid Questions'!$D$24))&gt;=1,LEN(TRIM('Hybrid Questions'!$D$24))&lt;=3,AND(CODE(MID(TRIM('Hybrid Questions'!$D$24)&amp;"AAA",1,1))&gt;=65,CODE(MID(TRIM('Hybrid Questions'!$D$24)&amp;"AAA",1,1))&lt;=90),AND(CODE(MID(TRIM('Hybrid Questions'!$D$24)&amp;"AAA",2,1))&gt;=65,CODE(MID(TRIM('Hybrid Questions'!$D$24)&amp;"AAA",2,1))&lt;=90),AND(CODE(MID(TRIM('Hybrid Questions'!$D$24)&amp;"AAA",3,1))&gt;=65,CODE(MID(TRIM('Hybrid Questions'!$D$24)&amp;"AAA",3,1))&lt;=90)))),"'"&amp;'Hybrid Questions'!$D$24&amp;"' isn't a valid Excel column letter, so Themefinder can't find the multiple-choice column on Responses.","")</f>
        <v>0</v>
      </c>
      <c r="F327" s="4" t="s">
        <v>274</v>
      </c>
    </row>
    <row r="328" spans="1:6" ht="75" customHeight="1">
      <c r="A328" t="s">
        <v>271</v>
      </c>
      <c r="B328" t="s">
        <v>297</v>
      </c>
      <c r="C328" t="s">
        <v>273</v>
      </c>
      <c r="D328" t="s">
        <v>165</v>
      </c>
      <c r="E328" s="4">
        <f>IF(AND('Hybrid Questions'!$D$25&lt;&gt;"",NOT(AND(LEN(TRIM('Hybrid Questions'!$D$25))&gt;=1,LEN(TRIM('Hybrid Questions'!$D$25))&lt;=3,AND(CODE(MID(TRIM('Hybrid Questions'!$D$25)&amp;"AAA",1,1))&gt;=65,CODE(MID(TRIM('Hybrid Questions'!$D$25)&amp;"AAA",1,1))&lt;=90),AND(CODE(MID(TRIM('Hybrid Questions'!$D$25)&amp;"AAA",2,1))&gt;=65,CODE(MID(TRIM('Hybrid Questions'!$D$25)&amp;"AAA",2,1))&lt;=90),AND(CODE(MID(TRIM('Hybrid Questions'!$D$25)&amp;"AAA",3,1))&gt;=65,CODE(MID(TRIM('Hybrid Questions'!$D$25)&amp;"AAA",3,1))&lt;=90)))),"'"&amp;'Hybrid Questions'!$D$25&amp;"' isn't a valid Excel column letter, so Themefinder can't find the multiple-choice column on Responses.","")</f>
        <v>0</v>
      </c>
      <c r="F328" s="4" t="s">
        <v>274</v>
      </c>
    </row>
    <row r="329" spans="1:6" ht="75" customHeight="1">
      <c r="A329" t="s">
        <v>271</v>
      </c>
      <c r="B329" t="s">
        <v>298</v>
      </c>
      <c r="C329" t="s">
        <v>273</v>
      </c>
      <c r="D329" t="s">
        <v>165</v>
      </c>
      <c r="E329" s="4">
        <f>IF(AND('Hybrid Questions'!$D$26&lt;&gt;"",NOT(AND(LEN(TRIM('Hybrid Questions'!$D$26))&gt;=1,LEN(TRIM('Hybrid Questions'!$D$26))&lt;=3,AND(CODE(MID(TRIM('Hybrid Questions'!$D$26)&amp;"AAA",1,1))&gt;=65,CODE(MID(TRIM('Hybrid Questions'!$D$26)&amp;"AAA",1,1))&lt;=90),AND(CODE(MID(TRIM('Hybrid Questions'!$D$26)&amp;"AAA",2,1))&gt;=65,CODE(MID(TRIM('Hybrid Questions'!$D$26)&amp;"AAA",2,1))&lt;=90),AND(CODE(MID(TRIM('Hybrid Questions'!$D$26)&amp;"AAA",3,1))&gt;=65,CODE(MID(TRIM('Hybrid Questions'!$D$26)&amp;"AAA",3,1))&lt;=90)))),"'"&amp;'Hybrid Questions'!$D$26&amp;"' isn't a valid Excel column letter, so Themefinder can't find the multiple-choice column on Responses.","")</f>
        <v>0</v>
      </c>
      <c r="F329" s="4" t="s">
        <v>274</v>
      </c>
    </row>
    <row r="330" spans="1:6" ht="75" customHeight="1">
      <c r="A330" t="s">
        <v>271</v>
      </c>
      <c r="B330" t="s">
        <v>299</v>
      </c>
      <c r="C330" t="s">
        <v>273</v>
      </c>
      <c r="D330" t="s">
        <v>165</v>
      </c>
      <c r="E330" s="4">
        <f>IF(AND('Hybrid Questions'!$D$27&lt;&gt;"",NOT(AND(LEN(TRIM('Hybrid Questions'!$D$27))&gt;=1,LEN(TRIM('Hybrid Questions'!$D$27))&lt;=3,AND(CODE(MID(TRIM('Hybrid Questions'!$D$27)&amp;"AAA",1,1))&gt;=65,CODE(MID(TRIM('Hybrid Questions'!$D$27)&amp;"AAA",1,1))&lt;=90),AND(CODE(MID(TRIM('Hybrid Questions'!$D$27)&amp;"AAA",2,1))&gt;=65,CODE(MID(TRIM('Hybrid Questions'!$D$27)&amp;"AAA",2,1))&lt;=90),AND(CODE(MID(TRIM('Hybrid Questions'!$D$27)&amp;"AAA",3,1))&gt;=65,CODE(MID(TRIM('Hybrid Questions'!$D$27)&amp;"AAA",3,1))&lt;=90)))),"'"&amp;'Hybrid Questions'!$D$27&amp;"' isn't a valid Excel column letter, so Themefinder can't find the multiple-choice column on Responses.","")</f>
        <v>0</v>
      </c>
      <c r="F330" s="4" t="s">
        <v>274</v>
      </c>
    </row>
    <row r="331" spans="1:6" ht="75" customHeight="1">
      <c r="A331" t="s">
        <v>271</v>
      </c>
      <c r="B331" t="s">
        <v>300</v>
      </c>
      <c r="C331" t="s">
        <v>273</v>
      </c>
      <c r="D331" t="s">
        <v>165</v>
      </c>
      <c r="E331" s="4">
        <f>IF(AND('Hybrid Questions'!$D$28&lt;&gt;"",NOT(AND(LEN(TRIM('Hybrid Questions'!$D$28))&gt;=1,LEN(TRIM('Hybrid Questions'!$D$28))&lt;=3,AND(CODE(MID(TRIM('Hybrid Questions'!$D$28)&amp;"AAA",1,1))&gt;=65,CODE(MID(TRIM('Hybrid Questions'!$D$28)&amp;"AAA",1,1))&lt;=90),AND(CODE(MID(TRIM('Hybrid Questions'!$D$28)&amp;"AAA",2,1))&gt;=65,CODE(MID(TRIM('Hybrid Questions'!$D$28)&amp;"AAA",2,1))&lt;=90),AND(CODE(MID(TRIM('Hybrid Questions'!$D$28)&amp;"AAA",3,1))&gt;=65,CODE(MID(TRIM('Hybrid Questions'!$D$28)&amp;"AAA",3,1))&lt;=90)))),"'"&amp;'Hybrid Questions'!$D$28&amp;"' isn't a valid Excel column letter, so Themefinder can't find the multiple-choice column on Responses.","")</f>
        <v>0</v>
      </c>
      <c r="F331" s="4" t="s">
        <v>274</v>
      </c>
    </row>
    <row r="332" spans="1:6" ht="75" customHeight="1">
      <c r="A332" t="s">
        <v>271</v>
      </c>
      <c r="B332" t="s">
        <v>301</v>
      </c>
      <c r="C332" t="s">
        <v>273</v>
      </c>
      <c r="D332" t="s">
        <v>165</v>
      </c>
      <c r="E332" s="4">
        <f>IF(AND('Hybrid Questions'!$D$29&lt;&gt;"",NOT(AND(LEN(TRIM('Hybrid Questions'!$D$29))&gt;=1,LEN(TRIM('Hybrid Questions'!$D$29))&lt;=3,AND(CODE(MID(TRIM('Hybrid Questions'!$D$29)&amp;"AAA",1,1))&gt;=65,CODE(MID(TRIM('Hybrid Questions'!$D$29)&amp;"AAA",1,1))&lt;=90),AND(CODE(MID(TRIM('Hybrid Questions'!$D$29)&amp;"AAA",2,1))&gt;=65,CODE(MID(TRIM('Hybrid Questions'!$D$29)&amp;"AAA",2,1))&lt;=90),AND(CODE(MID(TRIM('Hybrid Questions'!$D$29)&amp;"AAA",3,1))&gt;=65,CODE(MID(TRIM('Hybrid Questions'!$D$29)&amp;"AAA",3,1))&lt;=90)))),"'"&amp;'Hybrid Questions'!$D$29&amp;"' isn't a valid Excel column letter, so Themefinder can't find the multiple-choice column on Responses.","")</f>
        <v>0</v>
      </c>
      <c r="F332" s="4" t="s">
        <v>274</v>
      </c>
    </row>
    <row r="333" spans="1:6" ht="75" customHeight="1">
      <c r="A333" t="s">
        <v>271</v>
      </c>
      <c r="B333" t="s">
        <v>302</v>
      </c>
      <c r="C333" t="s">
        <v>273</v>
      </c>
      <c r="D333" t="s">
        <v>165</v>
      </c>
      <c r="E333" s="4">
        <f>IF(AND('Hybrid Questions'!$D$30&lt;&gt;"",NOT(AND(LEN(TRIM('Hybrid Questions'!$D$30))&gt;=1,LEN(TRIM('Hybrid Questions'!$D$30))&lt;=3,AND(CODE(MID(TRIM('Hybrid Questions'!$D$30)&amp;"AAA",1,1))&gt;=65,CODE(MID(TRIM('Hybrid Questions'!$D$30)&amp;"AAA",1,1))&lt;=90),AND(CODE(MID(TRIM('Hybrid Questions'!$D$30)&amp;"AAA",2,1))&gt;=65,CODE(MID(TRIM('Hybrid Questions'!$D$30)&amp;"AAA",2,1))&lt;=90),AND(CODE(MID(TRIM('Hybrid Questions'!$D$30)&amp;"AAA",3,1))&gt;=65,CODE(MID(TRIM('Hybrid Questions'!$D$30)&amp;"AAA",3,1))&lt;=90)))),"'"&amp;'Hybrid Questions'!$D$30&amp;"' isn't a valid Excel column letter, so Themefinder can't find the multiple-choice column on Responses.","")</f>
        <v>0</v>
      </c>
      <c r="F333" s="4" t="s">
        <v>274</v>
      </c>
    </row>
    <row r="334" spans="1:6" ht="75" customHeight="1">
      <c r="A334" t="s">
        <v>271</v>
      </c>
      <c r="B334" t="s">
        <v>303</v>
      </c>
      <c r="C334" t="s">
        <v>273</v>
      </c>
      <c r="D334" t="s">
        <v>165</v>
      </c>
      <c r="E334" s="4">
        <f>IF(AND('Hybrid Questions'!$D$31&lt;&gt;"",NOT(AND(LEN(TRIM('Hybrid Questions'!$D$31))&gt;=1,LEN(TRIM('Hybrid Questions'!$D$31))&lt;=3,AND(CODE(MID(TRIM('Hybrid Questions'!$D$31)&amp;"AAA",1,1))&gt;=65,CODE(MID(TRIM('Hybrid Questions'!$D$31)&amp;"AAA",1,1))&lt;=90),AND(CODE(MID(TRIM('Hybrid Questions'!$D$31)&amp;"AAA",2,1))&gt;=65,CODE(MID(TRIM('Hybrid Questions'!$D$31)&amp;"AAA",2,1))&lt;=90),AND(CODE(MID(TRIM('Hybrid Questions'!$D$31)&amp;"AAA",3,1))&gt;=65,CODE(MID(TRIM('Hybrid Questions'!$D$31)&amp;"AAA",3,1))&lt;=90)))),"'"&amp;'Hybrid Questions'!$D$31&amp;"' isn't a valid Excel column letter, so Themefinder can't find the multiple-choice column on Responses.","")</f>
        <v>0</v>
      </c>
      <c r="F334" s="4" t="s">
        <v>274</v>
      </c>
    </row>
    <row r="335" spans="1:6" ht="75" customHeight="1">
      <c r="A335" t="s">
        <v>271</v>
      </c>
      <c r="B335" t="s">
        <v>304</v>
      </c>
      <c r="C335" t="s">
        <v>273</v>
      </c>
      <c r="D335" t="s">
        <v>165</v>
      </c>
      <c r="E335" s="4">
        <f>IF(AND('Hybrid Questions'!$D$32&lt;&gt;"",NOT(AND(LEN(TRIM('Hybrid Questions'!$D$32))&gt;=1,LEN(TRIM('Hybrid Questions'!$D$32))&lt;=3,AND(CODE(MID(TRIM('Hybrid Questions'!$D$32)&amp;"AAA",1,1))&gt;=65,CODE(MID(TRIM('Hybrid Questions'!$D$32)&amp;"AAA",1,1))&lt;=90),AND(CODE(MID(TRIM('Hybrid Questions'!$D$32)&amp;"AAA",2,1))&gt;=65,CODE(MID(TRIM('Hybrid Questions'!$D$32)&amp;"AAA",2,1))&lt;=90),AND(CODE(MID(TRIM('Hybrid Questions'!$D$32)&amp;"AAA",3,1))&gt;=65,CODE(MID(TRIM('Hybrid Questions'!$D$32)&amp;"AAA",3,1))&lt;=90)))),"'"&amp;'Hybrid Questions'!$D$32&amp;"' isn't a valid Excel column letter, so Themefinder can't find the multiple-choice column on Responses.","")</f>
        <v>0</v>
      </c>
      <c r="F335" s="4" t="s">
        <v>274</v>
      </c>
    </row>
    <row r="336" spans="1:6" ht="75" customHeight="1">
      <c r="A336" t="s">
        <v>271</v>
      </c>
      <c r="B336" t="s">
        <v>305</v>
      </c>
      <c r="C336" t="s">
        <v>273</v>
      </c>
      <c r="D336" t="s">
        <v>165</v>
      </c>
      <c r="E336" s="4">
        <f>IF(AND('Hybrid Questions'!$D$33&lt;&gt;"",NOT(AND(LEN(TRIM('Hybrid Questions'!$D$33))&gt;=1,LEN(TRIM('Hybrid Questions'!$D$33))&lt;=3,AND(CODE(MID(TRIM('Hybrid Questions'!$D$33)&amp;"AAA",1,1))&gt;=65,CODE(MID(TRIM('Hybrid Questions'!$D$33)&amp;"AAA",1,1))&lt;=90),AND(CODE(MID(TRIM('Hybrid Questions'!$D$33)&amp;"AAA",2,1))&gt;=65,CODE(MID(TRIM('Hybrid Questions'!$D$33)&amp;"AAA",2,1))&lt;=90),AND(CODE(MID(TRIM('Hybrid Questions'!$D$33)&amp;"AAA",3,1))&gt;=65,CODE(MID(TRIM('Hybrid Questions'!$D$33)&amp;"AAA",3,1))&lt;=90)))),"'"&amp;'Hybrid Questions'!$D$33&amp;"' isn't a valid Excel column letter, so Themefinder can't find the multiple-choice column on Responses.","")</f>
        <v>0</v>
      </c>
      <c r="F336" s="4" t="s">
        <v>274</v>
      </c>
    </row>
    <row r="337" spans="1:6" ht="75" customHeight="1">
      <c r="A337" t="s">
        <v>271</v>
      </c>
      <c r="B337" t="s">
        <v>306</v>
      </c>
      <c r="C337" t="s">
        <v>273</v>
      </c>
      <c r="D337" t="s">
        <v>165</v>
      </c>
      <c r="E337" s="4">
        <f>IF(AND('Hybrid Questions'!$D$34&lt;&gt;"",NOT(AND(LEN(TRIM('Hybrid Questions'!$D$34))&gt;=1,LEN(TRIM('Hybrid Questions'!$D$34))&lt;=3,AND(CODE(MID(TRIM('Hybrid Questions'!$D$34)&amp;"AAA",1,1))&gt;=65,CODE(MID(TRIM('Hybrid Questions'!$D$34)&amp;"AAA",1,1))&lt;=90),AND(CODE(MID(TRIM('Hybrid Questions'!$D$34)&amp;"AAA",2,1))&gt;=65,CODE(MID(TRIM('Hybrid Questions'!$D$34)&amp;"AAA",2,1))&lt;=90),AND(CODE(MID(TRIM('Hybrid Questions'!$D$34)&amp;"AAA",3,1))&gt;=65,CODE(MID(TRIM('Hybrid Questions'!$D$34)&amp;"AAA",3,1))&lt;=90)))),"'"&amp;'Hybrid Questions'!$D$34&amp;"' isn't a valid Excel column letter, so Themefinder can't find the multiple-choice column on Responses.","")</f>
        <v>0</v>
      </c>
      <c r="F337" s="4" t="s">
        <v>274</v>
      </c>
    </row>
    <row r="338" spans="1:6" ht="75" customHeight="1">
      <c r="A338" t="s">
        <v>271</v>
      </c>
      <c r="B338" t="s">
        <v>307</v>
      </c>
      <c r="C338" t="s">
        <v>273</v>
      </c>
      <c r="D338" t="s">
        <v>165</v>
      </c>
      <c r="E338" s="4">
        <f>IF(AND('Hybrid Questions'!$D$35&lt;&gt;"",NOT(AND(LEN(TRIM('Hybrid Questions'!$D$35))&gt;=1,LEN(TRIM('Hybrid Questions'!$D$35))&lt;=3,AND(CODE(MID(TRIM('Hybrid Questions'!$D$35)&amp;"AAA",1,1))&gt;=65,CODE(MID(TRIM('Hybrid Questions'!$D$35)&amp;"AAA",1,1))&lt;=90),AND(CODE(MID(TRIM('Hybrid Questions'!$D$35)&amp;"AAA",2,1))&gt;=65,CODE(MID(TRIM('Hybrid Questions'!$D$35)&amp;"AAA",2,1))&lt;=90),AND(CODE(MID(TRIM('Hybrid Questions'!$D$35)&amp;"AAA",3,1))&gt;=65,CODE(MID(TRIM('Hybrid Questions'!$D$35)&amp;"AAA",3,1))&lt;=90)))),"'"&amp;'Hybrid Questions'!$D$35&amp;"' isn't a valid Excel column letter, so Themefinder can't find the multiple-choice column on Responses.","")</f>
        <v>0</v>
      </c>
      <c r="F338" s="4" t="s">
        <v>274</v>
      </c>
    </row>
    <row r="339" spans="1:6" ht="75" customHeight="1">
      <c r="A339" t="s">
        <v>271</v>
      </c>
      <c r="B339" t="s">
        <v>308</v>
      </c>
      <c r="C339" t="s">
        <v>273</v>
      </c>
      <c r="D339" t="s">
        <v>165</v>
      </c>
      <c r="E339" s="4">
        <f>IF(AND('Hybrid Questions'!$D$36&lt;&gt;"",NOT(AND(LEN(TRIM('Hybrid Questions'!$D$36))&gt;=1,LEN(TRIM('Hybrid Questions'!$D$36))&lt;=3,AND(CODE(MID(TRIM('Hybrid Questions'!$D$36)&amp;"AAA",1,1))&gt;=65,CODE(MID(TRIM('Hybrid Questions'!$D$36)&amp;"AAA",1,1))&lt;=90),AND(CODE(MID(TRIM('Hybrid Questions'!$D$36)&amp;"AAA",2,1))&gt;=65,CODE(MID(TRIM('Hybrid Questions'!$D$36)&amp;"AAA",2,1))&lt;=90),AND(CODE(MID(TRIM('Hybrid Questions'!$D$36)&amp;"AAA",3,1))&gt;=65,CODE(MID(TRIM('Hybrid Questions'!$D$36)&amp;"AAA",3,1))&lt;=90)))),"'"&amp;'Hybrid Questions'!$D$36&amp;"' isn't a valid Excel column letter, so Themefinder can't find the multiple-choice column on Responses.","")</f>
        <v>0</v>
      </c>
      <c r="F339" s="4" t="s">
        <v>274</v>
      </c>
    </row>
    <row r="340" spans="1:6" ht="75" customHeight="1">
      <c r="A340" t="s">
        <v>271</v>
      </c>
      <c r="B340" t="s">
        <v>309</v>
      </c>
      <c r="C340" t="s">
        <v>273</v>
      </c>
      <c r="D340" t="s">
        <v>165</v>
      </c>
      <c r="E340" s="4">
        <f>IF(AND('Hybrid Questions'!$D$37&lt;&gt;"",NOT(AND(LEN(TRIM('Hybrid Questions'!$D$37))&gt;=1,LEN(TRIM('Hybrid Questions'!$D$37))&lt;=3,AND(CODE(MID(TRIM('Hybrid Questions'!$D$37)&amp;"AAA",1,1))&gt;=65,CODE(MID(TRIM('Hybrid Questions'!$D$37)&amp;"AAA",1,1))&lt;=90),AND(CODE(MID(TRIM('Hybrid Questions'!$D$37)&amp;"AAA",2,1))&gt;=65,CODE(MID(TRIM('Hybrid Questions'!$D$37)&amp;"AAA",2,1))&lt;=90),AND(CODE(MID(TRIM('Hybrid Questions'!$D$37)&amp;"AAA",3,1))&gt;=65,CODE(MID(TRIM('Hybrid Questions'!$D$37)&amp;"AAA",3,1))&lt;=90)))),"'"&amp;'Hybrid Questions'!$D$37&amp;"' isn't a valid Excel column letter, so Themefinder can't find the multiple-choice column on Responses.","")</f>
        <v>0</v>
      </c>
      <c r="F340" s="4" t="s">
        <v>274</v>
      </c>
    </row>
    <row r="341" spans="1:6" ht="75" customHeight="1">
      <c r="A341" t="s">
        <v>271</v>
      </c>
      <c r="B341" t="s">
        <v>310</v>
      </c>
      <c r="C341" t="s">
        <v>273</v>
      </c>
      <c r="D341" t="s">
        <v>165</v>
      </c>
      <c r="E341" s="4">
        <f>IF(AND('Hybrid Questions'!$D$38&lt;&gt;"",NOT(AND(LEN(TRIM('Hybrid Questions'!$D$38))&gt;=1,LEN(TRIM('Hybrid Questions'!$D$38))&lt;=3,AND(CODE(MID(TRIM('Hybrid Questions'!$D$38)&amp;"AAA",1,1))&gt;=65,CODE(MID(TRIM('Hybrid Questions'!$D$38)&amp;"AAA",1,1))&lt;=90),AND(CODE(MID(TRIM('Hybrid Questions'!$D$38)&amp;"AAA",2,1))&gt;=65,CODE(MID(TRIM('Hybrid Questions'!$D$38)&amp;"AAA",2,1))&lt;=90),AND(CODE(MID(TRIM('Hybrid Questions'!$D$38)&amp;"AAA",3,1))&gt;=65,CODE(MID(TRIM('Hybrid Questions'!$D$38)&amp;"AAA",3,1))&lt;=90)))),"'"&amp;'Hybrid Questions'!$D$38&amp;"' isn't a valid Excel column letter, so Themefinder can't find the multiple-choice column on Responses.","")</f>
        <v>0</v>
      </c>
      <c r="F341" s="4" t="s">
        <v>274</v>
      </c>
    </row>
    <row r="342" spans="1:6" ht="75" customHeight="1">
      <c r="A342" t="s">
        <v>271</v>
      </c>
      <c r="B342" t="s">
        <v>311</v>
      </c>
      <c r="C342" t="s">
        <v>273</v>
      </c>
      <c r="D342" t="s">
        <v>165</v>
      </c>
      <c r="E342" s="4">
        <f>IF(AND('Hybrid Questions'!$D$39&lt;&gt;"",NOT(AND(LEN(TRIM('Hybrid Questions'!$D$39))&gt;=1,LEN(TRIM('Hybrid Questions'!$D$39))&lt;=3,AND(CODE(MID(TRIM('Hybrid Questions'!$D$39)&amp;"AAA",1,1))&gt;=65,CODE(MID(TRIM('Hybrid Questions'!$D$39)&amp;"AAA",1,1))&lt;=90),AND(CODE(MID(TRIM('Hybrid Questions'!$D$39)&amp;"AAA",2,1))&gt;=65,CODE(MID(TRIM('Hybrid Questions'!$D$39)&amp;"AAA",2,1))&lt;=90),AND(CODE(MID(TRIM('Hybrid Questions'!$D$39)&amp;"AAA",3,1))&gt;=65,CODE(MID(TRIM('Hybrid Questions'!$D$39)&amp;"AAA",3,1))&lt;=90)))),"'"&amp;'Hybrid Questions'!$D$39&amp;"' isn't a valid Excel column letter, so Themefinder can't find the multiple-choice column on Responses.","")</f>
        <v>0</v>
      </c>
      <c r="F342" s="4" t="s">
        <v>274</v>
      </c>
    </row>
    <row r="343" spans="1:6" ht="75" customHeight="1">
      <c r="A343" t="s">
        <v>271</v>
      </c>
      <c r="B343" t="s">
        <v>312</v>
      </c>
      <c r="C343" t="s">
        <v>273</v>
      </c>
      <c r="D343" t="s">
        <v>165</v>
      </c>
      <c r="E343" s="4">
        <f>IF(AND('Hybrid Questions'!$D$40&lt;&gt;"",NOT(AND(LEN(TRIM('Hybrid Questions'!$D$40))&gt;=1,LEN(TRIM('Hybrid Questions'!$D$40))&lt;=3,AND(CODE(MID(TRIM('Hybrid Questions'!$D$40)&amp;"AAA",1,1))&gt;=65,CODE(MID(TRIM('Hybrid Questions'!$D$40)&amp;"AAA",1,1))&lt;=90),AND(CODE(MID(TRIM('Hybrid Questions'!$D$40)&amp;"AAA",2,1))&gt;=65,CODE(MID(TRIM('Hybrid Questions'!$D$40)&amp;"AAA",2,1))&lt;=90),AND(CODE(MID(TRIM('Hybrid Questions'!$D$40)&amp;"AAA",3,1))&gt;=65,CODE(MID(TRIM('Hybrid Questions'!$D$40)&amp;"AAA",3,1))&lt;=90)))),"'"&amp;'Hybrid Questions'!$D$40&amp;"' isn't a valid Excel column letter, so Themefinder can't find the multiple-choice column on Responses.","")</f>
        <v>0</v>
      </c>
      <c r="F343" s="4" t="s">
        <v>274</v>
      </c>
    </row>
    <row r="344" spans="1:6" ht="75" customHeight="1">
      <c r="A344" t="s">
        <v>271</v>
      </c>
      <c r="B344" t="s">
        <v>313</v>
      </c>
      <c r="C344" t="s">
        <v>273</v>
      </c>
      <c r="D344" t="s">
        <v>165</v>
      </c>
      <c r="E344" s="4">
        <f>IF(AND('Hybrid Questions'!$D$41&lt;&gt;"",NOT(AND(LEN(TRIM('Hybrid Questions'!$D$41))&gt;=1,LEN(TRIM('Hybrid Questions'!$D$41))&lt;=3,AND(CODE(MID(TRIM('Hybrid Questions'!$D$41)&amp;"AAA",1,1))&gt;=65,CODE(MID(TRIM('Hybrid Questions'!$D$41)&amp;"AAA",1,1))&lt;=90),AND(CODE(MID(TRIM('Hybrid Questions'!$D$41)&amp;"AAA",2,1))&gt;=65,CODE(MID(TRIM('Hybrid Questions'!$D$41)&amp;"AAA",2,1))&lt;=90),AND(CODE(MID(TRIM('Hybrid Questions'!$D$41)&amp;"AAA",3,1))&gt;=65,CODE(MID(TRIM('Hybrid Questions'!$D$41)&amp;"AAA",3,1))&lt;=90)))),"'"&amp;'Hybrid Questions'!$D$41&amp;"' isn't a valid Excel column letter, so Themefinder can't find the multiple-choice column on Responses.","")</f>
        <v>0</v>
      </c>
      <c r="F344" s="4" t="s">
        <v>274</v>
      </c>
    </row>
    <row r="345" spans="1:6" ht="75" customHeight="1">
      <c r="A345" t="s">
        <v>271</v>
      </c>
      <c r="B345" t="s">
        <v>314</v>
      </c>
      <c r="C345" t="s">
        <v>273</v>
      </c>
      <c r="D345" t="s">
        <v>165</v>
      </c>
      <c r="E345" s="4">
        <f>IF(AND('Hybrid Questions'!$D$42&lt;&gt;"",NOT(AND(LEN(TRIM('Hybrid Questions'!$D$42))&gt;=1,LEN(TRIM('Hybrid Questions'!$D$42))&lt;=3,AND(CODE(MID(TRIM('Hybrid Questions'!$D$42)&amp;"AAA",1,1))&gt;=65,CODE(MID(TRIM('Hybrid Questions'!$D$42)&amp;"AAA",1,1))&lt;=90),AND(CODE(MID(TRIM('Hybrid Questions'!$D$42)&amp;"AAA",2,1))&gt;=65,CODE(MID(TRIM('Hybrid Questions'!$D$42)&amp;"AAA",2,1))&lt;=90),AND(CODE(MID(TRIM('Hybrid Questions'!$D$42)&amp;"AAA",3,1))&gt;=65,CODE(MID(TRIM('Hybrid Questions'!$D$42)&amp;"AAA",3,1))&lt;=90)))),"'"&amp;'Hybrid Questions'!$D$42&amp;"' isn't a valid Excel column letter, so Themefinder can't find the multiple-choice column on Responses.","")</f>
        <v>0</v>
      </c>
      <c r="F345" s="4" t="s">
        <v>274</v>
      </c>
    </row>
    <row r="346" spans="1:6" ht="75" customHeight="1">
      <c r="A346" t="s">
        <v>271</v>
      </c>
      <c r="B346" t="s">
        <v>315</v>
      </c>
      <c r="C346" t="s">
        <v>273</v>
      </c>
      <c r="D346" t="s">
        <v>165</v>
      </c>
      <c r="E346" s="4">
        <f>IF(AND('Hybrid Questions'!$D$43&lt;&gt;"",NOT(AND(LEN(TRIM('Hybrid Questions'!$D$43))&gt;=1,LEN(TRIM('Hybrid Questions'!$D$43))&lt;=3,AND(CODE(MID(TRIM('Hybrid Questions'!$D$43)&amp;"AAA",1,1))&gt;=65,CODE(MID(TRIM('Hybrid Questions'!$D$43)&amp;"AAA",1,1))&lt;=90),AND(CODE(MID(TRIM('Hybrid Questions'!$D$43)&amp;"AAA",2,1))&gt;=65,CODE(MID(TRIM('Hybrid Questions'!$D$43)&amp;"AAA",2,1))&lt;=90),AND(CODE(MID(TRIM('Hybrid Questions'!$D$43)&amp;"AAA",3,1))&gt;=65,CODE(MID(TRIM('Hybrid Questions'!$D$43)&amp;"AAA",3,1))&lt;=90)))),"'"&amp;'Hybrid Questions'!$D$43&amp;"' isn't a valid Excel column letter, so Themefinder can't find the multiple-choice column on Responses.","")</f>
        <v>0</v>
      </c>
      <c r="F346" s="4" t="s">
        <v>274</v>
      </c>
    </row>
    <row r="347" spans="1:6" ht="75" customHeight="1">
      <c r="A347" t="s">
        <v>271</v>
      </c>
      <c r="B347" t="s">
        <v>316</v>
      </c>
      <c r="C347" t="s">
        <v>273</v>
      </c>
      <c r="D347" t="s">
        <v>165</v>
      </c>
      <c r="E347" s="4">
        <f>IF(AND('Hybrid Questions'!$D$44&lt;&gt;"",NOT(AND(LEN(TRIM('Hybrid Questions'!$D$44))&gt;=1,LEN(TRIM('Hybrid Questions'!$D$44))&lt;=3,AND(CODE(MID(TRIM('Hybrid Questions'!$D$44)&amp;"AAA",1,1))&gt;=65,CODE(MID(TRIM('Hybrid Questions'!$D$44)&amp;"AAA",1,1))&lt;=90),AND(CODE(MID(TRIM('Hybrid Questions'!$D$44)&amp;"AAA",2,1))&gt;=65,CODE(MID(TRIM('Hybrid Questions'!$D$44)&amp;"AAA",2,1))&lt;=90),AND(CODE(MID(TRIM('Hybrid Questions'!$D$44)&amp;"AAA",3,1))&gt;=65,CODE(MID(TRIM('Hybrid Questions'!$D$44)&amp;"AAA",3,1))&lt;=90)))),"'"&amp;'Hybrid Questions'!$D$44&amp;"' isn't a valid Excel column letter, so Themefinder can't find the multiple-choice column on Responses.","")</f>
        <v>0</v>
      </c>
      <c r="F347" s="4" t="s">
        <v>274</v>
      </c>
    </row>
    <row r="348" spans="1:6" ht="75" customHeight="1">
      <c r="A348" t="s">
        <v>271</v>
      </c>
      <c r="B348" t="s">
        <v>317</v>
      </c>
      <c r="C348" t="s">
        <v>273</v>
      </c>
      <c r="D348" t="s">
        <v>165</v>
      </c>
      <c r="E348" s="4">
        <f>IF(AND('Hybrid Questions'!$D$45&lt;&gt;"",NOT(AND(LEN(TRIM('Hybrid Questions'!$D$45))&gt;=1,LEN(TRIM('Hybrid Questions'!$D$45))&lt;=3,AND(CODE(MID(TRIM('Hybrid Questions'!$D$45)&amp;"AAA",1,1))&gt;=65,CODE(MID(TRIM('Hybrid Questions'!$D$45)&amp;"AAA",1,1))&lt;=90),AND(CODE(MID(TRIM('Hybrid Questions'!$D$45)&amp;"AAA",2,1))&gt;=65,CODE(MID(TRIM('Hybrid Questions'!$D$45)&amp;"AAA",2,1))&lt;=90),AND(CODE(MID(TRIM('Hybrid Questions'!$D$45)&amp;"AAA",3,1))&gt;=65,CODE(MID(TRIM('Hybrid Questions'!$D$45)&amp;"AAA",3,1))&lt;=90)))),"'"&amp;'Hybrid Questions'!$D$45&amp;"' isn't a valid Excel column letter, so Themefinder can't find the multiple-choice column on Responses.","")</f>
        <v>0</v>
      </c>
      <c r="F348" s="4" t="s">
        <v>274</v>
      </c>
    </row>
    <row r="349" spans="1:6" ht="75" customHeight="1">
      <c r="A349" t="s">
        <v>271</v>
      </c>
      <c r="B349" t="s">
        <v>318</v>
      </c>
      <c r="C349" t="s">
        <v>273</v>
      </c>
      <c r="D349" t="s">
        <v>165</v>
      </c>
      <c r="E349" s="4">
        <f>IF(AND('Hybrid Questions'!$D$46&lt;&gt;"",NOT(AND(LEN(TRIM('Hybrid Questions'!$D$46))&gt;=1,LEN(TRIM('Hybrid Questions'!$D$46))&lt;=3,AND(CODE(MID(TRIM('Hybrid Questions'!$D$46)&amp;"AAA",1,1))&gt;=65,CODE(MID(TRIM('Hybrid Questions'!$D$46)&amp;"AAA",1,1))&lt;=90),AND(CODE(MID(TRIM('Hybrid Questions'!$D$46)&amp;"AAA",2,1))&gt;=65,CODE(MID(TRIM('Hybrid Questions'!$D$46)&amp;"AAA",2,1))&lt;=90),AND(CODE(MID(TRIM('Hybrid Questions'!$D$46)&amp;"AAA",3,1))&gt;=65,CODE(MID(TRIM('Hybrid Questions'!$D$46)&amp;"AAA",3,1))&lt;=90)))),"'"&amp;'Hybrid Questions'!$D$46&amp;"' isn't a valid Excel column letter, so Themefinder can't find the multiple-choice column on Responses.","")</f>
        <v>0</v>
      </c>
      <c r="F349" s="4" t="s">
        <v>274</v>
      </c>
    </row>
    <row r="350" spans="1:6" ht="75" customHeight="1">
      <c r="A350" t="s">
        <v>271</v>
      </c>
      <c r="B350" t="s">
        <v>319</v>
      </c>
      <c r="C350" t="s">
        <v>273</v>
      </c>
      <c r="D350" t="s">
        <v>165</v>
      </c>
      <c r="E350" s="4">
        <f>IF(AND('Hybrid Questions'!$D$47&lt;&gt;"",NOT(AND(LEN(TRIM('Hybrid Questions'!$D$47))&gt;=1,LEN(TRIM('Hybrid Questions'!$D$47))&lt;=3,AND(CODE(MID(TRIM('Hybrid Questions'!$D$47)&amp;"AAA",1,1))&gt;=65,CODE(MID(TRIM('Hybrid Questions'!$D$47)&amp;"AAA",1,1))&lt;=90),AND(CODE(MID(TRIM('Hybrid Questions'!$D$47)&amp;"AAA",2,1))&gt;=65,CODE(MID(TRIM('Hybrid Questions'!$D$47)&amp;"AAA",2,1))&lt;=90),AND(CODE(MID(TRIM('Hybrid Questions'!$D$47)&amp;"AAA",3,1))&gt;=65,CODE(MID(TRIM('Hybrid Questions'!$D$47)&amp;"AAA",3,1))&lt;=90)))),"'"&amp;'Hybrid Questions'!$D$47&amp;"' isn't a valid Excel column letter, so Themefinder can't find the multiple-choice column on Responses.","")</f>
        <v>0</v>
      </c>
      <c r="F350" s="4" t="s">
        <v>274</v>
      </c>
    </row>
    <row r="351" spans="1:6" ht="75" customHeight="1">
      <c r="A351" t="s">
        <v>271</v>
      </c>
      <c r="B351" t="s">
        <v>320</v>
      </c>
      <c r="C351" t="s">
        <v>273</v>
      </c>
      <c r="D351" t="s">
        <v>165</v>
      </c>
      <c r="E351" s="4">
        <f>IF(AND('Hybrid Questions'!$D$48&lt;&gt;"",NOT(AND(LEN(TRIM('Hybrid Questions'!$D$48))&gt;=1,LEN(TRIM('Hybrid Questions'!$D$48))&lt;=3,AND(CODE(MID(TRIM('Hybrid Questions'!$D$48)&amp;"AAA",1,1))&gt;=65,CODE(MID(TRIM('Hybrid Questions'!$D$48)&amp;"AAA",1,1))&lt;=90),AND(CODE(MID(TRIM('Hybrid Questions'!$D$48)&amp;"AAA",2,1))&gt;=65,CODE(MID(TRIM('Hybrid Questions'!$D$48)&amp;"AAA",2,1))&lt;=90),AND(CODE(MID(TRIM('Hybrid Questions'!$D$48)&amp;"AAA",3,1))&gt;=65,CODE(MID(TRIM('Hybrid Questions'!$D$48)&amp;"AAA",3,1))&lt;=90)))),"'"&amp;'Hybrid Questions'!$D$48&amp;"' isn't a valid Excel column letter, so Themefinder can't find the multiple-choice column on Responses.","")</f>
        <v>0</v>
      </c>
      <c r="F351" s="4" t="s">
        <v>274</v>
      </c>
    </row>
    <row r="352" spans="1:6" ht="75" customHeight="1">
      <c r="A352" t="s">
        <v>271</v>
      </c>
      <c r="B352" t="s">
        <v>321</v>
      </c>
      <c r="C352" t="s">
        <v>273</v>
      </c>
      <c r="D352" t="s">
        <v>165</v>
      </c>
      <c r="E352" s="4">
        <f>IF(AND('Hybrid Questions'!$D$49&lt;&gt;"",NOT(AND(LEN(TRIM('Hybrid Questions'!$D$49))&gt;=1,LEN(TRIM('Hybrid Questions'!$D$49))&lt;=3,AND(CODE(MID(TRIM('Hybrid Questions'!$D$49)&amp;"AAA",1,1))&gt;=65,CODE(MID(TRIM('Hybrid Questions'!$D$49)&amp;"AAA",1,1))&lt;=90),AND(CODE(MID(TRIM('Hybrid Questions'!$D$49)&amp;"AAA",2,1))&gt;=65,CODE(MID(TRIM('Hybrid Questions'!$D$49)&amp;"AAA",2,1))&lt;=90),AND(CODE(MID(TRIM('Hybrid Questions'!$D$49)&amp;"AAA",3,1))&gt;=65,CODE(MID(TRIM('Hybrid Questions'!$D$49)&amp;"AAA",3,1))&lt;=90)))),"'"&amp;'Hybrid Questions'!$D$49&amp;"' isn't a valid Excel column letter, so Themefinder can't find the multiple-choice column on Responses.","")</f>
        <v>0</v>
      </c>
      <c r="F352" s="4" t="s">
        <v>274</v>
      </c>
    </row>
    <row r="353" spans="1:6" ht="75" customHeight="1">
      <c r="A353" t="s">
        <v>271</v>
      </c>
      <c r="B353" t="s">
        <v>322</v>
      </c>
      <c r="C353" t="s">
        <v>273</v>
      </c>
      <c r="D353" t="s">
        <v>165</v>
      </c>
      <c r="E353" s="4">
        <f>IF(AND('Hybrid Questions'!$D$50&lt;&gt;"",NOT(AND(LEN(TRIM('Hybrid Questions'!$D$50))&gt;=1,LEN(TRIM('Hybrid Questions'!$D$50))&lt;=3,AND(CODE(MID(TRIM('Hybrid Questions'!$D$50)&amp;"AAA",1,1))&gt;=65,CODE(MID(TRIM('Hybrid Questions'!$D$50)&amp;"AAA",1,1))&lt;=90),AND(CODE(MID(TRIM('Hybrid Questions'!$D$50)&amp;"AAA",2,1))&gt;=65,CODE(MID(TRIM('Hybrid Questions'!$D$50)&amp;"AAA",2,1))&lt;=90),AND(CODE(MID(TRIM('Hybrid Questions'!$D$50)&amp;"AAA",3,1))&gt;=65,CODE(MID(TRIM('Hybrid Questions'!$D$50)&amp;"AAA",3,1))&lt;=90)))),"'"&amp;'Hybrid Questions'!$D$50&amp;"' isn't a valid Excel column letter, so Themefinder can't find the multiple-choice column on Responses.","")</f>
        <v>0</v>
      </c>
      <c r="F353" s="4" t="s">
        <v>274</v>
      </c>
    </row>
    <row r="354" spans="1:6" ht="75" customHeight="1">
      <c r="A354" t="s">
        <v>271</v>
      </c>
      <c r="B354" t="s">
        <v>323</v>
      </c>
      <c r="C354" t="s">
        <v>273</v>
      </c>
      <c r="D354" t="s">
        <v>165</v>
      </c>
      <c r="E354" s="4">
        <f>IF(AND('Hybrid Questions'!$D$51&lt;&gt;"",NOT(AND(LEN(TRIM('Hybrid Questions'!$D$51))&gt;=1,LEN(TRIM('Hybrid Questions'!$D$51))&lt;=3,AND(CODE(MID(TRIM('Hybrid Questions'!$D$51)&amp;"AAA",1,1))&gt;=65,CODE(MID(TRIM('Hybrid Questions'!$D$51)&amp;"AAA",1,1))&lt;=90),AND(CODE(MID(TRIM('Hybrid Questions'!$D$51)&amp;"AAA",2,1))&gt;=65,CODE(MID(TRIM('Hybrid Questions'!$D$51)&amp;"AAA",2,1))&lt;=90),AND(CODE(MID(TRIM('Hybrid Questions'!$D$51)&amp;"AAA",3,1))&gt;=65,CODE(MID(TRIM('Hybrid Questions'!$D$51)&amp;"AAA",3,1))&lt;=90)))),"'"&amp;'Hybrid Questions'!$D$51&amp;"' isn't a valid Excel column letter, so Themefinder can't find the multiple-choice column on Responses.","")</f>
        <v>0</v>
      </c>
      <c r="F354" s="4" t="s">
        <v>274</v>
      </c>
    </row>
    <row r="355" spans="1:6" ht="75" customHeight="1">
      <c r="A355" t="s">
        <v>162</v>
      </c>
      <c r="B355" t="s">
        <v>163</v>
      </c>
      <c r="C355" t="s">
        <v>324</v>
      </c>
      <c r="D355" t="s">
        <v>165</v>
      </c>
      <c r="E355" s="4">
        <f>IF(AND('Demographics'!$A$2&lt;&gt;"",NOT(AND(LEN(TRIM('Demographics'!$A$2))&gt;=1,LEN(TRIM('Demographics'!$A$2))&lt;=3,AND(CODE(MID(TRIM('Demographics'!$A$2)&amp;"AAA",1,1))&gt;=65,CODE(MID(TRIM('Demographics'!$A$2)&amp;"AAA",1,1))&lt;=90),AND(CODE(MID(TRIM('Demographics'!$A$2)&amp;"AAA",2,1))&gt;=65,CODE(MID(TRIM('Demographics'!$A$2)&amp;"AAA",2,1))&lt;=90),AND(CODE(MID(TRIM('Demographics'!$A$2)&amp;"AAA",3,1))&gt;=65,CODE(MID(TRIM('Demographics'!$A$2)&amp;"AAA",3,1))&lt;=90)))),"'"&amp;'Demographics'!$A$2&amp;"' isn't a valid Excel column letter, so Themefinder can't find this column on the Responses sheet.","")</f>
        <v>0</v>
      </c>
      <c r="F355" s="4" t="s">
        <v>325</v>
      </c>
    </row>
    <row r="356" spans="1:6" ht="75" customHeight="1">
      <c r="A356" t="s">
        <v>162</v>
      </c>
      <c r="B356" t="s">
        <v>167</v>
      </c>
      <c r="C356" t="s">
        <v>324</v>
      </c>
      <c r="D356" t="s">
        <v>165</v>
      </c>
      <c r="E356" s="4">
        <f>IF(AND('Demographics'!$A$3&lt;&gt;"",NOT(AND(LEN(TRIM('Demographics'!$A$3))&gt;=1,LEN(TRIM('Demographics'!$A$3))&lt;=3,AND(CODE(MID(TRIM('Demographics'!$A$3)&amp;"AAA",1,1))&gt;=65,CODE(MID(TRIM('Demographics'!$A$3)&amp;"AAA",1,1))&lt;=90),AND(CODE(MID(TRIM('Demographics'!$A$3)&amp;"AAA",2,1))&gt;=65,CODE(MID(TRIM('Demographics'!$A$3)&amp;"AAA",2,1))&lt;=90),AND(CODE(MID(TRIM('Demographics'!$A$3)&amp;"AAA",3,1))&gt;=65,CODE(MID(TRIM('Demographics'!$A$3)&amp;"AAA",3,1))&lt;=90)))),"'"&amp;'Demographics'!$A$3&amp;"' isn't a valid Excel column letter, so Themefinder can't find this column on the Responses sheet.","")</f>
        <v>0</v>
      </c>
      <c r="F356" s="4" t="s">
        <v>325</v>
      </c>
    </row>
    <row r="357" spans="1:6" ht="75" customHeight="1">
      <c r="A357" t="s">
        <v>162</v>
      </c>
      <c r="B357" t="s">
        <v>168</v>
      </c>
      <c r="C357" t="s">
        <v>324</v>
      </c>
      <c r="D357" t="s">
        <v>165</v>
      </c>
      <c r="E357" s="4">
        <f>IF(AND('Demographics'!$A$4&lt;&gt;"",NOT(AND(LEN(TRIM('Demographics'!$A$4))&gt;=1,LEN(TRIM('Demographics'!$A$4))&lt;=3,AND(CODE(MID(TRIM('Demographics'!$A$4)&amp;"AAA",1,1))&gt;=65,CODE(MID(TRIM('Demographics'!$A$4)&amp;"AAA",1,1))&lt;=90),AND(CODE(MID(TRIM('Demographics'!$A$4)&amp;"AAA",2,1))&gt;=65,CODE(MID(TRIM('Demographics'!$A$4)&amp;"AAA",2,1))&lt;=90),AND(CODE(MID(TRIM('Demographics'!$A$4)&amp;"AAA",3,1))&gt;=65,CODE(MID(TRIM('Demographics'!$A$4)&amp;"AAA",3,1))&lt;=90)))),"'"&amp;'Demographics'!$A$4&amp;"' isn't a valid Excel column letter, so Themefinder can't find this column on the Responses sheet.","")</f>
        <v>0</v>
      </c>
      <c r="F357" s="4" t="s">
        <v>325</v>
      </c>
    </row>
    <row r="358" spans="1:6" ht="75" customHeight="1">
      <c r="A358" t="s">
        <v>162</v>
      </c>
      <c r="B358" t="s">
        <v>169</v>
      </c>
      <c r="C358" t="s">
        <v>324</v>
      </c>
      <c r="D358" t="s">
        <v>165</v>
      </c>
      <c r="E358" s="4">
        <f>IF(AND('Demographics'!$A$5&lt;&gt;"",NOT(AND(LEN(TRIM('Demographics'!$A$5))&gt;=1,LEN(TRIM('Demographics'!$A$5))&lt;=3,AND(CODE(MID(TRIM('Demographics'!$A$5)&amp;"AAA",1,1))&gt;=65,CODE(MID(TRIM('Demographics'!$A$5)&amp;"AAA",1,1))&lt;=90),AND(CODE(MID(TRIM('Demographics'!$A$5)&amp;"AAA",2,1))&gt;=65,CODE(MID(TRIM('Demographics'!$A$5)&amp;"AAA",2,1))&lt;=90),AND(CODE(MID(TRIM('Demographics'!$A$5)&amp;"AAA",3,1))&gt;=65,CODE(MID(TRIM('Demographics'!$A$5)&amp;"AAA",3,1))&lt;=90)))),"'"&amp;'Demographics'!$A$5&amp;"' isn't a valid Excel column letter, so Themefinder can't find this column on the Responses sheet.","")</f>
        <v>0</v>
      </c>
      <c r="F358" s="4" t="s">
        <v>325</v>
      </c>
    </row>
    <row r="359" spans="1:6" ht="75" customHeight="1">
      <c r="A359" t="s">
        <v>162</v>
      </c>
      <c r="B359" t="s">
        <v>170</v>
      </c>
      <c r="C359" t="s">
        <v>324</v>
      </c>
      <c r="D359" t="s">
        <v>165</v>
      </c>
      <c r="E359" s="4">
        <f>IF(AND('Demographics'!$A$6&lt;&gt;"",NOT(AND(LEN(TRIM('Demographics'!$A$6))&gt;=1,LEN(TRIM('Demographics'!$A$6))&lt;=3,AND(CODE(MID(TRIM('Demographics'!$A$6)&amp;"AAA",1,1))&gt;=65,CODE(MID(TRIM('Demographics'!$A$6)&amp;"AAA",1,1))&lt;=90),AND(CODE(MID(TRIM('Demographics'!$A$6)&amp;"AAA",2,1))&gt;=65,CODE(MID(TRIM('Demographics'!$A$6)&amp;"AAA",2,1))&lt;=90),AND(CODE(MID(TRIM('Demographics'!$A$6)&amp;"AAA",3,1))&gt;=65,CODE(MID(TRIM('Demographics'!$A$6)&amp;"AAA",3,1))&lt;=90)))),"'"&amp;'Demographics'!$A$6&amp;"' isn't a valid Excel column letter, so Themefinder can't find this column on the Responses sheet.","")</f>
        <v>0</v>
      </c>
      <c r="F359" s="4" t="s">
        <v>325</v>
      </c>
    </row>
    <row r="360" spans="1:6" ht="75" customHeight="1">
      <c r="A360" t="s">
        <v>162</v>
      </c>
      <c r="B360" t="s">
        <v>171</v>
      </c>
      <c r="C360" t="s">
        <v>324</v>
      </c>
      <c r="D360" t="s">
        <v>165</v>
      </c>
      <c r="E360" s="4">
        <f>IF(AND('Demographics'!$A$7&lt;&gt;"",NOT(AND(LEN(TRIM('Demographics'!$A$7))&gt;=1,LEN(TRIM('Demographics'!$A$7))&lt;=3,AND(CODE(MID(TRIM('Demographics'!$A$7)&amp;"AAA",1,1))&gt;=65,CODE(MID(TRIM('Demographics'!$A$7)&amp;"AAA",1,1))&lt;=90),AND(CODE(MID(TRIM('Demographics'!$A$7)&amp;"AAA",2,1))&gt;=65,CODE(MID(TRIM('Demographics'!$A$7)&amp;"AAA",2,1))&lt;=90),AND(CODE(MID(TRIM('Demographics'!$A$7)&amp;"AAA",3,1))&gt;=65,CODE(MID(TRIM('Demographics'!$A$7)&amp;"AAA",3,1))&lt;=90)))),"'"&amp;'Demographics'!$A$7&amp;"' isn't a valid Excel column letter, so Themefinder can't find this column on the Responses sheet.","")</f>
        <v>0</v>
      </c>
      <c r="F360" s="4" t="s">
        <v>325</v>
      </c>
    </row>
    <row r="361" spans="1:6" ht="75" customHeight="1">
      <c r="A361" t="s">
        <v>162</v>
      </c>
      <c r="B361" t="s">
        <v>172</v>
      </c>
      <c r="C361" t="s">
        <v>324</v>
      </c>
      <c r="D361" t="s">
        <v>165</v>
      </c>
      <c r="E361" s="4">
        <f>IF(AND('Demographics'!$A$8&lt;&gt;"",NOT(AND(LEN(TRIM('Demographics'!$A$8))&gt;=1,LEN(TRIM('Demographics'!$A$8))&lt;=3,AND(CODE(MID(TRIM('Demographics'!$A$8)&amp;"AAA",1,1))&gt;=65,CODE(MID(TRIM('Demographics'!$A$8)&amp;"AAA",1,1))&lt;=90),AND(CODE(MID(TRIM('Demographics'!$A$8)&amp;"AAA",2,1))&gt;=65,CODE(MID(TRIM('Demographics'!$A$8)&amp;"AAA",2,1))&lt;=90),AND(CODE(MID(TRIM('Demographics'!$A$8)&amp;"AAA",3,1))&gt;=65,CODE(MID(TRIM('Demographics'!$A$8)&amp;"AAA",3,1))&lt;=90)))),"'"&amp;'Demographics'!$A$8&amp;"' isn't a valid Excel column letter, so Themefinder can't find this column on the Responses sheet.","")</f>
        <v>0</v>
      </c>
      <c r="F361" s="4" t="s">
        <v>325</v>
      </c>
    </row>
    <row r="362" spans="1:6" ht="75" customHeight="1">
      <c r="A362" t="s">
        <v>162</v>
      </c>
      <c r="B362" t="s">
        <v>173</v>
      </c>
      <c r="C362" t="s">
        <v>324</v>
      </c>
      <c r="D362" t="s">
        <v>165</v>
      </c>
      <c r="E362" s="4">
        <f>IF(AND('Demographics'!$A$9&lt;&gt;"",NOT(AND(LEN(TRIM('Demographics'!$A$9))&gt;=1,LEN(TRIM('Demographics'!$A$9))&lt;=3,AND(CODE(MID(TRIM('Demographics'!$A$9)&amp;"AAA",1,1))&gt;=65,CODE(MID(TRIM('Demographics'!$A$9)&amp;"AAA",1,1))&lt;=90),AND(CODE(MID(TRIM('Demographics'!$A$9)&amp;"AAA",2,1))&gt;=65,CODE(MID(TRIM('Demographics'!$A$9)&amp;"AAA",2,1))&lt;=90),AND(CODE(MID(TRIM('Demographics'!$A$9)&amp;"AAA",3,1))&gt;=65,CODE(MID(TRIM('Demographics'!$A$9)&amp;"AAA",3,1))&lt;=90)))),"'"&amp;'Demographics'!$A$9&amp;"' isn't a valid Excel column letter, so Themefinder can't find this column on the Responses sheet.","")</f>
        <v>0</v>
      </c>
      <c r="F362" s="4" t="s">
        <v>325</v>
      </c>
    </row>
    <row r="363" spans="1:6" ht="75" customHeight="1">
      <c r="A363" t="s">
        <v>162</v>
      </c>
      <c r="B363" t="s">
        <v>174</v>
      </c>
      <c r="C363" t="s">
        <v>324</v>
      </c>
      <c r="D363" t="s">
        <v>165</v>
      </c>
      <c r="E363" s="4">
        <f>IF(AND('Demographics'!$A$10&lt;&gt;"",NOT(AND(LEN(TRIM('Demographics'!$A$10))&gt;=1,LEN(TRIM('Demographics'!$A$10))&lt;=3,AND(CODE(MID(TRIM('Demographics'!$A$10)&amp;"AAA",1,1))&gt;=65,CODE(MID(TRIM('Demographics'!$A$10)&amp;"AAA",1,1))&lt;=90),AND(CODE(MID(TRIM('Demographics'!$A$10)&amp;"AAA",2,1))&gt;=65,CODE(MID(TRIM('Demographics'!$A$10)&amp;"AAA",2,1))&lt;=90),AND(CODE(MID(TRIM('Demographics'!$A$10)&amp;"AAA",3,1))&gt;=65,CODE(MID(TRIM('Demographics'!$A$10)&amp;"AAA",3,1))&lt;=90)))),"'"&amp;'Demographics'!$A$10&amp;"' isn't a valid Excel column letter, so Themefinder can't find this column on the Responses sheet.","")</f>
        <v>0</v>
      </c>
      <c r="F363" s="4" t="s">
        <v>325</v>
      </c>
    </row>
    <row r="364" spans="1:6" ht="75" customHeight="1">
      <c r="A364" t="s">
        <v>162</v>
      </c>
      <c r="B364" t="s">
        <v>175</v>
      </c>
      <c r="C364" t="s">
        <v>324</v>
      </c>
      <c r="D364" t="s">
        <v>165</v>
      </c>
      <c r="E364" s="4">
        <f>IF(AND('Demographics'!$A$11&lt;&gt;"",NOT(AND(LEN(TRIM('Demographics'!$A$11))&gt;=1,LEN(TRIM('Demographics'!$A$11))&lt;=3,AND(CODE(MID(TRIM('Demographics'!$A$11)&amp;"AAA",1,1))&gt;=65,CODE(MID(TRIM('Demographics'!$A$11)&amp;"AAA",1,1))&lt;=90),AND(CODE(MID(TRIM('Demographics'!$A$11)&amp;"AAA",2,1))&gt;=65,CODE(MID(TRIM('Demographics'!$A$11)&amp;"AAA",2,1))&lt;=90),AND(CODE(MID(TRIM('Demographics'!$A$11)&amp;"AAA",3,1))&gt;=65,CODE(MID(TRIM('Demographics'!$A$11)&amp;"AAA",3,1))&lt;=90)))),"'"&amp;'Demographics'!$A$11&amp;"' isn't a valid Excel column letter, so Themefinder can't find this column on the Responses sheet.","")</f>
        <v>0</v>
      </c>
      <c r="F364" s="4" t="s">
        <v>325</v>
      </c>
    </row>
    <row r="365" spans="1:6" ht="75" customHeight="1">
      <c r="A365" t="s">
        <v>162</v>
      </c>
      <c r="B365" t="s">
        <v>176</v>
      </c>
      <c r="C365" t="s">
        <v>324</v>
      </c>
      <c r="D365" t="s">
        <v>165</v>
      </c>
      <c r="E365" s="4">
        <f>IF(AND('Demographics'!$A$12&lt;&gt;"",NOT(AND(LEN(TRIM('Demographics'!$A$12))&gt;=1,LEN(TRIM('Demographics'!$A$12))&lt;=3,AND(CODE(MID(TRIM('Demographics'!$A$12)&amp;"AAA",1,1))&gt;=65,CODE(MID(TRIM('Demographics'!$A$12)&amp;"AAA",1,1))&lt;=90),AND(CODE(MID(TRIM('Demographics'!$A$12)&amp;"AAA",2,1))&gt;=65,CODE(MID(TRIM('Demographics'!$A$12)&amp;"AAA",2,1))&lt;=90),AND(CODE(MID(TRIM('Demographics'!$A$12)&amp;"AAA",3,1))&gt;=65,CODE(MID(TRIM('Demographics'!$A$12)&amp;"AAA",3,1))&lt;=90)))),"'"&amp;'Demographics'!$A$12&amp;"' isn't a valid Excel column letter, so Themefinder can't find this column on the Responses sheet.","")</f>
        <v>0</v>
      </c>
      <c r="F365" s="4" t="s">
        <v>325</v>
      </c>
    </row>
    <row r="366" spans="1:6" ht="75" customHeight="1">
      <c r="A366" t="s">
        <v>162</v>
      </c>
      <c r="B366" t="s">
        <v>177</v>
      </c>
      <c r="C366" t="s">
        <v>324</v>
      </c>
      <c r="D366" t="s">
        <v>165</v>
      </c>
      <c r="E366" s="4">
        <f>IF(AND('Demographics'!$A$13&lt;&gt;"",NOT(AND(LEN(TRIM('Demographics'!$A$13))&gt;=1,LEN(TRIM('Demographics'!$A$13))&lt;=3,AND(CODE(MID(TRIM('Demographics'!$A$13)&amp;"AAA",1,1))&gt;=65,CODE(MID(TRIM('Demographics'!$A$13)&amp;"AAA",1,1))&lt;=90),AND(CODE(MID(TRIM('Demographics'!$A$13)&amp;"AAA",2,1))&gt;=65,CODE(MID(TRIM('Demographics'!$A$13)&amp;"AAA",2,1))&lt;=90),AND(CODE(MID(TRIM('Demographics'!$A$13)&amp;"AAA",3,1))&gt;=65,CODE(MID(TRIM('Demographics'!$A$13)&amp;"AAA",3,1))&lt;=90)))),"'"&amp;'Demographics'!$A$13&amp;"' isn't a valid Excel column letter, so Themefinder can't find this column on the Responses sheet.","")</f>
        <v>0</v>
      </c>
      <c r="F366" s="4" t="s">
        <v>325</v>
      </c>
    </row>
    <row r="367" spans="1:6" ht="75" customHeight="1">
      <c r="A367" t="s">
        <v>162</v>
      </c>
      <c r="B367" t="s">
        <v>178</v>
      </c>
      <c r="C367" t="s">
        <v>324</v>
      </c>
      <c r="D367" t="s">
        <v>165</v>
      </c>
      <c r="E367" s="4">
        <f>IF(AND('Demographics'!$A$14&lt;&gt;"",NOT(AND(LEN(TRIM('Demographics'!$A$14))&gt;=1,LEN(TRIM('Demographics'!$A$14))&lt;=3,AND(CODE(MID(TRIM('Demographics'!$A$14)&amp;"AAA",1,1))&gt;=65,CODE(MID(TRIM('Demographics'!$A$14)&amp;"AAA",1,1))&lt;=90),AND(CODE(MID(TRIM('Demographics'!$A$14)&amp;"AAA",2,1))&gt;=65,CODE(MID(TRIM('Demographics'!$A$14)&amp;"AAA",2,1))&lt;=90),AND(CODE(MID(TRIM('Demographics'!$A$14)&amp;"AAA",3,1))&gt;=65,CODE(MID(TRIM('Demographics'!$A$14)&amp;"AAA",3,1))&lt;=90)))),"'"&amp;'Demographics'!$A$14&amp;"' isn't a valid Excel column letter, so Themefinder can't find this column on the Responses sheet.","")</f>
        <v>0</v>
      </c>
      <c r="F367" s="4" t="s">
        <v>325</v>
      </c>
    </row>
    <row r="368" spans="1:6" ht="75" customHeight="1">
      <c r="A368" t="s">
        <v>162</v>
      </c>
      <c r="B368" t="s">
        <v>179</v>
      </c>
      <c r="C368" t="s">
        <v>324</v>
      </c>
      <c r="D368" t="s">
        <v>165</v>
      </c>
      <c r="E368" s="4">
        <f>IF(AND('Demographics'!$A$15&lt;&gt;"",NOT(AND(LEN(TRIM('Demographics'!$A$15))&gt;=1,LEN(TRIM('Demographics'!$A$15))&lt;=3,AND(CODE(MID(TRIM('Demographics'!$A$15)&amp;"AAA",1,1))&gt;=65,CODE(MID(TRIM('Demographics'!$A$15)&amp;"AAA",1,1))&lt;=90),AND(CODE(MID(TRIM('Demographics'!$A$15)&amp;"AAA",2,1))&gt;=65,CODE(MID(TRIM('Demographics'!$A$15)&amp;"AAA",2,1))&lt;=90),AND(CODE(MID(TRIM('Demographics'!$A$15)&amp;"AAA",3,1))&gt;=65,CODE(MID(TRIM('Demographics'!$A$15)&amp;"AAA",3,1))&lt;=90)))),"'"&amp;'Demographics'!$A$15&amp;"' isn't a valid Excel column letter, so Themefinder can't find this column on the Responses sheet.","")</f>
        <v>0</v>
      </c>
      <c r="F368" s="4" t="s">
        <v>325</v>
      </c>
    </row>
    <row r="369" spans="1:6" ht="75" customHeight="1">
      <c r="A369" t="s">
        <v>162</v>
      </c>
      <c r="B369" t="s">
        <v>180</v>
      </c>
      <c r="C369" t="s">
        <v>324</v>
      </c>
      <c r="D369" t="s">
        <v>165</v>
      </c>
      <c r="E369" s="4">
        <f>IF(AND('Demographics'!$A$16&lt;&gt;"",NOT(AND(LEN(TRIM('Demographics'!$A$16))&gt;=1,LEN(TRIM('Demographics'!$A$16))&lt;=3,AND(CODE(MID(TRIM('Demographics'!$A$16)&amp;"AAA",1,1))&gt;=65,CODE(MID(TRIM('Demographics'!$A$16)&amp;"AAA",1,1))&lt;=90),AND(CODE(MID(TRIM('Demographics'!$A$16)&amp;"AAA",2,1))&gt;=65,CODE(MID(TRIM('Demographics'!$A$16)&amp;"AAA",2,1))&lt;=90),AND(CODE(MID(TRIM('Demographics'!$A$16)&amp;"AAA",3,1))&gt;=65,CODE(MID(TRIM('Demographics'!$A$16)&amp;"AAA",3,1))&lt;=90)))),"'"&amp;'Demographics'!$A$16&amp;"' isn't a valid Excel column letter, so Themefinder can't find this column on the Responses sheet.","")</f>
        <v>0</v>
      </c>
      <c r="F369" s="4" t="s">
        <v>325</v>
      </c>
    </row>
    <row r="370" spans="1:6" ht="75" customHeight="1">
      <c r="A370" t="s">
        <v>162</v>
      </c>
      <c r="B370" t="s">
        <v>181</v>
      </c>
      <c r="C370" t="s">
        <v>324</v>
      </c>
      <c r="D370" t="s">
        <v>165</v>
      </c>
      <c r="E370" s="4">
        <f>IF(AND('Demographics'!$A$17&lt;&gt;"",NOT(AND(LEN(TRIM('Demographics'!$A$17))&gt;=1,LEN(TRIM('Demographics'!$A$17))&lt;=3,AND(CODE(MID(TRIM('Demographics'!$A$17)&amp;"AAA",1,1))&gt;=65,CODE(MID(TRIM('Demographics'!$A$17)&amp;"AAA",1,1))&lt;=90),AND(CODE(MID(TRIM('Demographics'!$A$17)&amp;"AAA",2,1))&gt;=65,CODE(MID(TRIM('Demographics'!$A$17)&amp;"AAA",2,1))&lt;=90),AND(CODE(MID(TRIM('Demographics'!$A$17)&amp;"AAA",3,1))&gt;=65,CODE(MID(TRIM('Demographics'!$A$17)&amp;"AAA",3,1))&lt;=90)))),"'"&amp;'Demographics'!$A$17&amp;"' isn't a valid Excel column letter, so Themefinder can't find this column on the Responses sheet.","")</f>
        <v>0</v>
      </c>
      <c r="F370" s="4" t="s">
        <v>325</v>
      </c>
    </row>
    <row r="371" spans="1:6" ht="75" customHeight="1">
      <c r="A371" t="s">
        <v>162</v>
      </c>
      <c r="B371" t="s">
        <v>182</v>
      </c>
      <c r="C371" t="s">
        <v>324</v>
      </c>
      <c r="D371" t="s">
        <v>165</v>
      </c>
      <c r="E371" s="4">
        <f>IF(AND('Demographics'!$A$18&lt;&gt;"",NOT(AND(LEN(TRIM('Demographics'!$A$18))&gt;=1,LEN(TRIM('Demographics'!$A$18))&lt;=3,AND(CODE(MID(TRIM('Demographics'!$A$18)&amp;"AAA",1,1))&gt;=65,CODE(MID(TRIM('Demographics'!$A$18)&amp;"AAA",1,1))&lt;=90),AND(CODE(MID(TRIM('Demographics'!$A$18)&amp;"AAA",2,1))&gt;=65,CODE(MID(TRIM('Demographics'!$A$18)&amp;"AAA",2,1))&lt;=90),AND(CODE(MID(TRIM('Demographics'!$A$18)&amp;"AAA",3,1))&gt;=65,CODE(MID(TRIM('Demographics'!$A$18)&amp;"AAA",3,1))&lt;=90)))),"'"&amp;'Demographics'!$A$18&amp;"' isn't a valid Excel column letter, so Themefinder can't find this column on the Responses sheet.","")</f>
        <v>0</v>
      </c>
      <c r="F371" s="4" t="s">
        <v>325</v>
      </c>
    </row>
    <row r="372" spans="1:6" ht="75" customHeight="1">
      <c r="A372" t="s">
        <v>162</v>
      </c>
      <c r="B372" t="s">
        <v>183</v>
      </c>
      <c r="C372" t="s">
        <v>324</v>
      </c>
      <c r="D372" t="s">
        <v>165</v>
      </c>
      <c r="E372" s="4">
        <f>IF(AND('Demographics'!$A$19&lt;&gt;"",NOT(AND(LEN(TRIM('Demographics'!$A$19))&gt;=1,LEN(TRIM('Demographics'!$A$19))&lt;=3,AND(CODE(MID(TRIM('Demographics'!$A$19)&amp;"AAA",1,1))&gt;=65,CODE(MID(TRIM('Demographics'!$A$19)&amp;"AAA",1,1))&lt;=90),AND(CODE(MID(TRIM('Demographics'!$A$19)&amp;"AAA",2,1))&gt;=65,CODE(MID(TRIM('Demographics'!$A$19)&amp;"AAA",2,1))&lt;=90),AND(CODE(MID(TRIM('Demographics'!$A$19)&amp;"AAA",3,1))&gt;=65,CODE(MID(TRIM('Demographics'!$A$19)&amp;"AAA",3,1))&lt;=90)))),"'"&amp;'Demographics'!$A$19&amp;"' isn't a valid Excel column letter, so Themefinder can't find this column on the Responses sheet.","")</f>
        <v>0</v>
      </c>
      <c r="F372" s="4" t="s">
        <v>325</v>
      </c>
    </row>
    <row r="373" spans="1:6" ht="75" customHeight="1">
      <c r="A373" t="s">
        <v>162</v>
      </c>
      <c r="B373" t="s">
        <v>184</v>
      </c>
      <c r="C373" t="s">
        <v>324</v>
      </c>
      <c r="D373" t="s">
        <v>165</v>
      </c>
      <c r="E373" s="4">
        <f>IF(AND('Demographics'!$A$20&lt;&gt;"",NOT(AND(LEN(TRIM('Demographics'!$A$20))&gt;=1,LEN(TRIM('Demographics'!$A$20))&lt;=3,AND(CODE(MID(TRIM('Demographics'!$A$20)&amp;"AAA",1,1))&gt;=65,CODE(MID(TRIM('Demographics'!$A$20)&amp;"AAA",1,1))&lt;=90),AND(CODE(MID(TRIM('Demographics'!$A$20)&amp;"AAA",2,1))&gt;=65,CODE(MID(TRIM('Demographics'!$A$20)&amp;"AAA",2,1))&lt;=90),AND(CODE(MID(TRIM('Demographics'!$A$20)&amp;"AAA",3,1))&gt;=65,CODE(MID(TRIM('Demographics'!$A$20)&amp;"AAA",3,1))&lt;=90)))),"'"&amp;'Demographics'!$A$20&amp;"' isn't a valid Excel column letter, so Themefinder can't find this column on the Responses sheet.","")</f>
        <v>0</v>
      </c>
      <c r="F373" s="4" t="s">
        <v>325</v>
      </c>
    </row>
    <row r="374" spans="1:6" ht="75" customHeight="1">
      <c r="A374" t="s">
        <v>162</v>
      </c>
      <c r="B374" t="s">
        <v>185</v>
      </c>
      <c r="C374" t="s">
        <v>324</v>
      </c>
      <c r="D374" t="s">
        <v>165</v>
      </c>
      <c r="E374" s="4">
        <f>IF(AND('Demographics'!$A$21&lt;&gt;"",NOT(AND(LEN(TRIM('Demographics'!$A$21))&gt;=1,LEN(TRIM('Demographics'!$A$21))&lt;=3,AND(CODE(MID(TRIM('Demographics'!$A$21)&amp;"AAA",1,1))&gt;=65,CODE(MID(TRIM('Demographics'!$A$21)&amp;"AAA",1,1))&lt;=90),AND(CODE(MID(TRIM('Demographics'!$A$21)&amp;"AAA",2,1))&gt;=65,CODE(MID(TRIM('Demographics'!$A$21)&amp;"AAA",2,1))&lt;=90),AND(CODE(MID(TRIM('Demographics'!$A$21)&amp;"AAA",3,1))&gt;=65,CODE(MID(TRIM('Demographics'!$A$21)&amp;"AAA",3,1))&lt;=90)))),"'"&amp;'Demographics'!$A$21&amp;"' isn't a valid Excel column letter, so Themefinder can't find this column on the Responses sheet.","")</f>
        <v>0</v>
      </c>
      <c r="F374" s="4" t="s">
        <v>325</v>
      </c>
    </row>
    <row r="375" spans="1:6" ht="75" customHeight="1">
      <c r="A375" t="s">
        <v>162</v>
      </c>
      <c r="B375" t="s">
        <v>186</v>
      </c>
      <c r="C375" t="s">
        <v>324</v>
      </c>
      <c r="D375" t="s">
        <v>165</v>
      </c>
      <c r="E375" s="4">
        <f>IF(AND('Demographics'!$A$22&lt;&gt;"",NOT(AND(LEN(TRIM('Demographics'!$A$22))&gt;=1,LEN(TRIM('Demographics'!$A$22))&lt;=3,AND(CODE(MID(TRIM('Demographics'!$A$22)&amp;"AAA",1,1))&gt;=65,CODE(MID(TRIM('Demographics'!$A$22)&amp;"AAA",1,1))&lt;=90),AND(CODE(MID(TRIM('Demographics'!$A$22)&amp;"AAA",2,1))&gt;=65,CODE(MID(TRIM('Demographics'!$A$22)&amp;"AAA",2,1))&lt;=90),AND(CODE(MID(TRIM('Demographics'!$A$22)&amp;"AAA",3,1))&gt;=65,CODE(MID(TRIM('Demographics'!$A$22)&amp;"AAA",3,1))&lt;=90)))),"'"&amp;'Demographics'!$A$22&amp;"' isn't a valid Excel column letter, so Themefinder can't find this column on the Responses sheet.","")</f>
        <v>0</v>
      </c>
      <c r="F375" s="4" t="s">
        <v>325</v>
      </c>
    </row>
    <row r="376" spans="1:6" ht="75" customHeight="1">
      <c r="A376" t="s">
        <v>162</v>
      </c>
      <c r="B376" t="s">
        <v>187</v>
      </c>
      <c r="C376" t="s">
        <v>324</v>
      </c>
      <c r="D376" t="s">
        <v>165</v>
      </c>
      <c r="E376" s="4">
        <f>IF(AND('Demographics'!$A$23&lt;&gt;"",NOT(AND(LEN(TRIM('Demographics'!$A$23))&gt;=1,LEN(TRIM('Demographics'!$A$23))&lt;=3,AND(CODE(MID(TRIM('Demographics'!$A$23)&amp;"AAA",1,1))&gt;=65,CODE(MID(TRIM('Demographics'!$A$23)&amp;"AAA",1,1))&lt;=90),AND(CODE(MID(TRIM('Demographics'!$A$23)&amp;"AAA",2,1))&gt;=65,CODE(MID(TRIM('Demographics'!$A$23)&amp;"AAA",2,1))&lt;=90),AND(CODE(MID(TRIM('Demographics'!$A$23)&amp;"AAA",3,1))&gt;=65,CODE(MID(TRIM('Demographics'!$A$23)&amp;"AAA",3,1))&lt;=90)))),"'"&amp;'Demographics'!$A$23&amp;"' isn't a valid Excel column letter, so Themefinder can't find this column on the Responses sheet.","")</f>
        <v>0</v>
      </c>
      <c r="F376" s="4" t="s">
        <v>325</v>
      </c>
    </row>
    <row r="377" spans="1:6" ht="75" customHeight="1">
      <c r="A377" t="s">
        <v>162</v>
      </c>
      <c r="B377" t="s">
        <v>188</v>
      </c>
      <c r="C377" t="s">
        <v>324</v>
      </c>
      <c r="D377" t="s">
        <v>165</v>
      </c>
      <c r="E377" s="4">
        <f>IF(AND('Demographics'!$A$24&lt;&gt;"",NOT(AND(LEN(TRIM('Demographics'!$A$24))&gt;=1,LEN(TRIM('Demographics'!$A$24))&lt;=3,AND(CODE(MID(TRIM('Demographics'!$A$24)&amp;"AAA",1,1))&gt;=65,CODE(MID(TRIM('Demographics'!$A$24)&amp;"AAA",1,1))&lt;=90),AND(CODE(MID(TRIM('Demographics'!$A$24)&amp;"AAA",2,1))&gt;=65,CODE(MID(TRIM('Demographics'!$A$24)&amp;"AAA",2,1))&lt;=90),AND(CODE(MID(TRIM('Demographics'!$A$24)&amp;"AAA",3,1))&gt;=65,CODE(MID(TRIM('Demographics'!$A$24)&amp;"AAA",3,1))&lt;=90)))),"'"&amp;'Demographics'!$A$24&amp;"' isn't a valid Excel column letter, so Themefinder can't find this column on the Responses sheet.","")</f>
        <v>0</v>
      </c>
      <c r="F377" s="4" t="s">
        <v>325</v>
      </c>
    </row>
    <row r="378" spans="1:6" ht="75" customHeight="1">
      <c r="A378" t="s">
        <v>162</v>
      </c>
      <c r="B378" t="s">
        <v>189</v>
      </c>
      <c r="C378" t="s">
        <v>324</v>
      </c>
      <c r="D378" t="s">
        <v>165</v>
      </c>
      <c r="E378" s="4">
        <f>IF(AND('Demographics'!$A$25&lt;&gt;"",NOT(AND(LEN(TRIM('Demographics'!$A$25))&gt;=1,LEN(TRIM('Demographics'!$A$25))&lt;=3,AND(CODE(MID(TRIM('Demographics'!$A$25)&amp;"AAA",1,1))&gt;=65,CODE(MID(TRIM('Demographics'!$A$25)&amp;"AAA",1,1))&lt;=90),AND(CODE(MID(TRIM('Demographics'!$A$25)&amp;"AAA",2,1))&gt;=65,CODE(MID(TRIM('Demographics'!$A$25)&amp;"AAA",2,1))&lt;=90),AND(CODE(MID(TRIM('Demographics'!$A$25)&amp;"AAA",3,1))&gt;=65,CODE(MID(TRIM('Demographics'!$A$25)&amp;"AAA",3,1))&lt;=90)))),"'"&amp;'Demographics'!$A$25&amp;"' isn't a valid Excel column letter, so Themefinder can't find this column on the Responses sheet.","")</f>
        <v>0</v>
      </c>
      <c r="F378" s="4" t="s">
        <v>325</v>
      </c>
    </row>
    <row r="379" spans="1:6" ht="75" customHeight="1">
      <c r="A379" t="s">
        <v>162</v>
      </c>
      <c r="B379" t="s">
        <v>190</v>
      </c>
      <c r="C379" t="s">
        <v>324</v>
      </c>
      <c r="D379" t="s">
        <v>165</v>
      </c>
      <c r="E379" s="4">
        <f>IF(AND('Demographics'!$A$26&lt;&gt;"",NOT(AND(LEN(TRIM('Demographics'!$A$26))&gt;=1,LEN(TRIM('Demographics'!$A$26))&lt;=3,AND(CODE(MID(TRIM('Demographics'!$A$26)&amp;"AAA",1,1))&gt;=65,CODE(MID(TRIM('Demographics'!$A$26)&amp;"AAA",1,1))&lt;=90),AND(CODE(MID(TRIM('Demographics'!$A$26)&amp;"AAA",2,1))&gt;=65,CODE(MID(TRIM('Demographics'!$A$26)&amp;"AAA",2,1))&lt;=90),AND(CODE(MID(TRIM('Demographics'!$A$26)&amp;"AAA",3,1))&gt;=65,CODE(MID(TRIM('Demographics'!$A$26)&amp;"AAA",3,1))&lt;=90)))),"'"&amp;'Demographics'!$A$26&amp;"' isn't a valid Excel column letter, so Themefinder can't find this column on the Responses sheet.","")</f>
        <v>0</v>
      </c>
      <c r="F379" s="4" t="s">
        <v>325</v>
      </c>
    </row>
    <row r="380" spans="1:6" ht="75" customHeight="1">
      <c r="A380" t="s">
        <v>162</v>
      </c>
      <c r="B380" t="s">
        <v>191</v>
      </c>
      <c r="C380" t="s">
        <v>324</v>
      </c>
      <c r="D380" t="s">
        <v>165</v>
      </c>
      <c r="E380" s="4">
        <f>IF(AND('Demographics'!$A$27&lt;&gt;"",NOT(AND(LEN(TRIM('Demographics'!$A$27))&gt;=1,LEN(TRIM('Demographics'!$A$27))&lt;=3,AND(CODE(MID(TRIM('Demographics'!$A$27)&amp;"AAA",1,1))&gt;=65,CODE(MID(TRIM('Demographics'!$A$27)&amp;"AAA",1,1))&lt;=90),AND(CODE(MID(TRIM('Demographics'!$A$27)&amp;"AAA",2,1))&gt;=65,CODE(MID(TRIM('Demographics'!$A$27)&amp;"AAA",2,1))&lt;=90),AND(CODE(MID(TRIM('Demographics'!$A$27)&amp;"AAA",3,1))&gt;=65,CODE(MID(TRIM('Demographics'!$A$27)&amp;"AAA",3,1))&lt;=90)))),"'"&amp;'Demographics'!$A$27&amp;"' isn't a valid Excel column letter, so Themefinder can't find this column on the Responses sheet.","")</f>
        <v>0</v>
      </c>
      <c r="F380" s="4" t="s">
        <v>325</v>
      </c>
    </row>
    <row r="381" spans="1:6" ht="75" customHeight="1">
      <c r="A381" t="s">
        <v>162</v>
      </c>
      <c r="B381" t="s">
        <v>192</v>
      </c>
      <c r="C381" t="s">
        <v>324</v>
      </c>
      <c r="D381" t="s">
        <v>165</v>
      </c>
      <c r="E381" s="4">
        <f>IF(AND('Demographics'!$A$28&lt;&gt;"",NOT(AND(LEN(TRIM('Demographics'!$A$28))&gt;=1,LEN(TRIM('Demographics'!$A$28))&lt;=3,AND(CODE(MID(TRIM('Demographics'!$A$28)&amp;"AAA",1,1))&gt;=65,CODE(MID(TRIM('Demographics'!$A$28)&amp;"AAA",1,1))&lt;=90),AND(CODE(MID(TRIM('Demographics'!$A$28)&amp;"AAA",2,1))&gt;=65,CODE(MID(TRIM('Demographics'!$A$28)&amp;"AAA",2,1))&lt;=90),AND(CODE(MID(TRIM('Demographics'!$A$28)&amp;"AAA",3,1))&gt;=65,CODE(MID(TRIM('Demographics'!$A$28)&amp;"AAA",3,1))&lt;=90)))),"'"&amp;'Demographics'!$A$28&amp;"' isn't a valid Excel column letter, so Themefinder can't find this column on the Responses sheet.","")</f>
        <v>0</v>
      </c>
      <c r="F381" s="4" t="s">
        <v>325</v>
      </c>
    </row>
    <row r="382" spans="1:6" ht="75" customHeight="1">
      <c r="A382" t="s">
        <v>162</v>
      </c>
      <c r="B382" t="s">
        <v>193</v>
      </c>
      <c r="C382" t="s">
        <v>324</v>
      </c>
      <c r="D382" t="s">
        <v>165</v>
      </c>
      <c r="E382" s="4">
        <f>IF(AND('Demographics'!$A$29&lt;&gt;"",NOT(AND(LEN(TRIM('Demographics'!$A$29))&gt;=1,LEN(TRIM('Demographics'!$A$29))&lt;=3,AND(CODE(MID(TRIM('Demographics'!$A$29)&amp;"AAA",1,1))&gt;=65,CODE(MID(TRIM('Demographics'!$A$29)&amp;"AAA",1,1))&lt;=90),AND(CODE(MID(TRIM('Demographics'!$A$29)&amp;"AAA",2,1))&gt;=65,CODE(MID(TRIM('Demographics'!$A$29)&amp;"AAA",2,1))&lt;=90),AND(CODE(MID(TRIM('Demographics'!$A$29)&amp;"AAA",3,1))&gt;=65,CODE(MID(TRIM('Demographics'!$A$29)&amp;"AAA",3,1))&lt;=90)))),"'"&amp;'Demographics'!$A$29&amp;"' isn't a valid Excel column letter, so Themefinder can't find this column on the Responses sheet.","")</f>
        <v>0</v>
      </c>
      <c r="F382" s="4" t="s">
        <v>325</v>
      </c>
    </row>
    <row r="383" spans="1:6" ht="75" customHeight="1">
      <c r="A383" t="s">
        <v>162</v>
      </c>
      <c r="B383" t="s">
        <v>194</v>
      </c>
      <c r="C383" t="s">
        <v>324</v>
      </c>
      <c r="D383" t="s">
        <v>165</v>
      </c>
      <c r="E383" s="4">
        <f>IF(AND('Demographics'!$A$30&lt;&gt;"",NOT(AND(LEN(TRIM('Demographics'!$A$30))&gt;=1,LEN(TRIM('Demographics'!$A$30))&lt;=3,AND(CODE(MID(TRIM('Demographics'!$A$30)&amp;"AAA",1,1))&gt;=65,CODE(MID(TRIM('Demographics'!$A$30)&amp;"AAA",1,1))&lt;=90),AND(CODE(MID(TRIM('Demographics'!$A$30)&amp;"AAA",2,1))&gt;=65,CODE(MID(TRIM('Demographics'!$A$30)&amp;"AAA",2,1))&lt;=90),AND(CODE(MID(TRIM('Demographics'!$A$30)&amp;"AAA",3,1))&gt;=65,CODE(MID(TRIM('Demographics'!$A$30)&amp;"AAA",3,1))&lt;=90)))),"'"&amp;'Demographics'!$A$30&amp;"' isn't a valid Excel column letter, so Themefinder can't find this column on the Responses sheet.","")</f>
        <v>0</v>
      </c>
      <c r="F383" s="4" t="s">
        <v>325</v>
      </c>
    </row>
    <row r="384" spans="1:6" ht="75" customHeight="1">
      <c r="A384" t="s">
        <v>162</v>
      </c>
      <c r="B384" t="s">
        <v>195</v>
      </c>
      <c r="C384" t="s">
        <v>324</v>
      </c>
      <c r="D384" t="s">
        <v>165</v>
      </c>
      <c r="E384" s="4">
        <f>IF(AND('Demographics'!$A$31&lt;&gt;"",NOT(AND(LEN(TRIM('Demographics'!$A$31))&gt;=1,LEN(TRIM('Demographics'!$A$31))&lt;=3,AND(CODE(MID(TRIM('Demographics'!$A$31)&amp;"AAA",1,1))&gt;=65,CODE(MID(TRIM('Demographics'!$A$31)&amp;"AAA",1,1))&lt;=90),AND(CODE(MID(TRIM('Demographics'!$A$31)&amp;"AAA",2,1))&gt;=65,CODE(MID(TRIM('Demographics'!$A$31)&amp;"AAA",2,1))&lt;=90),AND(CODE(MID(TRIM('Demographics'!$A$31)&amp;"AAA",3,1))&gt;=65,CODE(MID(TRIM('Demographics'!$A$31)&amp;"AAA",3,1))&lt;=90)))),"'"&amp;'Demographics'!$A$31&amp;"' isn't a valid Excel column letter, so Themefinder can't find this column on the Responses sheet.","")</f>
        <v>0</v>
      </c>
      <c r="F384" s="4" t="s">
        <v>325</v>
      </c>
    </row>
    <row r="385" spans="1:6" ht="75" customHeight="1">
      <c r="A385" t="s">
        <v>162</v>
      </c>
      <c r="B385" t="s">
        <v>196</v>
      </c>
      <c r="C385" t="s">
        <v>324</v>
      </c>
      <c r="D385" t="s">
        <v>165</v>
      </c>
      <c r="E385" s="4">
        <f>IF(AND('Demographics'!$A$32&lt;&gt;"",NOT(AND(LEN(TRIM('Demographics'!$A$32))&gt;=1,LEN(TRIM('Demographics'!$A$32))&lt;=3,AND(CODE(MID(TRIM('Demographics'!$A$32)&amp;"AAA",1,1))&gt;=65,CODE(MID(TRIM('Demographics'!$A$32)&amp;"AAA",1,1))&lt;=90),AND(CODE(MID(TRIM('Demographics'!$A$32)&amp;"AAA",2,1))&gt;=65,CODE(MID(TRIM('Demographics'!$A$32)&amp;"AAA",2,1))&lt;=90),AND(CODE(MID(TRIM('Demographics'!$A$32)&amp;"AAA",3,1))&gt;=65,CODE(MID(TRIM('Demographics'!$A$32)&amp;"AAA",3,1))&lt;=90)))),"'"&amp;'Demographics'!$A$32&amp;"' isn't a valid Excel column letter, so Themefinder can't find this column on the Responses sheet.","")</f>
        <v>0</v>
      </c>
      <c r="F385" s="4" t="s">
        <v>325</v>
      </c>
    </row>
    <row r="386" spans="1:6" ht="75" customHeight="1">
      <c r="A386" t="s">
        <v>162</v>
      </c>
      <c r="B386" t="s">
        <v>197</v>
      </c>
      <c r="C386" t="s">
        <v>324</v>
      </c>
      <c r="D386" t="s">
        <v>165</v>
      </c>
      <c r="E386" s="4">
        <f>IF(AND('Demographics'!$A$33&lt;&gt;"",NOT(AND(LEN(TRIM('Demographics'!$A$33))&gt;=1,LEN(TRIM('Demographics'!$A$33))&lt;=3,AND(CODE(MID(TRIM('Demographics'!$A$33)&amp;"AAA",1,1))&gt;=65,CODE(MID(TRIM('Demographics'!$A$33)&amp;"AAA",1,1))&lt;=90),AND(CODE(MID(TRIM('Demographics'!$A$33)&amp;"AAA",2,1))&gt;=65,CODE(MID(TRIM('Demographics'!$A$33)&amp;"AAA",2,1))&lt;=90),AND(CODE(MID(TRIM('Demographics'!$A$33)&amp;"AAA",3,1))&gt;=65,CODE(MID(TRIM('Demographics'!$A$33)&amp;"AAA",3,1))&lt;=90)))),"'"&amp;'Demographics'!$A$33&amp;"' isn't a valid Excel column letter, so Themefinder can't find this column on the Responses sheet.","")</f>
        <v>0</v>
      </c>
      <c r="F386" s="4" t="s">
        <v>325</v>
      </c>
    </row>
    <row r="387" spans="1:6" ht="75" customHeight="1">
      <c r="A387" t="s">
        <v>162</v>
      </c>
      <c r="B387" t="s">
        <v>198</v>
      </c>
      <c r="C387" t="s">
        <v>324</v>
      </c>
      <c r="D387" t="s">
        <v>165</v>
      </c>
      <c r="E387" s="4">
        <f>IF(AND('Demographics'!$A$34&lt;&gt;"",NOT(AND(LEN(TRIM('Demographics'!$A$34))&gt;=1,LEN(TRIM('Demographics'!$A$34))&lt;=3,AND(CODE(MID(TRIM('Demographics'!$A$34)&amp;"AAA",1,1))&gt;=65,CODE(MID(TRIM('Demographics'!$A$34)&amp;"AAA",1,1))&lt;=90),AND(CODE(MID(TRIM('Demographics'!$A$34)&amp;"AAA",2,1))&gt;=65,CODE(MID(TRIM('Demographics'!$A$34)&amp;"AAA",2,1))&lt;=90),AND(CODE(MID(TRIM('Demographics'!$A$34)&amp;"AAA",3,1))&gt;=65,CODE(MID(TRIM('Demographics'!$A$34)&amp;"AAA",3,1))&lt;=90)))),"'"&amp;'Demographics'!$A$34&amp;"' isn't a valid Excel column letter, so Themefinder can't find this column on the Responses sheet.","")</f>
        <v>0</v>
      </c>
      <c r="F387" s="4" t="s">
        <v>325</v>
      </c>
    </row>
    <row r="388" spans="1:6" ht="75" customHeight="1">
      <c r="A388" t="s">
        <v>162</v>
      </c>
      <c r="B388" t="s">
        <v>199</v>
      </c>
      <c r="C388" t="s">
        <v>324</v>
      </c>
      <c r="D388" t="s">
        <v>165</v>
      </c>
      <c r="E388" s="4">
        <f>IF(AND('Demographics'!$A$35&lt;&gt;"",NOT(AND(LEN(TRIM('Demographics'!$A$35))&gt;=1,LEN(TRIM('Demographics'!$A$35))&lt;=3,AND(CODE(MID(TRIM('Demographics'!$A$35)&amp;"AAA",1,1))&gt;=65,CODE(MID(TRIM('Demographics'!$A$35)&amp;"AAA",1,1))&lt;=90),AND(CODE(MID(TRIM('Demographics'!$A$35)&amp;"AAA",2,1))&gt;=65,CODE(MID(TRIM('Demographics'!$A$35)&amp;"AAA",2,1))&lt;=90),AND(CODE(MID(TRIM('Demographics'!$A$35)&amp;"AAA",3,1))&gt;=65,CODE(MID(TRIM('Demographics'!$A$35)&amp;"AAA",3,1))&lt;=90)))),"'"&amp;'Demographics'!$A$35&amp;"' isn't a valid Excel column letter, so Themefinder can't find this column on the Responses sheet.","")</f>
        <v>0</v>
      </c>
      <c r="F388" s="4" t="s">
        <v>325</v>
      </c>
    </row>
    <row r="389" spans="1:6" ht="75" customHeight="1">
      <c r="A389" t="s">
        <v>162</v>
      </c>
      <c r="B389" t="s">
        <v>200</v>
      </c>
      <c r="C389" t="s">
        <v>324</v>
      </c>
      <c r="D389" t="s">
        <v>165</v>
      </c>
      <c r="E389" s="4">
        <f>IF(AND('Demographics'!$A$36&lt;&gt;"",NOT(AND(LEN(TRIM('Demographics'!$A$36))&gt;=1,LEN(TRIM('Demographics'!$A$36))&lt;=3,AND(CODE(MID(TRIM('Demographics'!$A$36)&amp;"AAA",1,1))&gt;=65,CODE(MID(TRIM('Demographics'!$A$36)&amp;"AAA",1,1))&lt;=90),AND(CODE(MID(TRIM('Demographics'!$A$36)&amp;"AAA",2,1))&gt;=65,CODE(MID(TRIM('Demographics'!$A$36)&amp;"AAA",2,1))&lt;=90),AND(CODE(MID(TRIM('Demographics'!$A$36)&amp;"AAA",3,1))&gt;=65,CODE(MID(TRIM('Demographics'!$A$36)&amp;"AAA",3,1))&lt;=90)))),"'"&amp;'Demographics'!$A$36&amp;"' isn't a valid Excel column letter, so Themefinder can't find this column on the Responses sheet.","")</f>
        <v>0</v>
      </c>
      <c r="F389" s="4" t="s">
        <v>325</v>
      </c>
    </row>
    <row r="390" spans="1:6" ht="75" customHeight="1">
      <c r="A390" t="s">
        <v>162</v>
      </c>
      <c r="B390" t="s">
        <v>201</v>
      </c>
      <c r="C390" t="s">
        <v>324</v>
      </c>
      <c r="D390" t="s">
        <v>165</v>
      </c>
      <c r="E390" s="4">
        <f>IF(AND('Demographics'!$A$37&lt;&gt;"",NOT(AND(LEN(TRIM('Demographics'!$A$37))&gt;=1,LEN(TRIM('Demographics'!$A$37))&lt;=3,AND(CODE(MID(TRIM('Demographics'!$A$37)&amp;"AAA",1,1))&gt;=65,CODE(MID(TRIM('Demographics'!$A$37)&amp;"AAA",1,1))&lt;=90),AND(CODE(MID(TRIM('Demographics'!$A$37)&amp;"AAA",2,1))&gt;=65,CODE(MID(TRIM('Demographics'!$A$37)&amp;"AAA",2,1))&lt;=90),AND(CODE(MID(TRIM('Demographics'!$A$37)&amp;"AAA",3,1))&gt;=65,CODE(MID(TRIM('Demographics'!$A$37)&amp;"AAA",3,1))&lt;=90)))),"'"&amp;'Demographics'!$A$37&amp;"' isn't a valid Excel column letter, so Themefinder can't find this column on the Responses sheet.","")</f>
        <v>0</v>
      </c>
      <c r="F390" s="4" t="s">
        <v>325</v>
      </c>
    </row>
    <row r="391" spans="1:6" ht="75" customHeight="1">
      <c r="A391" t="s">
        <v>162</v>
      </c>
      <c r="B391" t="s">
        <v>202</v>
      </c>
      <c r="C391" t="s">
        <v>324</v>
      </c>
      <c r="D391" t="s">
        <v>165</v>
      </c>
      <c r="E391" s="4">
        <f>IF(AND('Demographics'!$A$38&lt;&gt;"",NOT(AND(LEN(TRIM('Demographics'!$A$38))&gt;=1,LEN(TRIM('Demographics'!$A$38))&lt;=3,AND(CODE(MID(TRIM('Demographics'!$A$38)&amp;"AAA",1,1))&gt;=65,CODE(MID(TRIM('Demographics'!$A$38)&amp;"AAA",1,1))&lt;=90),AND(CODE(MID(TRIM('Demographics'!$A$38)&amp;"AAA",2,1))&gt;=65,CODE(MID(TRIM('Demographics'!$A$38)&amp;"AAA",2,1))&lt;=90),AND(CODE(MID(TRIM('Demographics'!$A$38)&amp;"AAA",3,1))&gt;=65,CODE(MID(TRIM('Demographics'!$A$38)&amp;"AAA",3,1))&lt;=90)))),"'"&amp;'Demographics'!$A$38&amp;"' isn't a valid Excel column letter, so Themefinder can't find this column on the Responses sheet.","")</f>
        <v>0</v>
      </c>
      <c r="F391" s="4" t="s">
        <v>325</v>
      </c>
    </row>
    <row r="392" spans="1:6" ht="75" customHeight="1">
      <c r="A392" t="s">
        <v>162</v>
      </c>
      <c r="B392" t="s">
        <v>203</v>
      </c>
      <c r="C392" t="s">
        <v>324</v>
      </c>
      <c r="D392" t="s">
        <v>165</v>
      </c>
      <c r="E392" s="4">
        <f>IF(AND('Demographics'!$A$39&lt;&gt;"",NOT(AND(LEN(TRIM('Demographics'!$A$39))&gt;=1,LEN(TRIM('Demographics'!$A$39))&lt;=3,AND(CODE(MID(TRIM('Demographics'!$A$39)&amp;"AAA",1,1))&gt;=65,CODE(MID(TRIM('Demographics'!$A$39)&amp;"AAA",1,1))&lt;=90),AND(CODE(MID(TRIM('Demographics'!$A$39)&amp;"AAA",2,1))&gt;=65,CODE(MID(TRIM('Demographics'!$A$39)&amp;"AAA",2,1))&lt;=90),AND(CODE(MID(TRIM('Demographics'!$A$39)&amp;"AAA",3,1))&gt;=65,CODE(MID(TRIM('Demographics'!$A$39)&amp;"AAA",3,1))&lt;=90)))),"'"&amp;'Demographics'!$A$39&amp;"' isn't a valid Excel column letter, so Themefinder can't find this column on the Responses sheet.","")</f>
        <v>0</v>
      </c>
      <c r="F392" s="4" t="s">
        <v>325</v>
      </c>
    </row>
    <row r="393" spans="1:6" ht="75" customHeight="1">
      <c r="A393" t="s">
        <v>162</v>
      </c>
      <c r="B393" t="s">
        <v>204</v>
      </c>
      <c r="C393" t="s">
        <v>324</v>
      </c>
      <c r="D393" t="s">
        <v>165</v>
      </c>
      <c r="E393" s="4">
        <f>IF(AND('Demographics'!$A$40&lt;&gt;"",NOT(AND(LEN(TRIM('Demographics'!$A$40))&gt;=1,LEN(TRIM('Demographics'!$A$40))&lt;=3,AND(CODE(MID(TRIM('Demographics'!$A$40)&amp;"AAA",1,1))&gt;=65,CODE(MID(TRIM('Demographics'!$A$40)&amp;"AAA",1,1))&lt;=90),AND(CODE(MID(TRIM('Demographics'!$A$40)&amp;"AAA",2,1))&gt;=65,CODE(MID(TRIM('Demographics'!$A$40)&amp;"AAA",2,1))&lt;=90),AND(CODE(MID(TRIM('Demographics'!$A$40)&amp;"AAA",3,1))&gt;=65,CODE(MID(TRIM('Demographics'!$A$40)&amp;"AAA",3,1))&lt;=90)))),"'"&amp;'Demographics'!$A$40&amp;"' isn't a valid Excel column letter, so Themefinder can't find this column on the Responses sheet.","")</f>
        <v>0</v>
      </c>
      <c r="F393" s="4" t="s">
        <v>325</v>
      </c>
    </row>
    <row r="394" spans="1:6" ht="75" customHeight="1">
      <c r="A394" t="s">
        <v>162</v>
      </c>
      <c r="B394" t="s">
        <v>205</v>
      </c>
      <c r="C394" t="s">
        <v>324</v>
      </c>
      <c r="D394" t="s">
        <v>165</v>
      </c>
      <c r="E394" s="4">
        <f>IF(AND('Demographics'!$A$41&lt;&gt;"",NOT(AND(LEN(TRIM('Demographics'!$A$41))&gt;=1,LEN(TRIM('Demographics'!$A$41))&lt;=3,AND(CODE(MID(TRIM('Demographics'!$A$41)&amp;"AAA",1,1))&gt;=65,CODE(MID(TRIM('Demographics'!$A$41)&amp;"AAA",1,1))&lt;=90),AND(CODE(MID(TRIM('Demographics'!$A$41)&amp;"AAA",2,1))&gt;=65,CODE(MID(TRIM('Demographics'!$A$41)&amp;"AAA",2,1))&lt;=90),AND(CODE(MID(TRIM('Demographics'!$A$41)&amp;"AAA",3,1))&gt;=65,CODE(MID(TRIM('Demographics'!$A$41)&amp;"AAA",3,1))&lt;=90)))),"'"&amp;'Demographics'!$A$41&amp;"' isn't a valid Excel column letter, so Themefinder can't find this column on the Responses sheet.","")</f>
        <v>0</v>
      </c>
      <c r="F394" s="4" t="s">
        <v>325</v>
      </c>
    </row>
    <row r="395" spans="1:6" ht="75" customHeight="1">
      <c r="A395" t="s">
        <v>162</v>
      </c>
      <c r="B395" t="s">
        <v>206</v>
      </c>
      <c r="C395" t="s">
        <v>324</v>
      </c>
      <c r="D395" t="s">
        <v>165</v>
      </c>
      <c r="E395" s="4">
        <f>IF(AND('Demographics'!$A$42&lt;&gt;"",NOT(AND(LEN(TRIM('Demographics'!$A$42))&gt;=1,LEN(TRIM('Demographics'!$A$42))&lt;=3,AND(CODE(MID(TRIM('Demographics'!$A$42)&amp;"AAA",1,1))&gt;=65,CODE(MID(TRIM('Demographics'!$A$42)&amp;"AAA",1,1))&lt;=90),AND(CODE(MID(TRIM('Demographics'!$A$42)&amp;"AAA",2,1))&gt;=65,CODE(MID(TRIM('Demographics'!$A$42)&amp;"AAA",2,1))&lt;=90),AND(CODE(MID(TRIM('Demographics'!$A$42)&amp;"AAA",3,1))&gt;=65,CODE(MID(TRIM('Demographics'!$A$42)&amp;"AAA",3,1))&lt;=90)))),"'"&amp;'Demographics'!$A$42&amp;"' isn't a valid Excel column letter, so Themefinder can't find this column on the Responses sheet.","")</f>
        <v>0</v>
      </c>
      <c r="F395" s="4" t="s">
        <v>325</v>
      </c>
    </row>
    <row r="396" spans="1:6" ht="75" customHeight="1">
      <c r="A396" t="s">
        <v>162</v>
      </c>
      <c r="B396" t="s">
        <v>207</v>
      </c>
      <c r="C396" t="s">
        <v>324</v>
      </c>
      <c r="D396" t="s">
        <v>165</v>
      </c>
      <c r="E396" s="4">
        <f>IF(AND('Demographics'!$A$43&lt;&gt;"",NOT(AND(LEN(TRIM('Demographics'!$A$43))&gt;=1,LEN(TRIM('Demographics'!$A$43))&lt;=3,AND(CODE(MID(TRIM('Demographics'!$A$43)&amp;"AAA",1,1))&gt;=65,CODE(MID(TRIM('Demographics'!$A$43)&amp;"AAA",1,1))&lt;=90),AND(CODE(MID(TRIM('Demographics'!$A$43)&amp;"AAA",2,1))&gt;=65,CODE(MID(TRIM('Demographics'!$A$43)&amp;"AAA",2,1))&lt;=90),AND(CODE(MID(TRIM('Demographics'!$A$43)&amp;"AAA",3,1))&gt;=65,CODE(MID(TRIM('Demographics'!$A$43)&amp;"AAA",3,1))&lt;=90)))),"'"&amp;'Demographics'!$A$43&amp;"' isn't a valid Excel column letter, so Themefinder can't find this column on the Responses sheet.","")</f>
        <v>0</v>
      </c>
      <c r="F396" s="4" t="s">
        <v>325</v>
      </c>
    </row>
    <row r="397" spans="1:6" ht="75" customHeight="1">
      <c r="A397" t="s">
        <v>162</v>
      </c>
      <c r="B397" t="s">
        <v>208</v>
      </c>
      <c r="C397" t="s">
        <v>324</v>
      </c>
      <c r="D397" t="s">
        <v>165</v>
      </c>
      <c r="E397" s="4">
        <f>IF(AND('Demographics'!$A$44&lt;&gt;"",NOT(AND(LEN(TRIM('Demographics'!$A$44))&gt;=1,LEN(TRIM('Demographics'!$A$44))&lt;=3,AND(CODE(MID(TRIM('Demographics'!$A$44)&amp;"AAA",1,1))&gt;=65,CODE(MID(TRIM('Demographics'!$A$44)&amp;"AAA",1,1))&lt;=90),AND(CODE(MID(TRIM('Demographics'!$A$44)&amp;"AAA",2,1))&gt;=65,CODE(MID(TRIM('Demographics'!$A$44)&amp;"AAA",2,1))&lt;=90),AND(CODE(MID(TRIM('Demographics'!$A$44)&amp;"AAA",3,1))&gt;=65,CODE(MID(TRIM('Demographics'!$A$44)&amp;"AAA",3,1))&lt;=90)))),"'"&amp;'Demographics'!$A$44&amp;"' isn't a valid Excel column letter, so Themefinder can't find this column on the Responses sheet.","")</f>
        <v>0</v>
      </c>
      <c r="F397" s="4" t="s">
        <v>325</v>
      </c>
    </row>
    <row r="398" spans="1:6" ht="75" customHeight="1">
      <c r="A398" t="s">
        <v>162</v>
      </c>
      <c r="B398" t="s">
        <v>209</v>
      </c>
      <c r="C398" t="s">
        <v>324</v>
      </c>
      <c r="D398" t="s">
        <v>165</v>
      </c>
      <c r="E398" s="4">
        <f>IF(AND('Demographics'!$A$45&lt;&gt;"",NOT(AND(LEN(TRIM('Demographics'!$A$45))&gt;=1,LEN(TRIM('Demographics'!$A$45))&lt;=3,AND(CODE(MID(TRIM('Demographics'!$A$45)&amp;"AAA",1,1))&gt;=65,CODE(MID(TRIM('Demographics'!$A$45)&amp;"AAA",1,1))&lt;=90),AND(CODE(MID(TRIM('Demographics'!$A$45)&amp;"AAA",2,1))&gt;=65,CODE(MID(TRIM('Demographics'!$A$45)&amp;"AAA",2,1))&lt;=90),AND(CODE(MID(TRIM('Demographics'!$A$45)&amp;"AAA",3,1))&gt;=65,CODE(MID(TRIM('Demographics'!$A$45)&amp;"AAA",3,1))&lt;=90)))),"'"&amp;'Demographics'!$A$45&amp;"' isn't a valid Excel column letter, so Themefinder can't find this column on the Responses sheet.","")</f>
        <v>0</v>
      </c>
      <c r="F398" s="4" t="s">
        <v>325</v>
      </c>
    </row>
    <row r="399" spans="1:6" ht="75" customHeight="1">
      <c r="A399" t="s">
        <v>162</v>
      </c>
      <c r="B399" t="s">
        <v>210</v>
      </c>
      <c r="C399" t="s">
        <v>324</v>
      </c>
      <c r="D399" t="s">
        <v>165</v>
      </c>
      <c r="E399" s="4">
        <f>IF(AND('Demographics'!$A$46&lt;&gt;"",NOT(AND(LEN(TRIM('Demographics'!$A$46))&gt;=1,LEN(TRIM('Demographics'!$A$46))&lt;=3,AND(CODE(MID(TRIM('Demographics'!$A$46)&amp;"AAA",1,1))&gt;=65,CODE(MID(TRIM('Demographics'!$A$46)&amp;"AAA",1,1))&lt;=90),AND(CODE(MID(TRIM('Demographics'!$A$46)&amp;"AAA",2,1))&gt;=65,CODE(MID(TRIM('Demographics'!$A$46)&amp;"AAA",2,1))&lt;=90),AND(CODE(MID(TRIM('Demographics'!$A$46)&amp;"AAA",3,1))&gt;=65,CODE(MID(TRIM('Demographics'!$A$46)&amp;"AAA",3,1))&lt;=90)))),"'"&amp;'Demographics'!$A$46&amp;"' isn't a valid Excel column letter, so Themefinder can't find this column on the Responses sheet.","")</f>
        <v>0</v>
      </c>
      <c r="F399" s="4" t="s">
        <v>325</v>
      </c>
    </row>
    <row r="400" spans="1:6" ht="75" customHeight="1">
      <c r="A400" t="s">
        <v>162</v>
      </c>
      <c r="B400" t="s">
        <v>211</v>
      </c>
      <c r="C400" t="s">
        <v>324</v>
      </c>
      <c r="D400" t="s">
        <v>165</v>
      </c>
      <c r="E400" s="4">
        <f>IF(AND('Demographics'!$A$47&lt;&gt;"",NOT(AND(LEN(TRIM('Demographics'!$A$47))&gt;=1,LEN(TRIM('Demographics'!$A$47))&lt;=3,AND(CODE(MID(TRIM('Demographics'!$A$47)&amp;"AAA",1,1))&gt;=65,CODE(MID(TRIM('Demographics'!$A$47)&amp;"AAA",1,1))&lt;=90),AND(CODE(MID(TRIM('Demographics'!$A$47)&amp;"AAA",2,1))&gt;=65,CODE(MID(TRIM('Demographics'!$A$47)&amp;"AAA",2,1))&lt;=90),AND(CODE(MID(TRIM('Demographics'!$A$47)&amp;"AAA",3,1))&gt;=65,CODE(MID(TRIM('Demographics'!$A$47)&amp;"AAA",3,1))&lt;=90)))),"'"&amp;'Demographics'!$A$47&amp;"' isn't a valid Excel column letter, so Themefinder can't find this column on the Responses sheet.","")</f>
        <v>0</v>
      </c>
      <c r="F400" s="4" t="s">
        <v>325</v>
      </c>
    </row>
    <row r="401" spans="1:6" ht="75" customHeight="1">
      <c r="A401" t="s">
        <v>162</v>
      </c>
      <c r="B401" t="s">
        <v>212</v>
      </c>
      <c r="C401" t="s">
        <v>324</v>
      </c>
      <c r="D401" t="s">
        <v>165</v>
      </c>
      <c r="E401" s="4">
        <f>IF(AND('Demographics'!$A$48&lt;&gt;"",NOT(AND(LEN(TRIM('Demographics'!$A$48))&gt;=1,LEN(TRIM('Demographics'!$A$48))&lt;=3,AND(CODE(MID(TRIM('Demographics'!$A$48)&amp;"AAA",1,1))&gt;=65,CODE(MID(TRIM('Demographics'!$A$48)&amp;"AAA",1,1))&lt;=90),AND(CODE(MID(TRIM('Demographics'!$A$48)&amp;"AAA",2,1))&gt;=65,CODE(MID(TRIM('Demographics'!$A$48)&amp;"AAA",2,1))&lt;=90),AND(CODE(MID(TRIM('Demographics'!$A$48)&amp;"AAA",3,1))&gt;=65,CODE(MID(TRIM('Demographics'!$A$48)&amp;"AAA",3,1))&lt;=90)))),"'"&amp;'Demographics'!$A$48&amp;"' isn't a valid Excel column letter, so Themefinder can't find this column on the Responses sheet.","")</f>
        <v>0</v>
      </c>
      <c r="F401" s="4" t="s">
        <v>325</v>
      </c>
    </row>
    <row r="402" spans="1:6" ht="75" customHeight="1">
      <c r="A402" t="s">
        <v>162</v>
      </c>
      <c r="B402" t="s">
        <v>213</v>
      </c>
      <c r="C402" t="s">
        <v>324</v>
      </c>
      <c r="D402" t="s">
        <v>165</v>
      </c>
      <c r="E402" s="4">
        <f>IF(AND('Demographics'!$A$49&lt;&gt;"",NOT(AND(LEN(TRIM('Demographics'!$A$49))&gt;=1,LEN(TRIM('Demographics'!$A$49))&lt;=3,AND(CODE(MID(TRIM('Demographics'!$A$49)&amp;"AAA",1,1))&gt;=65,CODE(MID(TRIM('Demographics'!$A$49)&amp;"AAA",1,1))&lt;=90),AND(CODE(MID(TRIM('Demographics'!$A$49)&amp;"AAA",2,1))&gt;=65,CODE(MID(TRIM('Demographics'!$A$49)&amp;"AAA",2,1))&lt;=90),AND(CODE(MID(TRIM('Demographics'!$A$49)&amp;"AAA",3,1))&gt;=65,CODE(MID(TRIM('Demographics'!$A$49)&amp;"AAA",3,1))&lt;=90)))),"'"&amp;'Demographics'!$A$49&amp;"' isn't a valid Excel column letter, so Themefinder can't find this column on the Responses sheet.","")</f>
        <v>0</v>
      </c>
      <c r="F402" s="4" t="s">
        <v>325</v>
      </c>
    </row>
    <row r="403" spans="1:6" ht="75" customHeight="1">
      <c r="A403" t="s">
        <v>162</v>
      </c>
      <c r="B403" t="s">
        <v>214</v>
      </c>
      <c r="C403" t="s">
        <v>324</v>
      </c>
      <c r="D403" t="s">
        <v>165</v>
      </c>
      <c r="E403" s="4">
        <f>IF(AND('Demographics'!$A$50&lt;&gt;"",NOT(AND(LEN(TRIM('Demographics'!$A$50))&gt;=1,LEN(TRIM('Demographics'!$A$50))&lt;=3,AND(CODE(MID(TRIM('Demographics'!$A$50)&amp;"AAA",1,1))&gt;=65,CODE(MID(TRIM('Demographics'!$A$50)&amp;"AAA",1,1))&lt;=90),AND(CODE(MID(TRIM('Demographics'!$A$50)&amp;"AAA",2,1))&gt;=65,CODE(MID(TRIM('Demographics'!$A$50)&amp;"AAA",2,1))&lt;=90),AND(CODE(MID(TRIM('Demographics'!$A$50)&amp;"AAA",3,1))&gt;=65,CODE(MID(TRIM('Demographics'!$A$50)&amp;"AAA",3,1))&lt;=90)))),"'"&amp;'Demographics'!$A$50&amp;"' isn't a valid Excel column letter, so Themefinder can't find this column on the Responses sheet.","")</f>
        <v>0</v>
      </c>
      <c r="F403" s="4" t="s">
        <v>325</v>
      </c>
    </row>
    <row r="404" spans="1:6" ht="75" customHeight="1">
      <c r="A404" t="s">
        <v>162</v>
      </c>
      <c r="B404" t="s">
        <v>215</v>
      </c>
      <c r="C404" t="s">
        <v>324</v>
      </c>
      <c r="D404" t="s">
        <v>165</v>
      </c>
      <c r="E404" s="4">
        <f>IF(AND('Demographics'!$A$51&lt;&gt;"",NOT(AND(LEN(TRIM('Demographics'!$A$51))&gt;=1,LEN(TRIM('Demographics'!$A$51))&lt;=3,AND(CODE(MID(TRIM('Demographics'!$A$51)&amp;"AAA",1,1))&gt;=65,CODE(MID(TRIM('Demographics'!$A$51)&amp;"AAA",1,1))&lt;=90),AND(CODE(MID(TRIM('Demographics'!$A$51)&amp;"AAA",2,1))&gt;=65,CODE(MID(TRIM('Demographics'!$A$51)&amp;"AAA",2,1))&lt;=90),AND(CODE(MID(TRIM('Demographics'!$A$51)&amp;"AAA",3,1))&gt;=65,CODE(MID(TRIM('Demographics'!$A$51)&amp;"AAA",3,1))&lt;=90)))),"'"&amp;'Demographics'!$A$51&amp;"' isn't a valid Excel column letter, so Themefinder can't find this column on the Responses sheet.","")</f>
        <v>0</v>
      </c>
      <c r="F404" s="4" t="s">
        <v>325</v>
      </c>
    </row>
    <row r="405" spans="1:6" ht="75" customHeight="1">
      <c r="A405" t="s">
        <v>216</v>
      </c>
      <c r="B405" t="s">
        <v>163</v>
      </c>
      <c r="C405" t="s">
        <v>324</v>
      </c>
      <c r="D405" t="s">
        <v>165</v>
      </c>
      <c r="E405" s="4">
        <f>IF(AND('Open Questions'!$A$2&lt;&gt;"",NOT(AND(LEN(TRIM('Open Questions'!$A$2))&gt;=1,LEN(TRIM('Open Questions'!$A$2))&lt;=3,AND(CODE(MID(TRIM('Open Questions'!$A$2)&amp;"AAA",1,1))&gt;=65,CODE(MID(TRIM('Open Questions'!$A$2)&amp;"AAA",1,1))&lt;=90),AND(CODE(MID(TRIM('Open Questions'!$A$2)&amp;"AAA",2,1))&gt;=65,CODE(MID(TRIM('Open Questions'!$A$2)&amp;"AAA",2,1))&lt;=90),AND(CODE(MID(TRIM('Open Questions'!$A$2)&amp;"AAA",3,1))&gt;=65,CODE(MID(TRIM('Open Questions'!$A$2)&amp;"AAA",3,1))&lt;=90)))),"'"&amp;'Open Questions'!$A$2&amp;"' isn't a valid Excel column letter, so Themefinder can't find this column on the Responses sheet.","")</f>
        <v>0</v>
      </c>
      <c r="F405" s="4" t="s">
        <v>274</v>
      </c>
    </row>
    <row r="406" spans="1:6" ht="75" customHeight="1">
      <c r="A406" t="s">
        <v>216</v>
      </c>
      <c r="B406" t="s">
        <v>167</v>
      </c>
      <c r="C406" t="s">
        <v>324</v>
      </c>
      <c r="D406" t="s">
        <v>165</v>
      </c>
      <c r="E406" s="4">
        <f>IF(AND('Open Questions'!$A$3&lt;&gt;"",NOT(AND(LEN(TRIM('Open Questions'!$A$3))&gt;=1,LEN(TRIM('Open Questions'!$A$3))&lt;=3,AND(CODE(MID(TRIM('Open Questions'!$A$3)&amp;"AAA",1,1))&gt;=65,CODE(MID(TRIM('Open Questions'!$A$3)&amp;"AAA",1,1))&lt;=90),AND(CODE(MID(TRIM('Open Questions'!$A$3)&amp;"AAA",2,1))&gt;=65,CODE(MID(TRIM('Open Questions'!$A$3)&amp;"AAA",2,1))&lt;=90),AND(CODE(MID(TRIM('Open Questions'!$A$3)&amp;"AAA",3,1))&gt;=65,CODE(MID(TRIM('Open Questions'!$A$3)&amp;"AAA",3,1))&lt;=90)))),"'"&amp;'Open Questions'!$A$3&amp;"' isn't a valid Excel column letter, so Themefinder can't find this column on the Responses sheet.","")</f>
        <v>0</v>
      </c>
      <c r="F406" s="4" t="s">
        <v>274</v>
      </c>
    </row>
    <row r="407" spans="1:6" ht="75" customHeight="1">
      <c r="A407" t="s">
        <v>216</v>
      </c>
      <c r="B407" t="s">
        <v>168</v>
      </c>
      <c r="C407" t="s">
        <v>324</v>
      </c>
      <c r="D407" t="s">
        <v>165</v>
      </c>
      <c r="E407" s="4">
        <f>IF(AND('Open Questions'!$A$4&lt;&gt;"",NOT(AND(LEN(TRIM('Open Questions'!$A$4))&gt;=1,LEN(TRIM('Open Questions'!$A$4))&lt;=3,AND(CODE(MID(TRIM('Open Questions'!$A$4)&amp;"AAA",1,1))&gt;=65,CODE(MID(TRIM('Open Questions'!$A$4)&amp;"AAA",1,1))&lt;=90),AND(CODE(MID(TRIM('Open Questions'!$A$4)&amp;"AAA",2,1))&gt;=65,CODE(MID(TRIM('Open Questions'!$A$4)&amp;"AAA",2,1))&lt;=90),AND(CODE(MID(TRIM('Open Questions'!$A$4)&amp;"AAA",3,1))&gt;=65,CODE(MID(TRIM('Open Questions'!$A$4)&amp;"AAA",3,1))&lt;=90)))),"'"&amp;'Open Questions'!$A$4&amp;"' isn't a valid Excel column letter, so Themefinder can't find this column on the Responses sheet.","")</f>
        <v>0</v>
      </c>
      <c r="F407" s="4" t="s">
        <v>274</v>
      </c>
    </row>
    <row r="408" spans="1:6" ht="75" customHeight="1">
      <c r="A408" t="s">
        <v>216</v>
      </c>
      <c r="B408" t="s">
        <v>169</v>
      </c>
      <c r="C408" t="s">
        <v>324</v>
      </c>
      <c r="D408" t="s">
        <v>165</v>
      </c>
      <c r="E408" s="4">
        <f>IF(AND('Open Questions'!$A$5&lt;&gt;"",NOT(AND(LEN(TRIM('Open Questions'!$A$5))&gt;=1,LEN(TRIM('Open Questions'!$A$5))&lt;=3,AND(CODE(MID(TRIM('Open Questions'!$A$5)&amp;"AAA",1,1))&gt;=65,CODE(MID(TRIM('Open Questions'!$A$5)&amp;"AAA",1,1))&lt;=90),AND(CODE(MID(TRIM('Open Questions'!$A$5)&amp;"AAA",2,1))&gt;=65,CODE(MID(TRIM('Open Questions'!$A$5)&amp;"AAA",2,1))&lt;=90),AND(CODE(MID(TRIM('Open Questions'!$A$5)&amp;"AAA",3,1))&gt;=65,CODE(MID(TRIM('Open Questions'!$A$5)&amp;"AAA",3,1))&lt;=90)))),"'"&amp;'Open Questions'!$A$5&amp;"' isn't a valid Excel column letter, so Themefinder can't find this column on the Responses sheet.","")</f>
        <v>0</v>
      </c>
      <c r="F408" s="4" t="s">
        <v>274</v>
      </c>
    </row>
    <row r="409" spans="1:6" ht="75" customHeight="1">
      <c r="A409" t="s">
        <v>216</v>
      </c>
      <c r="B409" t="s">
        <v>170</v>
      </c>
      <c r="C409" t="s">
        <v>324</v>
      </c>
      <c r="D409" t="s">
        <v>165</v>
      </c>
      <c r="E409" s="4">
        <f>IF(AND('Open Questions'!$A$6&lt;&gt;"",NOT(AND(LEN(TRIM('Open Questions'!$A$6))&gt;=1,LEN(TRIM('Open Questions'!$A$6))&lt;=3,AND(CODE(MID(TRIM('Open Questions'!$A$6)&amp;"AAA",1,1))&gt;=65,CODE(MID(TRIM('Open Questions'!$A$6)&amp;"AAA",1,1))&lt;=90),AND(CODE(MID(TRIM('Open Questions'!$A$6)&amp;"AAA",2,1))&gt;=65,CODE(MID(TRIM('Open Questions'!$A$6)&amp;"AAA",2,1))&lt;=90),AND(CODE(MID(TRIM('Open Questions'!$A$6)&amp;"AAA",3,1))&gt;=65,CODE(MID(TRIM('Open Questions'!$A$6)&amp;"AAA",3,1))&lt;=90)))),"'"&amp;'Open Questions'!$A$6&amp;"' isn't a valid Excel column letter, so Themefinder can't find this column on the Responses sheet.","")</f>
        <v>0</v>
      </c>
      <c r="F409" s="4" t="s">
        <v>274</v>
      </c>
    </row>
    <row r="410" spans="1:6" ht="75" customHeight="1">
      <c r="A410" t="s">
        <v>216</v>
      </c>
      <c r="B410" t="s">
        <v>171</v>
      </c>
      <c r="C410" t="s">
        <v>324</v>
      </c>
      <c r="D410" t="s">
        <v>165</v>
      </c>
      <c r="E410" s="4">
        <f>IF(AND('Open Questions'!$A$7&lt;&gt;"",NOT(AND(LEN(TRIM('Open Questions'!$A$7))&gt;=1,LEN(TRIM('Open Questions'!$A$7))&lt;=3,AND(CODE(MID(TRIM('Open Questions'!$A$7)&amp;"AAA",1,1))&gt;=65,CODE(MID(TRIM('Open Questions'!$A$7)&amp;"AAA",1,1))&lt;=90),AND(CODE(MID(TRIM('Open Questions'!$A$7)&amp;"AAA",2,1))&gt;=65,CODE(MID(TRIM('Open Questions'!$A$7)&amp;"AAA",2,1))&lt;=90),AND(CODE(MID(TRIM('Open Questions'!$A$7)&amp;"AAA",3,1))&gt;=65,CODE(MID(TRIM('Open Questions'!$A$7)&amp;"AAA",3,1))&lt;=90)))),"'"&amp;'Open Questions'!$A$7&amp;"' isn't a valid Excel column letter, so Themefinder can't find this column on the Responses sheet.","")</f>
        <v>0</v>
      </c>
      <c r="F410" s="4" t="s">
        <v>274</v>
      </c>
    </row>
    <row r="411" spans="1:6" ht="75" customHeight="1">
      <c r="A411" t="s">
        <v>216</v>
      </c>
      <c r="B411" t="s">
        <v>172</v>
      </c>
      <c r="C411" t="s">
        <v>324</v>
      </c>
      <c r="D411" t="s">
        <v>165</v>
      </c>
      <c r="E411" s="4">
        <f>IF(AND('Open Questions'!$A$8&lt;&gt;"",NOT(AND(LEN(TRIM('Open Questions'!$A$8))&gt;=1,LEN(TRIM('Open Questions'!$A$8))&lt;=3,AND(CODE(MID(TRIM('Open Questions'!$A$8)&amp;"AAA",1,1))&gt;=65,CODE(MID(TRIM('Open Questions'!$A$8)&amp;"AAA",1,1))&lt;=90),AND(CODE(MID(TRIM('Open Questions'!$A$8)&amp;"AAA",2,1))&gt;=65,CODE(MID(TRIM('Open Questions'!$A$8)&amp;"AAA",2,1))&lt;=90),AND(CODE(MID(TRIM('Open Questions'!$A$8)&amp;"AAA",3,1))&gt;=65,CODE(MID(TRIM('Open Questions'!$A$8)&amp;"AAA",3,1))&lt;=90)))),"'"&amp;'Open Questions'!$A$8&amp;"' isn't a valid Excel column letter, so Themefinder can't find this column on the Responses sheet.","")</f>
        <v>0</v>
      </c>
      <c r="F411" s="4" t="s">
        <v>274</v>
      </c>
    </row>
    <row r="412" spans="1:6" ht="75" customHeight="1">
      <c r="A412" t="s">
        <v>216</v>
      </c>
      <c r="B412" t="s">
        <v>173</v>
      </c>
      <c r="C412" t="s">
        <v>324</v>
      </c>
      <c r="D412" t="s">
        <v>165</v>
      </c>
      <c r="E412" s="4">
        <f>IF(AND('Open Questions'!$A$9&lt;&gt;"",NOT(AND(LEN(TRIM('Open Questions'!$A$9))&gt;=1,LEN(TRIM('Open Questions'!$A$9))&lt;=3,AND(CODE(MID(TRIM('Open Questions'!$A$9)&amp;"AAA",1,1))&gt;=65,CODE(MID(TRIM('Open Questions'!$A$9)&amp;"AAA",1,1))&lt;=90),AND(CODE(MID(TRIM('Open Questions'!$A$9)&amp;"AAA",2,1))&gt;=65,CODE(MID(TRIM('Open Questions'!$A$9)&amp;"AAA",2,1))&lt;=90),AND(CODE(MID(TRIM('Open Questions'!$A$9)&amp;"AAA",3,1))&gt;=65,CODE(MID(TRIM('Open Questions'!$A$9)&amp;"AAA",3,1))&lt;=90)))),"'"&amp;'Open Questions'!$A$9&amp;"' isn't a valid Excel column letter, so Themefinder can't find this column on the Responses sheet.","")</f>
        <v>0</v>
      </c>
      <c r="F412" s="4" t="s">
        <v>274</v>
      </c>
    </row>
    <row r="413" spans="1:6" ht="75" customHeight="1">
      <c r="A413" t="s">
        <v>216</v>
      </c>
      <c r="B413" t="s">
        <v>174</v>
      </c>
      <c r="C413" t="s">
        <v>324</v>
      </c>
      <c r="D413" t="s">
        <v>165</v>
      </c>
      <c r="E413" s="4">
        <f>IF(AND('Open Questions'!$A$10&lt;&gt;"",NOT(AND(LEN(TRIM('Open Questions'!$A$10))&gt;=1,LEN(TRIM('Open Questions'!$A$10))&lt;=3,AND(CODE(MID(TRIM('Open Questions'!$A$10)&amp;"AAA",1,1))&gt;=65,CODE(MID(TRIM('Open Questions'!$A$10)&amp;"AAA",1,1))&lt;=90),AND(CODE(MID(TRIM('Open Questions'!$A$10)&amp;"AAA",2,1))&gt;=65,CODE(MID(TRIM('Open Questions'!$A$10)&amp;"AAA",2,1))&lt;=90),AND(CODE(MID(TRIM('Open Questions'!$A$10)&amp;"AAA",3,1))&gt;=65,CODE(MID(TRIM('Open Questions'!$A$10)&amp;"AAA",3,1))&lt;=90)))),"'"&amp;'Open Questions'!$A$10&amp;"' isn't a valid Excel column letter, so Themefinder can't find this column on the Responses sheet.","")</f>
        <v>0</v>
      </c>
      <c r="F413" s="4" t="s">
        <v>274</v>
      </c>
    </row>
    <row r="414" spans="1:6" ht="75" customHeight="1">
      <c r="A414" t="s">
        <v>216</v>
      </c>
      <c r="B414" t="s">
        <v>175</v>
      </c>
      <c r="C414" t="s">
        <v>324</v>
      </c>
      <c r="D414" t="s">
        <v>165</v>
      </c>
      <c r="E414" s="4">
        <f>IF(AND('Open Questions'!$A$11&lt;&gt;"",NOT(AND(LEN(TRIM('Open Questions'!$A$11))&gt;=1,LEN(TRIM('Open Questions'!$A$11))&lt;=3,AND(CODE(MID(TRIM('Open Questions'!$A$11)&amp;"AAA",1,1))&gt;=65,CODE(MID(TRIM('Open Questions'!$A$11)&amp;"AAA",1,1))&lt;=90),AND(CODE(MID(TRIM('Open Questions'!$A$11)&amp;"AAA",2,1))&gt;=65,CODE(MID(TRIM('Open Questions'!$A$11)&amp;"AAA",2,1))&lt;=90),AND(CODE(MID(TRIM('Open Questions'!$A$11)&amp;"AAA",3,1))&gt;=65,CODE(MID(TRIM('Open Questions'!$A$11)&amp;"AAA",3,1))&lt;=90)))),"'"&amp;'Open Questions'!$A$11&amp;"' isn't a valid Excel column letter, so Themefinder can't find this column on the Responses sheet.","")</f>
        <v>0</v>
      </c>
      <c r="F414" s="4" t="s">
        <v>274</v>
      </c>
    </row>
    <row r="415" spans="1:6" ht="75" customHeight="1">
      <c r="A415" t="s">
        <v>216</v>
      </c>
      <c r="B415" t="s">
        <v>176</v>
      </c>
      <c r="C415" t="s">
        <v>324</v>
      </c>
      <c r="D415" t="s">
        <v>165</v>
      </c>
      <c r="E415" s="4">
        <f>IF(AND('Open Questions'!$A$12&lt;&gt;"",NOT(AND(LEN(TRIM('Open Questions'!$A$12))&gt;=1,LEN(TRIM('Open Questions'!$A$12))&lt;=3,AND(CODE(MID(TRIM('Open Questions'!$A$12)&amp;"AAA",1,1))&gt;=65,CODE(MID(TRIM('Open Questions'!$A$12)&amp;"AAA",1,1))&lt;=90),AND(CODE(MID(TRIM('Open Questions'!$A$12)&amp;"AAA",2,1))&gt;=65,CODE(MID(TRIM('Open Questions'!$A$12)&amp;"AAA",2,1))&lt;=90),AND(CODE(MID(TRIM('Open Questions'!$A$12)&amp;"AAA",3,1))&gt;=65,CODE(MID(TRIM('Open Questions'!$A$12)&amp;"AAA",3,1))&lt;=90)))),"'"&amp;'Open Questions'!$A$12&amp;"' isn't a valid Excel column letter, so Themefinder can't find this column on the Responses sheet.","")</f>
        <v>0</v>
      </c>
      <c r="F415" s="4" t="s">
        <v>274</v>
      </c>
    </row>
    <row r="416" spans="1:6" ht="75" customHeight="1">
      <c r="A416" t="s">
        <v>216</v>
      </c>
      <c r="B416" t="s">
        <v>177</v>
      </c>
      <c r="C416" t="s">
        <v>324</v>
      </c>
      <c r="D416" t="s">
        <v>165</v>
      </c>
      <c r="E416" s="4">
        <f>IF(AND('Open Questions'!$A$13&lt;&gt;"",NOT(AND(LEN(TRIM('Open Questions'!$A$13))&gt;=1,LEN(TRIM('Open Questions'!$A$13))&lt;=3,AND(CODE(MID(TRIM('Open Questions'!$A$13)&amp;"AAA",1,1))&gt;=65,CODE(MID(TRIM('Open Questions'!$A$13)&amp;"AAA",1,1))&lt;=90),AND(CODE(MID(TRIM('Open Questions'!$A$13)&amp;"AAA",2,1))&gt;=65,CODE(MID(TRIM('Open Questions'!$A$13)&amp;"AAA",2,1))&lt;=90),AND(CODE(MID(TRIM('Open Questions'!$A$13)&amp;"AAA",3,1))&gt;=65,CODE(MID(TRIM('Open Questions'!$A$13)&amp;"AAA",3,1))&lt;=90)))),"'"&amp;'Open Questions'!$A$13&amp;"' isn't a valid Excel column letter, so Themefinder can't find this column on the Responses sheet.","")</f>
        <v>0</v>
      </c>
      <c r="F416" s="4" t="s">
        <v>274</v>
      </c>
    </row>
    <row r="417" spans="1:6" ht="75" customHeight="1">
      <c r="A417" t="s">
        <v>216</v>
      </c>
      <c r="B417" t="s">
        <v>178</v>
      </c>
      <c r="C417" t="s">
        <v>324</v>
      </c>
      <c r="D417" t="s">
        <v>165</v>
      </c>
      <c r="E417" s="4">
        <f>IF(AND('Open Questions'!$A$14&lt;&gt;"",NOT(AND(LEN(TRIM('Open Questions'!$A$14))&gt;=1,LEN(TRIM('Open Questions'!$A$14))&lt;=3,AND(CODE(MID(TRIM('Open Questions'!$A$14)&amp;"AAA",1,1))&gt;=65,CODE(MID(TRIM('Open Questions'!$A$14)&amp;"AAA",1,1))&lt;=90),AND(CODE(MID(TRIM('Open Questions'!$A$14)&amp;"AAA",2,1))&gt;=65,CODE(MID(TRIM('Open Questions'!$A$14)&amp;"AAA",2,1))&lt;=90),AND(CODE(MID(TRIM('Open Questions'!$A$14)&amp;"AAA",3,1))&gt;=65,CODE(MID(TRIM('Open Questions'!$A$14)&amp;"AAA",3,1))&lt;=90)))),"'"&amp;'Open Questions'!$A$14&amp;"' isn't a valid Excel column letter, so Themefinder can't find this column on the Responses sheet.","")</f>
        <v>0</v>
      </c>
      <c r="F417" s="4" t="s">
        <v>274</v>
      </c>
    </row>
    <row r="418" spans="1:6" ht="75" customHeight="1">
      <c r="A418" t="s">
        <v>216</v>
      </c>
      <c r="B418" t="s">
        <v>179</v>
      </c>
      <c r="C418" t="s">
        <v>324</v>
      </c>
      <c r="D418" t="s">
        <v>165</v>
      </c>
      <c r="E418" s="4">
        <f>IF(AND('Open Questions'!$A$15&lt;&gt;"",NOT(AND(LEN(TRIM('Open Questions'!$A$15))&gt;=1,LEN(TRIM('Open Questions'!$A$15))&lt;=3,AND(CODE(MID(TRIM('Open Questions'!$A$15)&amp;"AAA",1,1))&gt;=65,CODE(MID(TRIM('Open Questions'!$A$15)&amp;"AAA",1,1))&lt;=90),AND(CODE(MID(TRIM('Open Questions'!$A$15)&amp;"AAA",2,1))&gt;=65,CODE(MID(TRIM('Open Questions'!$A$15)&amp;"AAA",2,1))&lt;=90),AND(CODE(MID(TRIM('Open Questions'!$A$15)&amp;"AAA",3,1))&gt;=65,CODE(MID(TRIM('Open Questions'!$A$15)&amp;"AAA",3,1))&lt;=90)))),"'"&amp;'Open Questions'!$A$15&amp;"' isn't a valid Excel column letter, so Themefinder can't find this column on the Responses sheet.","")</f>
        <v>0</v>
      </c>
      <c r="F418" s="4" t="s">
        <v>274</v>
      </c>
    </row>
    <row r="419" spans="1:6" ht="75" customHeight="1">
      <c r="A419" t="s">
        <v>216</v>
      </c>
      <c r="B419" t="s">
        <v>180</v>
      </c>
      <c r="C419" t="s">
        <v>324</v>
      </c>
      <c r="D419" t="s">
        <v>165</v>
      </c>
      <c r="E419" s="4">
        <f>IF(AND('Open Questions'!$A$16&lt;&gt;"",NOT(AND(LEN(TRIM('Open Questions'!$A$16))&gt;=1,LEN(TRIM('Open Questions'!$A$16))&lt;=3,AND(CODE(MID(TRIM('Open Questions'!$A$16)&amp;"AAA",1,1))&gt;=65,CODE(MID(TRIM('Open Questions'!$A$16)&amp;"AAA",1,1))&lt;=90),AND(CODE(MID(TRIM('Open Questions'!$A$16)&amp;"AAA",2,1))&gt;=65,CODE(MID(TRIM('Open Questions'!$A$16)&amp;"AAA",2,1))&lt;=90),AND(CODE(MID(TRIM('Open Questions'!$A$16)&amp;"AAA",3,1))&gt;=65,CODE(MID(TRIM('Open Questions'!$A$16)&amp;"AAA",3,1))&lt;=90)))),"'"&amp;'Open Questions'!$A$16&amp;"' isn't a valid Excel column letter, so Themefinder can't find this column on the Responses sheet.","")</f>
        <v>0</v>
      </c>
      <c r="F419" s="4" t="s">
        <v>274</v>
      </c>
    </row>
    <row r="420" spans="1:6" ht="75" customHeight="1">
      <c r="A420" t="s">
        <v>216</v>
      </c>
      <c r="B420" t="s">
        <v>181</v>
      </c>
      <c r="C420" t="s">
        <v>324</v>
      </c>
      <c r="D420" t="s">
        <v>165</v>
      </c>
      <c r="E420" s="4">
        <f>IF(AND('Open Questions'!$A$17&lt;&gt;"",NOT(AND(LEN(TRIM('Open Questions'!$A$17))&gt;=1,LEN(TRIM('Open Questions'!$A$17))&lt;=3,AND(CODE(MID(TRIM('Open Questions'!$A$17)&amp;"AAA",1,1))&gt;=65,CODE(MID(TRIM('Open Questions'!$A$17)&amp;"AAA",1,1))&lt;=90),AND(CODE(MID(TRIM('Open Questions'!$A$17)&amp;"AAA",2,1))&gt;=65,CODE(MID(TRIM('Open Questions'!$A$17)&amp;"AAA",2,1))&lt;=90),AND(CODE(MID(TRIM('Open Questions'!$A$17)&amp;"AAA",3,1))&gt;=65,CODE(MID(TRIM('Open Questions'!$A$17)&amp;"AAA",3,1))&lt;=90)))),"'"&amp;'Open Questions'!$A$17&amp;"' isn't a valid Excel column letter, so Themefinder can't find this column on the Responses sheet.","")</f>
        <v>0</v>
      </c>
      <c r="F420" s="4" t="s">
        <v>274</v>
      </c>
    </row>
    <row r="421" spans="1:6" ht="75" customHeight="1">
      <c r="A421" t="s">
        <v>216</v>
      </c>
      <c r="B421" t="s">
        <v>182</v>
      </c>
      <c r="C421" t="s">
        <v>324</v>
      </c>
      <c r="D421" t="s">
        <v>165</v>
      </c>
      <c r="E421" s="4">
        <f>IF(AND('Open Questions'!$A$18&lt;&gt;"",NOT(AND(LEN(TRIM('Open Questions'!$A$18))&gt;=1,LEN(TRIM('Open Questions'!$A$18))&lt;=3,AND(CODE(MID(TRIM('Open Questions'!$A$18)&amp;"AAA",1,1))&gt;=65,CODE(MID(TRIM('Open Questions'!$A$18)&amp;"AAA",1,1))&lt;=90),AND(CODE(MID(TRIM('Open Questions'!$A$18)&amp;"AAA",2,1))&gt;=65,CODE(MID(TRIM('Open Questions'!$A$18)&amp;"AAA",2,1))&lt;=90),AND(CODE(MID(TRIM('Open Questions'!$A$18)&amp;"AAA",3,1))&gt;=65,CODE(MID(TRIM('Open Questions'!$A$18)&amp;"AAA",3,1))&lt;=90)))),"'"&amp;'Open Questions'!$A$18&amp;"' isn't a valid Excel column letter, so Themefinder can't find this column on the Responses sheet.","")</f>
        <v>0</v>
      </c>
      <c r="F421" s="4" t="s">
        <v>274</v>
      </c>
    </row>
    <row r="422" spans="1:6" ht="75" customHeight="1">
      <c r="A422" t="s">
        <v>216</v>
      </c>
      <c r="B422" t="s">
        <v>183</v>
      </c>
      <c r="C422" t="s">
        <v>324</v>
      </c>
      <c r="D422" t="s">
        <v>165</v>
      </c>
      <c r="E422" s="4">
        <f>IF(AND('Open Questions'!$A$19&lt;&gt;"",NOT(AND(LEN(TRIM('Open Questions'!$A$19))&gt;=1,LEN(TRIM('Open Questions'!$A$19))&lt;=3,AND(CODE(MID(TRIM('Open Questions'!$A$19)&amp;"AAA",1,1))&gt;=65,CODE(MID(TRIM('Open Questions'!$A$19)&amp;"AAA",1,1))&lt;=90),AND(CODE(MID(TRIM('Open Questions'!$A$19)&amp;"AAA",2,1))&gt;=65,CODE(MID(TRIM('Open Questions'!$A$19)&amp;"AAA",2,1))&lt;=90),AND(CODE(MID(TRIM('Open Questions'!$A$19)&amp;"AAA",3,1))&gt;=65,CODE(MID(TRIM('Open Questions'!$A$19)&amp;"AAA",3,1))&lt;=90)))),"'"&amp;'Open Questions'!$A$19&amp;"' isn't a valid Excel column letter, so Themefinder can't find this column on the Responses sheet.","")</f>
        <v>0</v>
      </c>
      <c r="F422" s="4" t="s">
        <v>274</v>
      </c>
    </row>
    <row r="423" spans="1:6" ht="75" customHeight="1">
      <c r="A423" t="s">
        <v>216</v>
      </c>
      <c r="B423" t="s">
        <v>184</v>
      </c>
      <c r="C423" t="s">
        <v>324</v>
      </c>
      <c r="D423" t="s">
        <v>165</v>
      </c>
      <c r="E423" s="4">
        <f>IF(AND('Open Questions'!$A$20&lt;&gt;"",NOT(AND(LEN(TRIM('Open Questions'!$A$20))&gt;=1,LEN(TRIM('Open Questions'!$A$20))&lt;=3,AND(CODE(MID(TRIM('Open Questions'!$A$20)&amp;"AAA",1,1))&gt;=65,CODE(MID(TRIM('Open Questions'!$A$20)&amp;"AAA",1,1))&lt;=90),AND(CODE(MID(TRIM('Open Questions'!$A$20)&amp;"AAA",2,1))&gt;=65,CODE(MID(TRIM('Open Questions'!$A$20)&amp;"AAA",2,1))&lt;=90),AND(CODE(MID(TRIM('Open Questions'!$A$20)&amp;"AAA",3,1))&gt;=65,CODE(MID(TRIM('Open Questions'!$A$20)&amp;"AAA",3,1))&lt;=90)))),"'"&amp;'Open Questions'!$A$20&amp;"' isn't a valid Excel column letter, so Themefinder can't find this column on the Responses sheet.","")</f>
        <v>0</v>
      </c>
      <c r="F423" s="4" t="s">
        <v>274</v>
      </c>
    </row>
    <row r="424" spans="1:6" ht="75" customHeight="1">
      <c r="A424" t="s">
        <v>216</v>
      </c>
      <c r="B424" t="s">
        <v>185</v>
      </c>
      <c r="C424" t="s">
        <v>324</v>
      </c>
      <c r="D424" t="s">
        <v>165</v>
      </c>
      <c r="E424" s="4">
        <f>IF(AND('Open Questions'!$A$21&lt;&gt;"",NOT(AND(LEN(TRIM('Open Questions'!$A$21))&gt;=1,LEN(TRIM('Open Questions'!$A$21))&lt;=3,AND(CODE(MID(TRIM('Open Questions'!$A$21)&amp;"AAA",1,1))&gt;=65,CODE(MID(TRIM('Open Questions'!$A$21)&amp;"AAA",1,1))&lt;=90),AND(CODE(MID(TRIM('Open Questions'!$A$21)&amp;"AAA",2,1))&gt;=65,CODE(MID(TRIM('Open Questions'!$A$21)&amp;"AAA",2,1))&lt;=90),AND(CODE(MID(TRIM('Open Questions'!$A$21)&amp;"AAA",3,1))&gt;=65,CODE(MID(TRIM('Open Questions'!$A$21)&amp;"AAA",3,1))&lt;=90)))),"'"&amp;'Open Questions'!$A$21&amp;"' isn't a valid Excel column letter, so Themefinder can't find this column on the Responses sheet.","")</f>
        <v>0</v>
      </c>
      <c r="F424" s="4" t="s">
        <v>274</v>
      </c>
    </row>
    <row r="425" spans="1:6" ht="75" customHeight="1">
      <c r="A425" t="s">
        <v>216</v>
      </c>
      <c r="B425" t="s">
        <v>186</v>
      </c>
      <c r="C425" t="s">
        <v>324</v>
      </c>
      <c r="D425" t="s">
        <v>165</v>
      </c>
      <c r="E425" s="4">
        <f>IF(AND('Open Questions'!$A$22&lt;&gt;"",NOT(AND(LEN(TRIM('Open Questions'!$A$22))&gt;=1,LEN(TRIM('Open Questions'!$A$22))&lt;=3,AND(CODE(MID(TRIM('Open Questions'!$A$22)&amp;"AAA",1,1))&gt;=65,CODE(MID(TRIM('Open Questions'!$A$22)&amp;"AAA",1,1))&lt;=90),AND(CODE(MID(TRIM('Open Questions'!$A$22)&amp;"AAA",2,1))&gt;=65,CODE(MID(TRIM('Open Questions'!$A$22)&amp;"AAA",2,1))&lt;=90),AND(CODE(MID(TRIM('Open Questions'!$A$22)&amp;"AAA",3,1))&gt;=65,CODE(MID(TRIM('Open Questions'!$A$22)&amp;"AAA",3,1))&lt;=90)))),"'"&amp;'Open Questions'!$A$22&amp;"' isn't a valid Excel column letter, so Themefinder can't find this column on the Responses sheet.","")</f>
        <v>0</v>
      </c>
      <c r="F425" s="4" t="s">
        <v>274</v>
      </c>
    </row>
    <row r="426" spans="1:6" ht="75" customHeight="1">
      <c r="A426" t="s">
        <v>216</v>
      </c>
      <c r="B426" t="s">
        <v>187</v>
      </c>
      <c r="C426" t="s">
        <v>324</v>
      </c>
      <c r="D426" t="s">
        <v>165</v>
      </c>
      <c r="E426" s="4">
        <f>IF(AND('Open Questions'!$A$23&lt;&gt;"",NOT(AND(LEN(TRIM('Open Questions'!$A$23))&gt;=1,LEN(TRIM('Open Questions'!$A$23))&lt;=3,AND(CODE(MID(TRIM('Open Questions'!$A$23)&amp;"AAA",1,1))&gt;=65,CODE(MID(TRIM('Open Questions'!$A$23)&amp;"AAA",1,1))&lt;=90),AND(CODE(MID(TRIM('Open Questions'!$A$23)&amp;"AAA",2,1))&gt;=65,CODE(MID(TRIM('Open Questions'!$A$23)&amp;"AAA",2,1))&lt;=90),AND(CODE(MID(TRIM('Open Questions'!$A$23)&amp;"AAA",3,1))&gt;=65,CODE(MID(TRIM('Open Questions'!$A$23)&amp;"AAA",3,1))&lt;=90)))),"'"&amp;'Open Questions'!$A$23&amp;"' isn't a valid Excel column letter, so Themefinder can't find this column on the Responses sheet.","")</f>
        <v>0</v>
      </c>
      <c r="F426" s="4" t="s">
        <v>274</v>
      </c>
    </row>
    <row r="427" spans="1:6" ht="75" customHeight="1">
      <c r="A427" t="s">
        <v>216</v>
      </c>
      <c r="B427" t="s">
        <v>188</v>
      </c>
      <c r="C427" t="s">
        <v>324</v>
      </c>
      <c r="D427" t="s">
        <v>165</v>
      </c>
      <c r="E427" s="4">
        <f>IF(AND('Open Questions'!$A$24&lt;&gt;"",NOT(AND(LEN(TRIM('Open Questions'!$A$24))&gt;=1,LEN(TRIM('Open Questions'!$A$24))&lt;=3,AND(CODE(MID(TRIM('Open Questions'!$A$24)&amp;"AAA",1,1))&gt;=65,CODE(MID(TRIM('Open Questions'!$A$24)&amp;"AAA",1,1))&lt;=90),AND(CODE(MID(TRIM('Open Questions'!$A$24)&amp;"AAA",2,1))&gt;=65,CODE(MID(TRIM('Open Questions'!$A$24)&amp;"AAA",2,1))&lt;=90),AND(CODE(MID(TRIM('Open Questions'!$A$24)&amp;"AAA",3,1))&gt;=65,CODE(MID(TRIM('Open Questions'!$A$24)&amp;"AAA",3,1))&lt;=90)))),"'"&amp;'Open Questions'!$A$24&amp;"' isn't a valid Excel column letter, so Themefinder can't find this column on the Responses sheet.","")</f>
        <v>0</v>
      </c>
      <c r="F427" s="4" t="s">
        <v>274</v>
      </c>
    </row>
    <row r="428" spans="1:6" ht="75" customHeight="1">
      <c r="A428" t="s">
        <v>216</v>
      </c>
      <c r="B428" t="s">
        <v>189</v>
      </c>
      <c r="C428" t="s">
        <v>324</v>
      </c>
      <c r="D428" t="s">
        <v>165</v>
      </c>
      <c r="E428" s="4">
        <f>IF(AND('Open Questions'!$A$25&lt;&gt;"",NOT(AND(LEN(TRIM('Open Questions'!$A$25))&gt;=1,LEN(TRIM('Open Questions'!$A$25))&lt;=3,AND(CODE(MID(TRIM('Open Questions'!$A$25)&amp;"AAA",1,1))&gt;=65,CODE(MID(TRIM('Open Questions'!$A$25)&amp;"AAA",1,1))&lt;=90),AND(CODE(MID(TRIM('Open Questions'!$A$25)&amp;"AAA",2,1))&gt;=65,CODE(MID(TRIM('Open Questions'!$A$25)&amp;"AAA",2,1))&lt;=90),AND(CODE(MID(TRIM('Open Questions'!$A$25)&amp;"AAA",3,1))&gt;=65,CODE(MID(TRIM('Open Questions'!$A$25)&amp;"AAA",3,1))&lt;=90)))),"'"&amp;'Open Questions'!$A$25&amp;"' isn't a valid Excel column letter, so Themefinder can't find this column on the Responses sheet.","")</f>
        <v>0</v>
      </c>
      <c r="F428" s="4" t="s">
        <v>274</v>
      </c>
    </row>
    <row r="429" spans="1:6" ht="75" customHeight="1">
      <c r="A429" t="s">
        <v>216</v>
      </c>
      <c r="B429" t="s">
        <v>190</v>
      </c>
      <c r="C429" t="s">
        <v>324</v>
      </c>
      <c r="D429" t="s">
        <v>165</v>
      </c>
      <c r="E429" s="4">
        <f>IF(AND('Open Questions'!$A$26&lt;&gt;"",NOT(AND(LEN(TRIM('Open Questions'!$A$26))&gt;=1,LEN(TRIM('Open Questions'!$A$26))&lt;=3,AND(CODE(MID(TRIM('Open Questions'!$A$26)&amp;"AAA",1,1))&gt;=65,CODE(MID(TRIM('Open Questions'!$A$26)&amp;"AAA",1,1))&lt;=90),AND(CODE(MID(TRIM('Open Questions'!$A$26)&amp;"AAA",2,1))&gt;=65,CODE(MID(TRIM('Open Questions'!$A$26)&amp;"AAA",2,1))&lt;=90),AND(CODE(MID(TRIM('Open Questions'!$A$26)&amp;"AAA",3,1))&gt;=65,CODE(MID(TRIM('Open Questions'!$A$26)&amp;"AAA",3,1))&lt;=90)))),"'"&amp;'Open Questions'!$A$26&amp;"' isn't a valid Excel column letter, so Themefinder can't find this column on the Responses sheet.","")</f>
        <v>0</v>
      </c>
      <c r="F429" s="4" t="s">
        <v>274</v>
      </c>
    </row>
    <row r="430" spans="1:6" ht="75" customHeight="1">
      <c r="A430" t="s">
        <v>216</v>
      </c>
      <c r="B430" t="s">
        <v>191</v>
      </c>
      <c r="C430" t="s">
        <v>324</v>
      </c>
      <c r="D430" t="s">
        <v>165</v>
      </c>
      <c r="E430" s="4">
        <f>IF(AND('Open Questions'!$A$27&lt;&gt;"",NOT(AND(LEN(TRIM('Open Questions'!$A$27))&gt;=1,LEN(TRIM('Open Questions'!$A$27))&lt;=3,AND(CODE(MID(TRIM('Open Questions'!$A$27)&amp;"AAA",1,1))&gt;=65,CODE(MID(TRIM('Open Questions'!$A$27)&amp;"AAA",1,1))&lt;=90),AND(CODE(MID(TRIM('Open Questions'!$A$27)&amp;"AAA",2,1))&gt;=65,CODE(MID(TRIM('Open Questions'!$A$27)&amp;"AAA",2,1))&lt;=90),AND(CODE(MID(TRIM('Open Questions'!$A$27)&amp;"AAA",3,1))&gt;=65,CODE(MID(TRIM('Open Questions'!$A$27)&amp;"AAA",3,1))&lt;=90)))),"'"&amp;'Open Questions'!$A$27&amp;"' isn't a valid Excel column letter, so Themefinder can't find this column on the Responses sheet.","")</f>
        <v>0</v>
      </c>
      <c r="F430" s="4" t="s">
        <v>274</v>
      </c>
    </row>
    <row r="431" spans="1:6" ht="75" customHeight="1">
      <c r="A431" t="s">
        <v>216</v>
      </c>
      <c r="B431" t="s">
        <v>192</v>
      </c>
      <c r="C431" t="s">
        <v>324</v>
      </c>
      <c r="D431" t="s">
        <v>165</v>
      </c>
      <c r="E431" s="4">
        <f>IF(AND('Open Questions'!$A$28&lt;&gt;"",NOT(AND(LEN(TRIM('Open Questions'!$A$28))&gt;=1,LEN(TRIM('Open Questions'!$A$28))&lt;=3,AND(CODE(MID(TRIM('Open Questions'!$A$28)&amp;"AAA",1,1))&gt;=65,CODE(MID(TRIM('Open Questions'!$A$28)&amp;"AAA",1,1))&lt;=90),AND(CODE(MID(TRIM('Open Questions'!$A$28)&amp;"AAA",2,1))&gt;=65,CODE(MID(TRIM('Open Questions'!$A$28)&amp;"AAA",2,1))&lt;=90),AND(CODE(MID(TRIM('Open Questions'!$A$28)&amp;"AAA",3,1))&gt;=65,CODE(MID(TRIM('Open Questions'!$A$28)&amp;"AAA",3,1))&lt;=90)))),"'"&amp;'Open Questions'!$A$28&amp;"' isn't a valid Excel column letter, so Themefinder can't find this column on the Responses sheet.","")</f>
        <v>0</v>
      </c>
      <c r="F431" s="4" t="s">
        <v>274</v>
      </c>
    </row>
    <row r="432" spans="1:6" ht="75" customHeight="1">
      <c r="A432" t="s">
        <v>216</v>
      </c>
      <c r="B432" t="s">
        <v>193</v>
      </c>
      <c r="C432" t="s">
        <v>324</v>
      </c>
      <c r="D432" t="s">
        <v>165</v>
      </c>
      <c r="E432" s="4">
        <f>IF(AND('Open Questions'!$A$29&lt;&gt;"",NOT(AND(LEN(TRIM('Open Questions'!$A$29))&gt;=1,LEN(TRIM('Open Questions'!$A$29))&lt;=3,AND(CODE(MID(TRIM('Open Questions'!$A$29)&amp;"AAA",1,1))&gt;=65,CODE(MID(TRIM('Open Questions'!$A$29)&amp;"AAA",1,1))&lt;=90),AND(CODE(MID(TRIM('Open Questions'!$A$29)&amp;"AAA",2,1))&gt;=65,CODE(MID(TRIM('Open Questions'!$A$29)&amp;"AAA",2,1))&lt;=90),AND(CODE(MID(TRIM('Open Questions'!$A$29)&amp;"AAA",3,1))&gt;=65,CODE(MID(TRIM('Open Questions'!$A$29)&amp;"AAA",3,1))&lt;=90)))),"'"&amp;'Open Questions'!$A$29&amp;"' isn't a valid Excel column letter, so Themefinder can't find this column on the Responses sheet.","")</f>
        <v>0</v>
      </c>
      <c r="F432" s="4" t="s">
        <v>274</v>
      </c>
    </row>
    <row r="433" spans="1:6" ht="75" customHeight="1">
      <c r="A433" t="s">
        <v>216</v>
      </c>
      <c r="B433" t="s">
        <v>194</v>
      </c>
      <c r="C433" t="s">
        <v>324</v>
      </c>
      <c r="D433" t="s">
        <v>165</v>
      </c>
      <c r="E433" s="4">
        <f>IF(AND('Open Questions'!$A$30&lt;&gt;"",NOT(AND(LEN(TRIM('Open Questions'!$A$30))&gt;=1,LEN(TRIM('Open Questions'!$A$30))&lt;=3,AND(CODE(MID(TRIM('Open Questions'!$A$30)&amp;"AAA",1,1))&gt;=65,CODE(MID(TRIM('Open Questions'!$A$30)&amp;"AAA",1,1))&lt;=90),AND(CODE(MID(TRIM('Open Questions'!$A$30)&amp;"AAA",2,1))&gt;=65,CODE(MID(TRIM('Open Questions'!$A$30)&amp;"AAA",2,1))&lt;=90),AND(CODE(MID(TRIM('Open Questions'!$A$30)&amp;"AAA",3,1))&gt;=65,CODE(MID(TRIM('Open Questions'!$A$30)&amp;"AAA",3,1))&lt;=90)))),"'"&amp;'Open Questions'!$A$30&amp;"' isn't a valid Excel column letter, so Themefinder can't find this column on the Responses sheet.","")</f>
        <v>0</v>
      </c>
      <c r="F433" s="4" t="s">
        <v>274</v>
      </c>
    </row>
    <row r="434" spans="1:6" ht="75" customHeight="1">
      <c r="A434" t="s">
        <v>216</v>
      </c>
      <c r="B434" t="s">
        <v>195</v>
      </c>
      <c r="C434" t="s">
        <v>324</v>
      </c>
      <c r="D434" t="s">
        <v>165</v>
      </c>
      <c r="E434" s="4">
        <f>IF(AND('Open Questions'!$A$31&lt;&gt;"",NOT(AND(LEN(TRIM('Open Questions'!$A$31))&gt;=1,LEN(TRIM('Open Questions'!$A$31))&lt;=3,AND(CODE(MID(TRIM('Open Questions'!$A$31)&amp;"AAA",1,1))&gt;=65,CODE(MID(TRIM('Open Questions'!$A$31)&amp;"AAA",1,1))&lt;=90),AND(CODE(MID(TRIM('Open Questions'!$A$31)&amp;"AAA",2,1))&gt;=65,CODE(MID(TRIM('Open Questions'!$A$31)&amp;"AAA",2,1))&lt;=90),AND(CODE(MID(TRIM('Open Questions'!$A$31)&amp;"AAA",3,1))&gt;=65,CODE(MID(TRIM('Open Questions'!$A$31)&amp;"AAA",3,1))&lt;=90)))),"'"&amp;'Open Questions'!$A$31&amp;"' isn't a valid Excel column letter, so Themefinder can't find this column on the Responses sheet.","")</f>
        <v>0</v>
      </c>
      <c r="F434" s="4" t="s">
        <v>274</v>
      </c>
    </row>
    <row r="435" spans="1:6" ht="75" customHeight="1">
      <c r="A435" t="s">
        <v>216</v>
      </c>
      <c r="B435" t="s">
        <v>196</v>
      </c>
      <c r="C435" t="s">
        <v>324</v>
      </c>
      <c r="D435" t="s">
        <v>165</v>
      </c>
      <c r="E435" s="4">
        <f>IF(AND('Open Questions'!$A$32&lt;&gt;"",NOT(AND(LEN(TRIM('Open Questions'!$A$32))&gt;=1,LEN(TRIM('Open Questions'!$A$32))&lt;=3,AND(CODE(MID(TRIM('Open Questions'!$A$32)&amp;"AAA",1,1))&gt;=65,CODE(MID(TRIM('Open Questions'!$A$32)&amp;"AAA",1,1))&lt;=90),AND(CODE(MID(TRIM('Open Questions'!$A$32)&amp;"AAA",2,1))&gt;=65,CODE(MID(TRIM('Open Questions'!$A$32)&amp;"AAA",2,1))&lt;=90),AND(CODE(MID(TRIM('Open Questions'!$A$32)&amp;"AAA",3,1))&gt;=65,CODE(MID(TRIM('Open Questions'!$A$32)&amp;"AAA",3,1))&lt;=90)))),"'"&amp;'Open Questions'!$A$32&amp;"' isn't a valid Excel column letter, so Themefinder can't find this column on the Responses sheet.","")</f>
        <v>0</v>
      </c>
      <c r="F435" s="4" t="s">
        <v>274</v>
      </c>
    </row>
    <row r="436" spans="1:6" ht="75" customHeight="1">
      <c r="A436" t="s">
        <v>216</v>
      </c>
      <c r="B436" t="s">
        <v>197</v>
      </c>
      <c r="C436" t="s">
        <v>324</v>
      </c>
      <c r="D436" t="s">
        <v>165</v>
      </c>
      <c r="E436" s="4">
        <f>IF(AND('Open Questions'!$A$33&lt;&gt;"",NOT(AND(LEN(TRIM('Open Questions'!$A$33))&gt;=1,LEN(TRIM('Open Questions'!$A$33))&lt;=3,AND(CODE(MID(TRIM('Open Questions'!$A$33)&amp;"AAA",1,1))&gt;=65,CODE(MID(TRIM('Open Questions'!$A$33)&amp;"AAA",1,1))&lt;=90),AND(CODE(MID(TRIM('Open Questions'!$A$33)&amp;"AAA",2,1))&gt;=65,CODE(MID(TRIM('Open Questions'!$A$33)&amp;"AAA",2,1))&lt;=90),AND(CODE(MID(TRIM('Open Questions'!$A$33)&amp;"AAA",3,1))&gt;=65,CODE(MID(TRIM('Open Questions'!$A$33)&amp;"AAA",3,1))&lt;=90)))),"'"&amp;'Open Questions'!$A$33&amp;"' isn't a valid Excel column letter, so Themefinder can't find this column on the Responses sheet.","")</f>
        <v>0</v>
      </c>
      <c r="F436" s="4" t="s">
        <v>274</v>
      </c>
    </row>
    <row r="437" spans="1:6" ht="75" customHeight="1">
      <c r="A437" t="s">
        <v>216</v>
      </c>
      <c r="B437" t="s">
        <v>198</v>
      </c>
      <c r="C437" t="s">
        <v>324</v>
      </c>
      <c r="D437" t="s">
        <v>165</v>
      </c>
      <c r="E437" s="4">
        <f>IF(AND('Open Questions'!$A$34&lt;&gt;"",NOT(AND(LEN(TRIM('Open Questions'!$A$34))&gt;=1,LEN(TRIM('Open Questions'!$A$34))&lt;=3,AND(CODE(MID(TRIM('Open Questions'!$A$34)&amp;"AAA",1,1))&gt;=65,CODE(MID(TRIM('Open Questions'!$A$34)&amp;"AAA",1,1))&lt;=90),AND(CODE(MID(TRIM('Open Questions'!$A$34)&amp;"AAA",2,1))&gt;=65,CODE(MID(TRIM('Open Questions'!$A$34)&amp;"AAA",2,1))&lt;=90),AND(CODE(MID(TRIM('Open Questions'!$A$34)&amp;"AAA",3,1))&gt;=65,CODE(MID(TRIM('Open Questions'!$A$34)&amp;"AAA",3,1))&lt;=90)))),"'"&amp;'Open Questions'!$A$34&amp;"' isn't a valid Excel column letter, so Themefinder can't find this column on the Responses sheet.","")</f>
        <v>0</v>
      </c>
      <c r="F437" s="4" t="s">
        <v>274</v>
      </c>
    </row>
    <row r="438" spans="1:6" ht="75" customHeight="1">
      <c r="A438" t="s">
        <v>216</v>
      </c>
      <c r="B438" t="s">
        <v>199</v>
      </c>
      <c r="C438" t="s">
        <v>324</v>
      </c>
      <c r="D438" t="s">
        <v>165</v>
      </c>
      <c r="E438" s="4">
        <f>IF(AND('Open Questions'!$A$35&lt;&gt;"",NOT(AND(LEN(TRIM('Open Questions'!$A$35))&gt;=1,LEN(TRIM('Open Questions'!$A$35))&lt;=3,AND(CODE(MID(TRIM('Open Questions'!$A$35)&amp;"AAA",1,1))&gt;=65,CODE(MID(TRIM('Open Questions'!$A$35)&amp;"AAA",1,1))&lt;=90),AND(CODE(MID(TRIM('Open Questions'!$A$35)&amp;"AAA",2,1))&gt;=65,CODE(MID(TRIM('Open Questions'!$A$35)&amp;"AAA",2,1))&lt;=90),AND(CODE(MID(TRIM('Open Questions'!$A$35)&amp;"AAA",3,1))&gt;=65,CODE(MID(TRIM('Open Questions'!$A$35)&amp;"AAA",3,1))&lt;=90)))),"'"&amp;'Open Questions'!$A$35&amp;"' isn't a valid Excel column letter, so Themefinder can't find this column on the Responses sheet.","")</f>
        <v>0</v>
      </c>
      <c r="F438" s="4" t="s">
        <v>274</v>
      </c>
    </row>
    <row r="439" spans="1:6" ht="75" customHeight="1">
      <c r="A439" t="s">
        <v>216</v>
      </c>
      <c r="B439" t="s">
        <v>200</v>
      </c>
      <c r="C439" t="s">
        <v>324</v>
      </c>
      <c r="D439" t="s">
        <v>165</v>
      </c>
      <c r="E439" s="4">
        <f>IF(AND('Open Questions'!$A$36&lt;&gt;"",NOT(AND(LEN(TRIM('Open Questions'!$A$36))&gt;=1,LEN(TRIM('Open Questions'!$A$36))&lt;=3,AND(CODE(MID(TRIM('Open Questions'!$A$36)&amp;"AAA",1,1))&gt;=65,CODE(MID(TRIM('Open Questions'!$A$36)&amp;"AAA",1,1))&lt;=90),AND(CODE(MID(TRIM('Open Questions'!$A$36)&amp;"AAA",2,1))&gt;=65,CODE(MID(TRIM('Open Questions'!$A$36)&amp;"AAA",2,1))&lt;=90),AND(CODE(MID(TRIM('Open Questions'!$A$36)&amp;"AAA",3,1))&gt;=65,CODE(MID(TRIM('Open Questions'!$A$36)&amp;"AAA",3,1))&lt;=90)))),"'"&amp;'Open Questions'!$A$36&amp;"' isn't a valid Excel column letter, so Themefinder can't find this column on the Responses sheet.","")</f>
        <v>0</v>
      </c>
      <c r="F439" s="4" t="s">
        <v>274</v>
      </c>
    </row>
    <row r="440" spans="1:6" ht="75" customHeight="1">
      <c r="A440" t="s">
        <v>216</v>
      </c>
      <c r="B440" t="s">
        <v>201</v>
      </c>
      <c r="C440" t="s">
        <v>324</v>
      </c>
      <c r="D440" t="s">
        <v>165</v>
      </c>
      <c r="E440" s="4">
        <f>IF(AND('Open Questions'!$A$37&lt;&gt;"",NOT(AND(LEN(TRIM('Open Questions'!$A$37))&gt;=1,LEN(TRIM('Open Questions'!$A$37))&lt;=3,AND(CODE(MID(TRIM('Open Questions'!$A$37)&amp;"AAA",1,1))&gt;=65,CODE(MID(TRIM('Open Questions'!$A$37)&amp;"AAA",1,1))&lt;=90),AND(CODE(MID(TRIM('Open Questions'!$A$37)&amp;"AAA",2,1))&gt;=65,CODE(MID(TRIM('Open Questions'!$A$37)&amp;"AAA",2,1))&lt;=90),AND(CODE(MID(TRIM('Open Questions'!$A$37)&amp;"AAA",3,1))&gt;=65,CODE(MID(TRIM('Open Questions'!$A$37)&amp;"AAA",3,1))&lt;=90)))),"'"&amp;'Open Questions'!$A$37&amp;"' isn't a valid Excel column letter, so Themefinder can't find this column on the Responses sheet.","")</f>
        <v>0</v>
      </c>
      <c r="F440" s="4" t="s">
        <v>274</v>
      </c>
    </row>
    <row r="441" spans="1:6" ht="75" customHeight="1">
      <c r="A441" t="s">
        <v>216</v>
      </c>
      <c r="B441" t="s">
        <v>202</v>
      </c>
      <c r="C441" t="s">
        <v>324</v>
      </c>
      <c r="D441" t="s">
        <v>165</v>
      </c>
      <c r="E441" s="4">
        <f>IF(AND('Open Questions'!$A$38&lt;&gt;"",NOT(AND(LEN(TRIM('Open Questions'!$A$38))&gt;=1,LEN(TRIM('Open Questions'!$A$38))&lt;=3,AND(CODE(MID(TRIM('Open Questions'!$A$38)&amp;"AAA",1,1))&gt;=65,CODE(MID(TRIM('Open Questions'!$A$38)&amp;"AAA",1,1))&lt;=90),AND(CODE(MID(TRIM('Open Questions'!$A$38)&amp;"AAA",2,1))&gt;=65,CODE(MID(TRIM('Open Questions'!$A$38)&amp;"AAA",2,1))&lt;=90),AND(CODE(MID(TRIM('Open Questions'!$A$38)&amp;"AAA",3,1))&gt;=65,CODE(MID(TRIM('Open Questions'!$A$38)&amp;"AAA",3,1))&lt;=90)))),"'"&amp;'Open Questions'!$A$38&amp;"' isn't a valid Excel column letter, so Themefinder can't find this column on the Responses sheet.","")</f>
        <v>0</v>
      </c>
      <c r="F441" s="4" t="s">
        <v>274</v>
      </c>
    </row>
    <row r="442" spans="1:6" ht="75" customHeight="1">
      <c r="A442" t="s">
        <v>216</v>
      </c>
      <c r="B442" t="s">
        <v>203</v>
      </c>
      <c r="C442" t="s">
        <v>324</v>
      </c>
      <c r="D442" t="s">
        <v>165</v>
      </c>
      <c r="E442" s="4">
        <f>IF(AND('Open Questions'!$A$39&lt;&gt;"",NOT(AND(LEN(TRIM('Open Questions'!$A$39))&gt;=1,LEN(TRIM('Open Questions'!$A$39))&lt;=3,AND(CODE(MID(TRIM('Open Questions'!$A$39)&amp;"AAA",1,1))&gt;=65,CODE(MID(TRIM('Open Questions'!$A$39)&amp;"AAA",1,1))&lt;=90),AND(CODE(MID(TRIM('Open Questions'!$A$39)&amp;"AAA",2,1))&gt;=65,CODE(MID(TRIM('Open Questions'!$A$39)&amp;"AAA",2,1))&lt;=90),AND(CODE(MID(TRIM('Open Questions'!$A$39)&amp;"AAA",3,1))&gt;=65,CODE(MID(TRIM('Open Questions'!$A$39)&amp;"AAA",3,1))&lt;=90)))),"'"&amp;'Open Questions'!$A$39&amp;"' isn't a valid Excel column letter, so Themefinder can't find this column on the Responses sheet.","")</f>
        <v>0</v>
      </c>
      <c r="F442" s="4" t="s">
        <v>274</v>
      </c>
    </row>
    <row r="443" spans="1:6" ht="75" customHeight="1">
      <c r="A443" t="s">
        <v>216</v>
      </c>
      <c r="B443" t="s">
        <v>204</v>
      </c>
      <c r="C443" t="s">
        <v>324</v>
      </c>
      <c r="D443" t="s">
        <v>165</v>
      </c>
      <c r="E443" s="4">
        <f>IF(AND('Open Questions'!$A$40&lt;&gt;"",NOT(AND(LEN(TRIM('Open Questions'!$A$40))&gt;=1,LEN(TRIM('Open Questions'!$A$40))&lt;=3,AND(CODE(MID(TRIM('Open Questions'!$A$40)&amp;"AAA",1,1))&gt;=65,CODE(MID(TRIM('Open Questions'!$A$40)&amp;"AAA",1,1))&lt;=90),AND(CODE(MID(TRIM('Open Questions'!$A$40)&amp;"AAA",2,1))&gt;=65,CODE(MID(TRIM('Open Questions'!$A$40)&amp;"AAA",2,1))&lt;=90),AND(CODE(MID(TRIM('Open Questions'!$A$40)&amp;"AAA",3,1))&gt;=65,CODE(MID(TRIM('Open Questions'!$A$40)&amp;"AAA",3,1))&lt;=90)))),"'"&amp;'Open Questions'!$A$40&amp;"' isn't a valid Excel column letter, so Themefinder can't find this column on the Responses sheet.","")</f>
        <v>0</v>
      </c>
      <c r="F443" s="4" t="s">
        <v>274</v>
      </c>
    </row>
    <row r="444" spans="1:6" ht="75" customHeight="1">
      <c r="A444" t="s">
        <v>216</v>
      </c>
      <c r="B444" t="s">
        <v>205</v>
      </c>
      <c r="C444" t="s">
        <v>324</v>
      </c>
      <c r="D444" t="s">
        <v>165</v>
      </c>
      <c r="E444" s="4">
        <f>IF(AND('Open Questions'!$A$41&lt;&gt;"",NOT(AND(LEN(TRIM('Open Questions'!$A$41))&gt;=1,LEN(TRIM('Open Questions'!$A$41))&lt;=3,AND(CODE(MID(TRIM('Open Questions'!$A$41)&amp;"AAA",1,1))&gt;=65,CODE(MID(TRIM('Open Questions'!$A$41)&amp;"AAA",1,1))&lt;=90),AND(CODE(MID(TRIM('Open Questions'!$A$41)&amp;"AAA",2,1))&gt;=65,CODE(MID(TRIM('Open Questions'!$A$41)&amp;"AAA",2,1))&lt;=90),AND(CODE(MID(TRIM('Open Questions'!$A$41)&amp;"AAA",3,1))&gt;=65,CODE(MID(TRIM('Open Questions'!$A$41)&amp;"AAA",3,1))&lt;=90)))),"'"&amp;'Open Questions'!$A$41&amp;"' isn't a valid Excel column letter, so Themefinder can't find this column on the Responses sheet.","")</f>
        <v>0</v>
      </c>
      <c r="F444" s="4" t="s">
        <v>274</v>
      </c>
    </row>
    <row r="445" spans="1:6" ht="75" customHeight="1">
      <c r="A445" t="s">
        <v>216</v>
      </c>
      <c r="B445" t="s">
        <v>206</v>
      </c>
      <c r="C445" t="s">
        <v>324</v>
      </c>
      <c r="D445" t="s">
        <v>165</v>
      </c>
      <c r="E445" s="4">
        <f>IF(AND('Open Questions'!$A$42&lt;&gt;"",NOT(AND(LEN(TRIM('Open Questions'!$A$42))&gt;=1,LEN(TRIM('Open Questions'!$A$42))&lt;=3,AND(CODE(MID(TRIM('Open Questions'!$A$42)&amp;"AAA",1,1))&gt;=65,CODE(MID(TRIM('Open Questions'!$A$42)&amp;"AAA",1,1))&lt;=90),AND(CODE(MID(TRIM('Open Questions'!$A$42)&amp;"AAA",2,1))&gt;=65,CODE(MID(TRIM('Open Questions'!$A$42)&amp;"AAA",2,1))&lt;=90),AND(CODE(MID(TRIM('Open Questions'!$A$42)&amp;"AAA",3,1))&gt;=65,CODE(MID(TRIM('Open Questions'!$A$42)&amp;"AAA",3,1))&lt;=90)))),"'"&amp;'Open Questions'!$A$42&amp;"' isn't a valid Excel column letter, so Themefinder can't find this column on the Responses sheet.","")</f>
        <v>0</v>
      </c>
      <c r="F445" s="4" t="s">
        <v>274</v>
      </c>
    </row>
    <row r="446" spans="1:6" ht="75" customHeight="1">
      <c r="A446" t="s">
        <v>216</v>
      </c>
      <c r="B446" t="s">
        <v>207</v>
      </c>
      <c r="C446" t="s">
        <v>324</v>
      </c>
      <c r="D446" t="s">
        <v>165</v>
      </c>
      <c r="E446" s="4">
        <f>IF(AND('Open Questions'!$A$43&lt;&gt;"",NOT(AND(LEN(TRIM('Open Questions'!$A$43))&gt;=1,LEN(TRIM('Open Questions'!$A$43))&lt;=3,AND(CODE(MID(TRIM('Open Questions'!$A$43)&amp;"AAA",1,1))&gt;=65,CODE(MID(TRIM('Open Questions'!$A$43)&amp;"AAA",1,1))&lt;=90),AND(CODE(MID(TRIM('Open Questions'!$A$43)&amp;"AAA",2,1))&gt;=65,CODE(MID(TRIM('Open Questions'!$A$43)&amp;"AAA",2,1))&lt;=90),AND(CODE(MID(TRIM('Open Questions'!$A$43)&amp;"AAA",3,1))&gt;=65,CODE(MID(TRIM('Open Questions'!$A$43)&amp;"AAA",3,1))&lt;=90)))),"'"&amp;'Open Questions'!$A$43&amp;"' isn't a valid Excel column letter, so Themefinder can't find this column on the Responses sheet.","")</f>
        <v>0</v>
      </c>
      <c r="F446" s="4" t="s">
        <v>274</v>
      </c>
    </row>
    <row r="447" spans="1:6" ht="75" customHeight="1">
      <c r="A447" t="s">
        <v>216</v>
      </c>
      <c r="B447" t="s">
        <v>208</v>
      </c>
      <c r="C447" t="s">
        <v>324</v>
      </c>
      <c r="D447" t="s">
        <v>165</v>
      </c>
      <c r="E447" s="4">
        <f>IF(AND('Open Questions'!$A$44&lt;&gt;"",NOT(AND(LEN(TRIM('Open Questions'!$A$44))&gt;=1,LEN(TRIM('Open Questions'!$A$44))&lt;=3,AND(CODE(MID(TRIM('Open Questions'!$A$44)&amp;"AAA",1,1))&gt;=65,CODE(MID(TRIM('Open Questions'!$A$44)&amp;"AAA",1,1))&lt;=90),AND(CODE(MID(TRIM('Open Questions'!$A$44)&amp;"AAA",2,1))&gt;=65,CODE(MID(TRIM('Open Questions'!$A$44)&amp;"AAA",2,1))&lt;=90),AND(CODE(MID(TRIM('Open Questions'!$A$44)&amp;"AAA",3,1))&gt;=65,CODE(MID(TRIM('Open Questions'!$A$44)&amp;"AAA",3,1))&lt;=90)))),"'"&amp;'Open Questions'!$A$44&amp;"' isn't a valid Excel column letter, so Themefinder can't find this column on the Responses sheet.","")</f>
        <v>0</v>
      </c>
      <c r="F447" s="4" t="s">
        <v>274</v>
      </c>
    </row>
    <row r="448" spans="1:6" ht="75" customHeight="1">
      <c r="A448" t="s">
        <v>216</v>
      </c>
      <c r="B448" t="s">
        <v>209</v>
      </c>
      <c r="C448" t="s">
        <v>324</v>
      </c>
      <c r="D448" t="s">
        <v>165</v>
      </c>
      <c r="E448" s="4">
        <f>IF(AND('Open Questions'!$A$45&lt;&gt;"",NOT(AND(LEN(TRIM('Open Questions'!$A$45))&gt;=1,LEN(TRIM('Open Questions'!$A$45))&lt;=3,AND(CODE(MID(TRIM('Open Questions'!$A$45)&amp;"AAA",1,1))&gt;=65,CODE(MID(TRIM('Open Questions'!$A$45)&amp;"AAA",1,1))&lt;=90),AND(CODE(MID(TRIM('Open Questions'!$A$45)&amp;"AAA",2,1))&gt;=65,CODE(MID(TRIM('Open Questions'!$A$45)&amp;"AAA",2,1))&lt;=90),AND(CODE(MID(TRIM('Open Questions'!$A$45)&amp;"AAA",3,1))&gt;=65,CODE(MID(TRIM('Open Questions'!$A$45)&amp;"AAA",3,1))&lt;=90)))),"'"&amp;'Open Questions'!$A$45&amp;"' isn't a valid Excel column letter, so Themefinder can't find this column on the Responses sheet.","")</f>
        <v>0</v>
      </c>
      <c r="F448" s="4" t="s">
        <v>274</v>
      </c>
    </row>
    <row r="449" spans="1:6" ht="75" customHeight="1">
      <c r="A449" t="s">
        <v>216</v>
      </c>
      <c r="B449" t="s">
        <v>210</v>
      </c>
      <c r="C449" t="s">
        <v>324</v>
      </c>
      <c r="D449" t="s">
        <v>165</v>
      </c>
      <c r="E449" s="4">
        <f>IF(AND('Open Questions'!$A$46&lt;&gt;"",NOT(AND(LEN(TRIM('Open Questions'!$A$46))&gt;=1,LEN(TRIM('Open Questions'!$A$46))&lt;=3,AND(CODE(MID(TRIM('Open Questions'!$A$46)&amp;"AAA",1,1))&gt;=65,CODE(MID(TRIM('Open Questions'!$A$46)&amp;"AAA",1,1))&lt;=90),AND(CODE(MID(TRIM('Open Questions'!$A$46)&amp;"AAA",2,1))&gt;=65,CODE(MID(TRIM('Open Questions'!$A$46)&amp;"AAA",2,1))&lt;=90),AND(CODE(MID(TRIM('Open Questions'!$A$46)&amp;"AAA",3,1))&gt;=65,CODE(MID(TRIM('Open Questions'!$A$46)&amp;"AAA",3,1))&lt;=90)))),"'"&amp;'Open Questions'!$A$46&amp;"' isn't a valid Excel column letter, so Themefinder can't find this column on the Responses sheet.","")</f>
        <v>0</v>
      </c>
      <c r="F449" s="4" t="s">
        <v>274</v>
      </c>
    </row>
    <row r="450" spans="1:6" ht="75" customHeight="1">
      <c r="A450" t="s">
        <v>216</v>
      </c>
      <c r="B450" t="s">
        <v>211</v>
      </c>
      <c r="C450" t="s">
        <v>324</v>
      </c>
      <c r="D450" t="s">
        <v>165</v>
      </c>
      <c r="E450" s="4">
        <f>IF(AND('Open Questions'!$A$47&lt;&gt;"",NOT(AND(LEN(TRIM('Open Questions'!$A$47))&gt;=1,LEN(TRIM('Open Questions'!$A$47))&lt;=3,AND(CODE(MID(TRIM('Open Questions'!$A$47)&amp;"AAA",1,1))&gt;=65,CODE(MID(TRIM('Open Questions'!$A$47)&amp;"AAA",1,1))&lt;=90),AND(CODE(MID(TRIM('Open Questions'!$A$47)&amp;"AAA",2,1))&gt;=65,CODE(MID(TRIM('Open Questions'!$A$47)&amp;"AAA",2,1))&lt;=90),AND(CODE(MID(TRIM('Open Questions'!$A$47)&amp;"AAA",3,1))&gt;=65,CODE(MID(TRIM('Open Questions'!$A$47)&amp;"AAA",3,1))&lt;=90)))),"'"&amp;'Open Questions'!$A$47&amp;"' isn't a valid Excel column letter, so Themefinder can't find this column on the Responses sheet.","")</f>
        <v>0</v>
      </c>
      <c r="F450" s="4" t="s">
        <v>274</v>
      </c>
    </row>
    <row r="451" spans="1:6" ht="75" customHeight="1">
      <c r="A451" t="s">
        <v>216</v>
      </c>
      <c r="B451" t="s">
        <v>212</v>
      </c>
      <c r="C451" t="s">
        <v>324</v>
      </c>
      <c r="D451" t="s">
        <v>165</v>
      </c>
      <c r="E451" s="4">
        <f>IF(AND('Open Questions'!$A$48&lt;&gt;"",NOT(AND(LEN(TRIM('Open Questions'!$A$48))&gt;=1,LEN(TRIM('Open Questions'!$A$48))&lt;=3,AND(CODE(MID(TRIM('Open Questions'!$A$48)&amp;"AAA",1,1))&gt;=65,CODE(MID(TRIM('Open Questions'!$A$48)&amp;"AAA",1,1))&lt;=90),AND(CODE(MID(TRIM('Open Questions'!$A$48)&amp;"AAA",2,1))&gt;=65,CODE(MID(TRIM('Open Questions'!$A$48)&amp;"AAA",2,1))&lt;=90),AND(CODE(MID(TRIM('Open Questions'!$A$48)&amp;"AAA",3,1))&gt;=65,CODE(MID(TRIM('Open Questions'!$A$48)&amp;"AAA",3,1))&lt;=90)))),"'"&amp;'Open Questions'!$A$48&amp;"' isn't a valid Excel column letter, so Themefinder can't find this column on the Responses sheet.","")</f>
        <v>0</v>
      </c>
      <c r="F451" s="4" t="s">
        <v>274</v>
      </c>
    </row>
    <row r="452" spans="1:6" ht="75" customHeight="1">
      <c r="A452" t="s">
        <v>216</v>
      </c>
      <c r="B452" t="s">
        <v>213</v>
      </c>
      <c r="C452" t="s">
        <v>324</v>
      </c>
      <c r="D452" t="s">
        <v>165</v>
      </c>
      <c r="E452" s="4">
        <f>IF(AND('Open Questions'!$A$49&lt;&gt;"",NOT(AND(LEN(TRIM('Open Questions'!$A$49))&gt;=1,LEN(TRIM('Open Questions'!$A$49))&lt;=3,AND(CODE(MID(TRIM('Open Questions'!$A$49)&amp;"AAA",1,1))&gt;=65,CODE(MID(TRIM('Open Questions'!$A$49)&amp;"AAA",1,1))&lt;=90),AND(CODE(MID(TRIM('Open Questions'!$A$49)&amp;"AAA",2,1))&gt;=65,CODE(MID(TRIM('Open Questions'!$A$49)&amp;"AAA",2,1))&lt;=90),AND(CODE(MID(TRIM('Open Questions'!$A$49)&amp;"AAA",3,1))&gt;=65,CODE(MID(TRIM('Open Questions'!$A$49)&amp;"AAA",3,1))&lt;=90)))),"'"&amp;'Open Questions'!$A$49&amp;"' isn't a valid Excel column letter, so Themefinder can't find this column on the Responses sheet.","")</f>
        <v>0</v>
      </c>
      <c r="F452" s="4" t="s">
        <v>274</v>
      </c>
    </row>
    <row r="453" spans="1:6" ht="75" customHeight="1">
      <c r="A453" t="s">
        <v>216</v>
      </c>
      <c r="B453" t="s">
        <v>214</v>
      </c>
      <c r="C453" t="s">
        <v>324</v>
      </c>
      <c r="D453" t="s">
        <v>165</v>
      </c>
      <c r="E453" s="4">
        <f>IF(AND('Open Questions'!$A$50&lt;&gt;"",NOT(AND(LEN(TRIM('Open Questions'!$A$50))&gt;=1,LEN(TRIM('Open Questions'!$A$50))&lt;=3,AND(CODE(MID(TRIM('Open Questions'!$A$50)&amp;"AAA",1,1))&gt;=65,CODE(MID(TRIM('Open Questions'!$A$50)&amp;"AAA",1,1))&lt;=90),AND(CODE(MID(TRIM('Open Questions'!$A$50)&amp;"AAA",2,1))&gt;=65,CODE(MID(TRIM('Open Questions'!$A$50)&amp;"AAA",2,1))&lt;=90),AND(CODE(MID(TRIM('Open Questions'!$A$50)&amp;"AAA",3,1))&gt;=65,CODE(MID(TRIM('Open Questions'!$A$50)&amp;"AAA",3,1))&lt;=90)))),"'"&amp;'Open Questions'!$A$50&amp;"' isn't a valid Excel column letter, so Themefinder can't find this column on the Responses sheet.","")</f>
        <v>0</v>
      </c>
      <c r="F453" s="4" t="s">
        <v>274</v>
      </c>
    </row>
    <row r="454" spans="1:6" ht="75" customHeight="1">
      <c r="A454" t="s">
        <v>216</v>
      </c>
      <c r="B454" t="s">
        <v>215</v>
      </c>
      <c r="C454" t="s">
        <v>324</v>
      </c>
      <c r="D454" t="s">
        <v>165</v>
      </c>
      <c r="E454" s="4">
        <f>IF(AND('Open Questions'!$A$51&lt;&gt;"",NOT(AND(LEN(TRIM('Open Questions'!$A$51))&gt;=1,LEN(TRIM('Open Questions'!$A$51))&lt;=3,AND(CODE(MID(TRIM('Open Questions'!$A$51)&amp;"AAA",1,1))&gt;=65,CODE(MID(TRIM('Open Questions'!$A$51)&amp;"AAA",1,1))&lt;=90),AND(CODE(MID(TRIM('Open Questions'!$A$51)&amp;"AAA",2,1))&gt;=65,CODE(MID(TRIM('Open Questions'!$A$51)&amp;"AAA",2,1))&lt;=90),AND(CODE(MID(TRIM('Open Questions'!$A$51)&amp;"AAA",3,1))&gt;=65,CODE(MID(TRIM('Open Questions'!$A$51)&amp;"AAA",3,1))&lt;=90)))),"'"&amp;'Open Questions'!$A$51&amp;"' isn't a valid Excel column letter, so Themefinder can't find this column on the Responses sheet.","")</f>
        <v>0</v>
      </c>
      <c r="F454" s="4" t="s">
        <v>274</v>
      </c>
    </row>
    <row r="455" spans="1:6" ht="75" customHeight="1">
      <c r="A455" t="s">
        <v>218</v>
      </c>
      <c r="B455" t="s">
        <v>163</v>
      </c>
      <c r="C455" t="s">
        <v>324</v>
      </c>
      <c r="D455" t="s">
        <v>165</v>
      </c>
      <c r="E455" s="4">
        <f>IF(AND('Multiple Choice Questions'!$A$2&lt;&gt;"",NOT(AND(LEN(TRIM('Multiple Choice Questions'!$A$2))&gt;=1,LEN(TRIM('Multiple Choice Questions'!$A$2))&lt;=3,AND(CODE(MID(TRIM('Multiple Choice Questions'!$A$2)&amp;"AAA",1,1))&gt;=65,CODE(MID(TRIM('Multiple Choice Questions'!$A$2)&amp;"AAA",1,1))&lt;=90),AND(CODE(MID(TRIM('Multiple Choice Questions'!$A$2)&amp;"AAA",2,1))&gt;=65,CODE(MID(TRIM('Multiple Choice Questions'!$A$2)&amp;"AAA",2,1))&lt;=90),AND(CODE(MID(TRIM('Multiple Choice Questions'!$A$2)&amp;"AAA",3,1))&gt;=65,CODE(MID(TRIM('Multiple Choice Questions'!$A$2)&amp;"AAA",3,1))&lt;=90)))),"'"&amp;'Multiple Choice Questions'!$A$2&amp;"' isn't a valid Excel column letter, so Themefinder can't find this column on the Responses sheet.","")</f>
        <v>0</v>
      </c>
      <c r="F455" s="4" t="s">
        <v>274</v>
      </c>
    </row>
    <row r="456" spans="1:6" ht="75" customHeight="1">
      <c r="A456" t="s">
        <v>218</v>
      </c>
      <c r="B456" t="s">
        <v>167</v>
      </c>
      <c r="C456" t="s">
        <v>324</v>
      </c>
      <c r="D456" t="s">
        <v>165</v>
      </c>
      <c r="E456" s="4">
        <f>IF(AND('Multiple Choice Questions'!$A$3&lt;&gt;"",NOT(AND(LEN(TRIM('Multiple Choice Questions'!$A$3))&gt;=1,LEN(TRIM('Multiple Choice Questions'!$A$3))&lt;=3,AND(CODE(MID(TRIM('Multiple Choice Questions'!$A$3)&amp;"AAA",1,1))&gt;=65,CODE(MID(TRIM('Multiple Choice Questions'!$A$3)&amp;"AAA",1,1))&lt;=90),AND(CODE(MID(TRIM('Multiple Choice Questions'!$A$3)&amp;"AAA",2,1))&gt;=65,CODE(MID(TRIM('Multiple Choice Questions'!$A$3)&amp;"AAA",2,1))&lt;=90),AND(CODE(MID(TRIM('Multiple Choice Questions'!$A$3)&amp;"AAA",3,1))&gt;=65,CODE(MID(TRIM('Multiple Choice Questions'!$A$3)&amp;"AAA",3,1))&lt;=90)))),"'"&amp;'Multiple Choice Questions'!$A$3&amp;"' isn't a valid Excel column letter, so Themefinder can't find this column on the Responses sheet.","")</f>
        <v>0</v>
      </c>
      <c r="F456" s="4" t="s">
        <v>274</v>
      </c>
    </row>
    <row r="457" spans="1:6" ht="75" customHeight="1">
      <c r="A457" t="s">
        <v>218</v>
      </c>
      <c r="B457" t="s">
        <v>168</v>
      </c>
      <c r="C457" t="s">
        <v>324</v>
      </c>
      <c r="D457" t="s">
        <v>165</v>
      </c>
      <c r="E457" s="4">
        <f>IF(AND('Multiple Choice Questions'!$A$4&lt;&gt;"",NOT(AND(LEN(TRIM('Multiple Choice Questions'!$A$4))&gt;=1,LEN(TRIM('Multiple Choice Questions'!$A$4))&lt;=3,AND(CODE(MID(TRIM('Multiple Choice Questions'!$A$4)&amp;"AAA",1,1))&gt;=65,CODE(MID(TRIM('Multiple Choice Questions'!$A$4)&amp;"AAA",1,1))&lt;=90),AND(CODE(MID(TRIM('Multiple Choice Questions'!$A$4)&amp;"AAA",2,1))&gt;=65,CODE(MID(TRIM('Multiple Choice Questions'!$A$4)&amp;"AAA",2,1))&lt;=90),AND(CODE(MID(TRIM('Multiple Choice Questions'!$A$4)&amp;"AAA",3,1))&gt;=65,CODE(MID(TRIM('Multiple Choice Questions'!$A$4)&amp;"AAA",3,1))&lt;=90)))),"'"&amp;'Multiple Choice Questions'!$A$4&amp;"' isn't a valid Excel column letter, so Themefinder can't find this column on the Responses sheet.","")</f>
        <v>0</v>
      </c>
      <c r="F457" s="4" t="s">
        <v>274</v>
      </c>
    </row>
    <row r="458" spans="1:6" ht="75" customHeight="1">
      <c r="A458" t="s">
        <v>218</v>
      </c>
      <c r="B458" t="s">
        <v>169</v>
      </c>
      <c r="C458" t="s">
        <v>324</v>
      </c>
      <c r="D458" t="s">
        <v>165</v>
      </c>
      <c r="E458" s="4">
        <f>IF(AND('Multiple Choice Questions'!$A$5&lt;&gt;"",NOT(AND(LEN(TRIM('Multiple Choice Questions'!$A$5))&gt;=1,LEN(TRIM('Multiple Choice Questions'!$A$5))&lt;=3,AND(CODE(MID(TRIM('Multiple Choice Questions'!$A$5)&amp;"AAA",1,1))&gt;=65,CODE(MID(TRIM('Multiple Choice Questions'!$A$5)&amp;"AAA",1,1))&lt;=90),AND(CODE(MID(TRIM('Multiple Choice Questions'!$A$5)&amp;"AAA",2,1))&gt;=65,CODE(MID(TRIM('Multiple Choice Questions'!$A$5)&amp;"AAA",2,1))&lt;=90),AND(CODE(MID(TRIM('Multiple Choice Questions'!$A$5)&amp;"AAA",3,1))&gt;=65,CODE(MID(TRIM('Multiple Choice Questions'!$A$5)&amp;"AAA",3,1))&lt;=90)))),"'"&amp;'Multiple Choice Questions'!$A$5&amp;"' isn't a valid Excel column letter, so Themefinder can't find this column on the Responses sheet.","")</f>
        <v>0</v>
      </c>
      <c r="F458" s="4" t="s">
        <v>274</v>
      </c>
    </row>
    <row r="459" spans="1:6" ht="75" customHeight="1">
      <c r="A459" t="s">
        <v>218</v>
      </c>
      <c r="B459" t="s">
        <v>170</v>
      </c>
      <c r="C459" t="s">
        <v>324</v>
      </c>
      <c r="D459" t="s">
        <v>165</v>
      </c>
      <c r="E459" s="4">
        <f>IF(AND('Multiple Choice Questions'!$A$6&lt;&gt;"",NOT(AND(LEN(TRIM('Multiple Choice Questions'!$A$6))&gt;=1,LEN(TRIM('Multiple Choice Questions'!$A$6))&lt;=3,AND(CODE(MID(TRIM('Multiple Choice Questions'!$A$6)&amp;"AAA",1,1))&gt;=65,CODE(MID(TRIM('Multiple Choice Questions'!$A$6)&amp;"AAA",1,1))&lt;=90),AND(CODE(MID(TRIM('Multiple Choice Questions'!$A$6)&amp;"AAA",2,1))&gt;=65,CODE(MID(TRIM('Multiple Choice Questions'!$A$6)&amp;"AAA",2,1))&lt;=90),AND(CODE(MID(TRIM('Multiple Choice Questions'!$A$6)&amp;"AAA",3,1))&gt;=65,CODE(MID(TRIM('Multiple Choice Questions'!$A$6)&amp;"AAA",3,1))&lt;=90)))),"'"&amp;'Multiple Choice Questions'!$A$6&amp;"' isn't a valid Excel column letter, so Themefinder can't find this column on the Responses sheet.","")</f>
        <v>0</v>
      </c>
      <c r="F459" s="4" t="s">
        <v>274</v>
      </c>
    </row>
    <row r="460" spans="1:6" ht="75" customHeight="1">
      <c r="A460" t="s">
        <v>218</v>
      </c>
      <c r="B460" t="s">
        <v>171</v>
      </c>
      <c r="C460" t="s">
        <v>324</v>
      </c>
      <c r="D460" t="s">
        <v>165</v>
      </c>
      <c r="E460" s="4">
        <f>IF(AND('Multiple Choice Questions'!$A$7&lt;&gt;"",NOT(AND(LEN(TRIM('Multiple Choice Questions'!$A$7))&gt;=1,LEN(TRIM('Multiple Choice Questions'!$A$7))&lt;=3,AND(CODE(MID(TRIM('Multiple Choice Questions'!$A$7)&amp;"AAA",1,1))&gt;=65,CODE(MID(TRIM('Multiple Choice Questions'!$A$7)&amp;"AAA",1,1))&lt;=90),AND(CODE(MID(TRIM('Multiple Choice Questions'!$A$7)&amp;"AAA",2,1))&gt;=65,CODE(MID(TRIM('Multiple Choice Questions'!$A$7)&amp;"AAA",2,1))&lt;=90),AND(CODE(MID(TRIM('Multiple Choice Questions'!$A$7)&amp;"AAA",3,1))&gt;=65,CODE(MID(TRIM('Multiple Choice Questions'!$A$7)&amp;"AAA",3,1))&lt;=90)))),"'"&amp;'Multiple Choice Questions'!$A$7&amp;"' isn't a valid Excel column letter, so Themefinder can't find this column on the Responses sheet.","")</f>
        <v>0</v>
      </c>
      <c r="F460" s="4" t="s">
        <v>274</v>
      </c>
    </row>
    <row r="461" spans="1:6" ht="75" customHeight="1">
      <c r="A461" t="s">
        <v>218</v>
      </c>
      <c r="B461" t="s">
        <v>172</v>
      </c>
      <c r="C461" t="s">
        <v>324</v>
      </c>
      <c r="D461" t="s">
        <v>165</v>
      </c>
      <c r="E461" s="4">
        <f>IF(AND('Multiple Choice Questions'!$A$8&lt;&gt;"",NOT(AND(LEN(TRIM('Multiple Choice Questions'!$A$8))&gt;=1,LEN(TRIM('Multiple Choice Questions'!$A$8))&lt;=3,AND(CODE(MID(TRIM('Multiple Choice Questions'!$A$8)&amp;"AAA",1,1))&gt;=65,CODE(MID(TRIM('Multiple Choice Questions'!$A$8)&amp;"AAA",1,1))&lt;=90),AND(CODE(MID(TRIM('Multiple Choice Questions'!$A$8)&amp;"AAA",2,1))&gt;=65,CODE(MID(TRIM('Multiple Choice Questions'!$A$8)&amp;"AAA",2,1))&lt;=90),AND(CODE(MID(TRIM('Multiple Choice Questions'!$A$8)&amp;"AAA",3,1))&gt;=65,CODE(MID(TRIM('Multiple Choice Questions'!$A$8)&amp;"AAA",3,1))&lt;=90)))),"'"&amp;'Multiple Choice Questions'!$A$8&amp;"' isn't a valid Excel column letter, so Themefinder can't find this column on the Responses sheet.","")</f>
        <v>0</v>
      </c>
      <c r="F461" s="4" t="s">
        <v>274</v>
      </c>
    </row>
    <row r="462" spans="1:6" ht="75" customHeight="1">
      <c r="A462" t="s">
        <v>218</v>
      </c>
      <c r="B462" t="s">
        <v>173</v>
      </c>
      <c r="C462" t="s">
        <v>324</v>
      </c>
      <c r="D462" t="s">
        <v>165</v>
      </c>
      <c r="E462" s="4">
        <f>IF(AND('Multiple Choice Questions'!$A$9&lt;&gt;"",NOT(AND(LEN(TRIM('Multiple Choice Questions'!$A$9))&gt;=1,LEN(TRIM('Multiple Choice Questions'!$A$9))&lt;=3,AND(CODE(MID(TRIM('Multiple Choice Questions'!$A$9)&amp;"AAA",1,1))&gt;=65,CODE(MID(TRIM('Multiple Choice Questions'!$A$9)&amp;"AAA",1,1))&lt;=90),AND(CODE(MID(TRIM('Multiple Choice Questions'!$A$9)&amp;"AAA",2,1))&gt;=65,CODE(MID(TRIM('Multiple Choice Questions'!$A$9)&amp;"AAA",2,1))&lt;=90),AND(CODE(MID(TRIM('Multiple Choice Questions'!$A$9)&amp;"AAA",3,1))&gt;=65,CODE(MID(TRIM('Multiple Choice Questions'!$A$9)&amp;"AAA",3,1))&lt;=90)))),"'"&amp;'Multiple Choice Questions'!$A$9&amp;"' isn't a valid Excel column letter, so Themefinder can't find this column on the Responses sheet.","")</f>
        <v>0</v>
      </c>
      <c r="F462" s="4" t="s">
        <v>274</v>
      </c>
    </row>
    <row r="463" spans="1:6" ht="75" customHeight="1">
      <c r="A463" t="s">
        <v>218</v>
      </c>
      <c r="B463" t="s">
        <v>174</v>
      </c>
      <c r="C463" t="s">
        <v>324</v>
      </c>
      <c r="D463" t="s">
        <v>165</v>
      </c>
      <c r="E463" s="4">
        <f>IF(AND('Multiple Choice Questions'!$A$10&lt;&gt;"",NOT(AND(LEN(TRIM('Multiple Choice Questions'!$A$10))&gt;=1,LEN(TRIM('Multiple Choice Questions'!$A$10))&lt;=3,AND(CODE(MID(TRIM('Multiple Choice Questions'!$A$10)&amp;"AAA",1,1))&gt;=65,CODE(MID(TRIM('Multiple Choice Questions'!$A$10)&amp;"AAA",1,1))&lt;=90),AND(CODE(MID(TRIM('Multiple Choice Questions'!$A$10)&amp;"AAA",2,1))&gt;=65,CODE(MID(TRIM('Multiple Choice Questions'!$A$10)&amp;"AAA",2,1))&lt;=90),AND(CODE(MID(TRIM('Multiple Choice Questions'!$A$10)&amp;"AAA",3,1))&gt;=65,CODE(MID(TRIM('Multiple Choice Questions'!$A$10)&amp;"AAA",3,1))&lt;=90)))),"'"&amp;'Multiple Choice Questions'!$A$10&amp;"' isn't a valid Excel column letter, so Themefinder can't find this column on the Responses sheet.","")</f>
        <v>0</v>
      </c>
      <c r="F463" s="4" t="s">
        <v>274</v>
      </c>
    </row>
    <row r="464" spans="1:6" ht="75" customHeight="1">
      <c r="A464" t="s">
        <v>218</v>
      </c>
      <c r="B464" t="s">
        <v>175</v>
      </c>
      <c r="C464" t="s">
        <v>324</v>
      </c>
      <c r="D464" t="s">
        <v>165</v>
      </c>
      <c r="E464" s="4">
        <f>IF(AND('Multiple Choice Questions'!$A$11&lt;&gt;"",NOT(AND(LEN(TRIM('Multiple Choice Questions'!$A$11))&gt;=1,LEN(TRIM('Multiple Choice Questions'!$A$11))&lt;=3,AND(CODE(MID(TRIM('Multiple Choice Questions'!$A$11)&amp;"AAA",1,1))&gt;=65,CODE(MID(TRIM('Multiple Choice Questions'!$A$11)&amp;"AAA",1,1))&lt;=90),AND(CODE(MID(TRIM('Multiple Choice Questions'!$A$11)&amp;"AAA",2,1))&gt;=65,CODE(MID(TRIM('Multiple Choice Questions'!$A$11)&amp;"AAA",2,1))&lt;=90),AND(CODE(MID(TRIM('Multiple Choice Questions'!$A$11)&amp;"AAA",3,1))&gt;=65,CODE(MID(TRIM('Multiple Choice Questions'!$A$11)&amp;"AAA",3,1))&lt;=90)))),"'"&amp;'Multiple Choice Questions'!$A$11&amp;"' isn't a valid Excel column letter, so Themefinder can't find this column on the Responses sheet.","")</f>
        <v>0</v>
      </c>
      <c r="F464" s="4" t="s">
        <v>274</v>
      </c>
    </row>
    <row r="465" spans="1:6" ht="75" customHeight="1">
      <c r="A465" t="s">
        <v>218</v>
      </c>
      <c r="B465" t="s">
        <v>176</v>
      </c>
      <c r="C465" t="s">
        <v>324</v>
      </c>
      <c r="D465" t="s">
        <v>165</v>
      </c>
      <c r="E465" s="4">
        <f>IF(AND('Multiple Choice Questions'!$A$12&lt;&gt;"",NOT(AND(LEN(TRIM('Multiple Choice Questions'!$A$12))&gt;=1,LEN(TRIM('Multiple Choice Questions'!$A$12))&lt;=3,AND(CODE(MID(TRIM('Multiple Choice Questions'!$A$12)&amp;"AAA",1,1))&gt;=65,CODE(MID(TRIM('Multiple Choice Questions'!$A$12)&amp;"AAA",1,1))&lt;=90),AND(CODE(MID(TRIM('Multiple Choice Questions'!$A$12)&amp;"AAA",2,1))&gt;=65,CODE(MID(TRIM('Multiple Choice Questions'!$A$12)&amp;"AAA",2,1))&lt;=90),AND(CODE(MID(TRIM('Multiple Choice Questions'!$A$12)&amp;"AAA",3,1))&gt;=65,CODE(MID(TRIM('Multiple Choice Questions'!$A$12)&amp;"AAA",3,1))&lt;=90)))),"'"&amp;'Multiple Choice Questions'!$A$12&amp;"' isn't a valid Excel column letter, so Themefinder can't find this column on the Responses sheet.","")</f>
        <v>0</v>
      </c>
      <c r="F465" s="4" t="s">
        <v>274</v>
      </c>
    </row>
    <row r="466" spans="1:6" ht="75" customHeight="1">
      <c r="A466" t="s">
        <v>218</v>
      </c>
      <c r="B466" t="s">
        <v>177</v>
      </c>
      <c r="C466" t="s">
        <v>324</v>
      </c>
      <c r="D466" t="s">
        <v>165</v>
      </c>
      <c r="E466" s="4">
        <f>IF(AND('Multiple Choice Questions'!$A$13&lt;&gt;"",NOT(AND(LEN(TRIM('Multiple Choice Questions'!$A$13))&gt;=1,LEN(TRIM('Multiple Choice Questions'!$A$13))&lt;=3,AND(CODE(MID(TRIM('Multiple Choice Questions'!$A$13)&amp;"AAA",1,1))&gt;=65,CODE(MID(TRIM('Multiple Choice Questions'!$A$13)&amp;"AAA",1,1))&lt;=90),AND(CODE(MID(TRIM('Multiple Choice Questions'!$A$13)&amp;"AAA",2,1))&gt;=65,CODE(MID(TRIM('Multiple Choice Questions'!$A$13)&amp;"AAA",2,1))&lt;=90),AND(CODE(MID(TRIM('Multiple Choice Questions'!$A$13)&amp;"AAA",3,1))&gt;=65,CODE(MID(TRIM('Multiple Choice Questions'!$A$13)&amp;"AAA",3,1))&lt;=90)))),"'"&amp;'Multiple Choice Questions'!$A$13&amp;"' isn't a valid Excel column letter, so Themefinder can't find this column on the Responses sheet.","")</f>
        <v>0</v>
      </c>
      <c r="F466" s="4" t="s">
        <v>274</v>
      </c>
    </row>
    <row r="467" spans="1:6" ht="75" customHeight="1">
      <c r="A467" t="s">
        <v>218</v>
      </c>
      <c r="B467" t="s">
        <v>178</v>
      </c>
      <c r="C467" t="s">
        <v>324</v>
      </c>
      <c r="D467" t="s">
        <v>165</v>
      </c>
      <c r="E467" s="4">
        <f>IF(AND('Multiple Choice Questions'!$A$14&lt;&gt;"",NOT(AND(LEN(TRIM('Multiple Choice Questions'!$A$14))&gt;=1,LEN(TRIM('Multiple Choice Questions'!$A$14))&lt;=3,AND(CODE(MID(TRIM('Multiple Choice Questions'!$A$14)&amp;"AAA",1,1))&gt;=65,CODE(MID(TRIM('Multiple Choice Questions'!$A$14)&amp;"AAA",1,1))&lt;=90),AND(CODE(MID(TRIM('Multiple Choice Questions'!$A$14)&amp;"AAA",2,1))&gt;=65,CODE(MID(TRIM('Multiple Choice Questions'!$A$14)&amp;"AAA",2,1))&lt;=90),AND(CODE(MID(TRIM('Multiple Choice Questions'!$A$14)&amp;"AAA",3,1))&gt;=65,CODE(MID(TRIM('Multiple Choice Questions'!$A$14)&amp;"AAA",3,1))&lt;=90)))),"'"&amp;'Multiple Choice Questions'!$A$14&amp;"' isn't a valid Excel column letter, so Themefinder can't find this column on the Responses sheet.","")</f>
        <v>0</v>
      </c>
      <c r="F467" s="4" t="s">
        <v>274</v>
      </c>
    </row>
    <row r="468" spans="1:6" ht="75" customHeight="1">
      <c r="A468" t="s">
        <v>218</v>
      </c>
      <c r="B468" t="s">
        <v>179</v>
      </c>
      <c r="C468" t="s">
        <v>324</v>
      </c>
      <c r="D468" t="s">
        <v>165</v>
      </c>
      <c r="E468" s="4">
        <f>IF(AND('Multiple Choice Questions'!$A$15&lt;&gt;"",NOT(AND(LEN(TRIM('Multiple Choice Questions'!$A$15))&gt;=1,LEN(TRIM('Multiple Choice Questions'!$A$15))&lt;=3,AND(CODE(MID(TRIM('Multiple Choice Questions'!$A$15)&amp;"AAA",1,1))&gt;=65,CODE(MID(TRIM('Multiple Choice Questions'!$A$15)&amp;"AAA",1,1))&lt;=90),AND(CODE(MID(TRIM('Multiple Choice Questions'!$A$15)&amp;"AAA",2,1))&gt;=65,CODE(MID(TRIM('Multiple Choice Questions'!$A$15)&amp;"AAA",2,1))&lt;=90),AND(CODE(MID(TRIM('Multiple Choice Questions'!$A$15)&amp;"AAA",3,1))&gt;=65,CODE(MID(TRIM('Multiple Choice Questions'!$A$15)&amp;"AAA",3,1))&lt;=90)))),"'"&amp;'Multiple Choice Questions'!$A$15&amp;"' isn't a valid Excel column letter, so Themefinder can't find this column on the Responses sheet.","")</f>
        <v>0</v>
      </c>
      <c r="F468" s="4" t="s">
        <v>274</v>
      </c>
    </row>
    <row r="469" spans="1:6" ht="75" customHeight="1">
      <c r="A469" t="s">
        <v>218</v>
      </c>
      <c r="B469" t="s">
        <v>180</v>
      </c>
      <c r="C469" t="s">
        <v>324</v>
      </c>
      <c r="D469" t="s">
        <v>165</v>
      </c>
      <c r="E469" s="4">
        <f>IF(AND('Multiple Choice Questions'!$A$16&lt;&gt;"",NOT(AND(LEN(TRIM('Multiple Choice Questions'!$A$16))&gt;=1,LEN(TRIM('Multiple Choice Questions'!$A$16))&lt;=3,AND(CODE(MID(TRIM('Multiple Choice Questions'!$A$16)&amp;"AAA",1,1))&gt;=65,CODE(MID(TRIM('Multiple Choice Questions'!$A$16)&amp;"AAA",1,1))&lt;=90),AND(CODE(MID(TRIM('Multiple Choice Questions'!$A$16)&amp;"AAA",2,1))&gt;=65,CODE(MID(TRIM('Multiple Choice Questions'!$A$16)&amp;"AAA",2,1))&lt;=90),AND(CODE(MID(TRIM('Multiple Choice Questions'!$A$16)&amp;"AAA",3,1))&gt;=65,CODE(MID(TRIM('Multiple Choice Questions'!$A$16)&amp;"AAA",3,1))&lt;=90)))),"'"&amp;'Multiple Choice Questions'!$A$16&amp;"' isn't a valid Excel column letter, so Themefinder can't find this column on the Responses sheet.","")</f>
        <v>0</v>
      </c>
      <c r="F469" s="4" t="s">
        <v>274</v>
      </c>
    </row>
    <row r="470" spans="1:6" ht="75" customHeight="1">
      <c r="A470" t="s">
        <v>218</v>
      </c>
      <c r="B470" t="s">
        <v>181</v>
      </c>
      <c r="C470" t="s">
        <v>324</v>
      </c>
      <c r="D470" t="s">
        <v>165</v>
      </c>
      <c r="E470" s="4">
        <f>IF(AND('Multiple Choice Questions'!$A$17&lt;&gt;"",NOT(AND(LEN(TRIM('Multiple Choice Questions'!$A$17))&gt;=1,LEN(TRIM('Multiple Choice Questions'!$A$17))&lt;=3,AND(CODE(MID(TRIM('Multiple Choice Questions'!$A$17)&amp;"AAA",1,1))&gt;=65,CODE(MID(TRIM('Multiple Choice Questions'!$A$17)&amp;"AAA",1,1))&lt;=90),AND(CODE(MID(TRIM('Multiple Choice Questions'!$A$17)&amp;"AAA",2,1))&gt;=65,CODE(MID(TRIM('Multiple Choice Questions'!$A$17)&amp;"AAA",2,1))&lt;=90),AND(CODE(MID(TRIM('Multiple Choice Questions'!$A$17)&amp;"AAA",3,1))&gt;=65,CODE(MID(TRIM('Multiple Choice Questions'!$A$17)&amp;"AAA",3,1))&lt;=90)))),"'"&amp;'Multiple Choice Questions'!$A$17&amp;"' isn't a valid Excel column letter, so Themefinder can't find this column on the Responses sheet.","")</f>
        <v>0</v>
      </c>
      <c r="F470" s="4" t="s">
        <v>274</v>
      </c>
    </row>
    <row r="471" spans="1:6" ht="75" customHeight="1">
      <c r="A471" t="s">
        <v>218</v>
      </c>
      <c r="B471" t="s">
        <v>182</v>
      </c>
      <c r="C471" t="s">
        <v>324</v>
      </c>
      <c r="D471" t="s">
        <v>165</v>
      </c>
      <c r="E471" s="4">
        <f>IF(AND('Multiple Choice Questions'!$A$18&lt;&gt;"",NOT(AND(LEN(TRIM('Multiple Choice Questions'!$A$18))&gt;=1,LEN(TRIM('Multiple Choice Questions'!$A$18))&lt;=3,AND(CODE(MID(TRIM('Multiple Choice Questions'!$A$18)&amp;"AAA",1,1))&gt;=65,CODE(MID(TRIM('Multiple Choice Questions'!$A$18)&amp;"AAA",1,1))&lt;=90),AND(CODE(MID(TRIM('Multiple Choice Questions'!$A$18)&amp;"AAA",2,1))&gt;=65,CODE(MID(TRIM('Multiple Choice Questions'!$A$18)&amp;"AAA",2,1))&lt;=90),AND(CODE(MID(TRIM('Multiple Choice Questions'!$A$18)&amp;"AAA",3,1))&gt;=65,CODE(MID(TRIM('Multiple Choice Questions'!$A$18)&amp;"AAA",3,1))&lt;=90)))),"'"&amp;'Multiple Choice Questions'!$A$18&amp;"' isn't a valid Excel column letter, so Themefinder can't find this column on the Responses sheet.","")</f>
        <v>0</v>
      </c>
      <c r="F471" s="4" t="s">
        <v>274</v>
      </c>
    </row>
    <row r="472" spans="1:6" ht="75" customHeight="1">
      <c r="A472" t="s">
        <v>218</v>
      </c>
      <c r="B472" t="s">
        <v>183</v>
      </c>
      <c r="C472" t="s">
        <v>324</v>
      </c>
      <c r="D472" t="s">
        <v>165</v>
      </c>
      <c r="E472" s="4">
        <f>IF(AND('Multiple Choice Questions'!$A$19&lt;&gt;"",NOT(AND(LEN(TRIM('Multiple Choice Questions'!$A$19))&gt;=1,LEN(TRIM('Multiple Choice Questions'!$A$19))&lt;=3,AND(CODE(MID(TRIM('Multiple Choice Questions'!$A$19)&amp;"AAA",1,1))&gt;=65,CODE(MID(TRIM('Multiple Choice Questions'!$A$19)&amp;"AAA",1,1))&lt;=90),AND(CODE(MID(TRIM('Multiple Choice Questions'!$A$19)&amp;"AAA",2,1))&gt;=65,CODE(MID(TRIM('Multiple Choice Questions'!$A$19)&amp;"AAA",2,1))&lt;=90),AND(CODE(MID(TRIM('Multiple Choice Questions'!$A$19)&amp;"AAA",3,1))&gt;=65,CODE(MID(TRIM('Multiple Choice Questions'!$A$19)&amp;"AAA",3,1))&lt;=90)))),"'"&amp;'Multiple Choice Questions'!$A$19&amp;"' isn't a valid Excel column letter, so Themefinder can't find this column on the Responses sheet.","")</f>
        <v>0</v>
      </c>
      <c r="F472" s="4" t="s">
        <v>274</v>
      </c>
    </row>
    <row r="473" spans="1:6" ht="75" customHeight="1">
      <c r="A473" t="s">
        <v>218</v>
      </c>
      <c r="B473" t="s">
        <v>184</v>
      </c>
      <c r="C473" t="s">
        <v>324</v>
      </c>
      <c r="D473" t="s">
        <v>165</v>
      </c>
      <c r="E473" s="4">
        <f>IF(AND('Multiple Choice Questions'!$A$20&lt;&gt;"",NOT(AND(LEN(TRIM('Multiple Choice Questions'!$A$20))&gt;=1,LEN(TRIM('Multiple Choice Questions'!$A$20))&lt;=3,AND(CODE(MID(TRIM('Multiple Choice Questions'!$A$20)&amp;"AAA",1,1))&gt;=65,CODE(MID(TRIM('Multiple Choice Questions'!$A$20)&amp;"AAA",1,1))&lt;=90),AND(CODE(MID(TRIM('Multiple Choice Questions'!$A$20)&amp;"AAA",2,1))&gt;=65,CODE(MID(TRIM('Multiple Choice Questions'!$A$20)&amp;"AAA",2,1))&lt;=90),AND(CODE(MID(TRIM('Multiple Choice Questions'!$A$20)&amp;"AAA",3,1))&gt;=65,CODE(MID(TRIM('Multiple Choice Questions'!$A$20)&amp;"AAA",3,1))&lt;=90)))),"'"&amp;'Multiple Choice Questions'!$A$20&amp;"' isn't a valid Excel column letter, so Themefinder can't find this column on the Responses sheet.","")</f>
        <v>0</v>
      </c>
      <c r="F473" s="4" t="s">
        <v>274</v>
      </c>
    </row>
    <row r="474" spans="1:6" ht="75" customHeight="1">
      <c r="A474" t="s">
        <v>218</v>
      </c>
      <c r="B474" t="s">
        <v>185</v>
      </c>
      <c r="C474" t="s">
        <v>324</v>
      </c>
      <c r="D474" t="s">
        <v>165</v>
      </c>
      <c r="E474" s="4">
        <f>IF(AND('Multiple Choice Questions'!$A$21&lt;&gt;"",NOT(AND(LEN(TRIM('Multiple Choice Questions'!$A$21))&gt;=1,LEN(TRIM('Multiple Choice Questions'!$A$21))&lt;=3,AND(CODE(MID(TRIM('Multiple Choice Questions'!$A$21)&amp;"AAA",1,1))&gt;=65,CODE(MID(TRIM('Multiple Choice Questions'!$A$21)&amp;"AAA",1,1))&lt;=90),AND(CODE(MID(TRIM('Multiple Choice Questions'!$A$21)&amp;"AAA",2,1))&gt;=65,CODE(MID(TRIM('Multiple Choice Questions'!$A$21)&amp;"AAA",2,1))&lt;=90),AND(CODE(MID(TRIM('Multiple Choice Questions'!$A$21)&amp;"AAA",3,1))&gt;=65,CODE(MID(TRIM('Multiple Choice Questions'!$A$21)&amp;"AAA",3,1))&lt;=90)))),"'"&amp;'Multiple Choice Questions'!$A$21&amp;"' isn't a valid Excel column letter, so Themefinder can't find this column on the Responses sheet.","")</f>
        <v>0</v>
      </c>
      <c r="F474" s="4" t="s">
        <v>274</v>
      </c>
    </row>
    <row r="475" spans="1:6" ht="75" customHeight="1">
      <c r="A475" t="s">
        <v>218</v>
      </c>
      <c r="B475" t="s">
        <v>186</v>
      </c>
      <c r="C475" t="s">
        <v>324</v>
      </c>
      <c r="D475" t="s">
        <v>165</v>
      </c>
      <c r="E475" s="4">
        <f>IF(AND('Multiple Choice Questions'!$A$22&lt;&gt;"",NOT(AND(LEN(TRIM('Multiple Choice Questions'!$A$22))&gt;=1,LEN(TRIM('Multiple Choice Questions'!$A$22))&lt;=3,AND(CODE(MID(TRIM('Multiple Choice Questions'!$A$22)&amp;"AAA",1,1))&gt;=65,CODE(MID(TRIM('Multiple Choice Questions'!$A$22)&amp;"AAA",1,1))&lt;=90),AND(CODE(MID(TRIM('Multiple Choice Questions'!$A$22)&amp;"AAA",2,1))&gt;=65,CODE(MID(TRIM('Multiple Choice Questions'!$A$22)&amp;"AAA",2,1))&lt;=90),AND(CODE(MID(TRIM('Multiple Choice Questions'!$A$22)&amp;"AAA",3,1))&gt;=65,CODE(MID(TRIM('Multiple Choice Questions'!$A$22)&amp;"AAA",3,1))&lt;=90)))),"'"&amp;'Multiple Choice Questions'!$A$22&amp;"' isn't a valid Excel column letter, so Themefinder can't find this column on the Responses sheet.","")</f>
        <v>0</v>
      </c>
      <c r="F475" s="4" t="s">
        <v>274</v>
      </c>
    </row>
    <row r="476" spans="1:6" ht="75" customHeight="1">
      <c r="A476" t="s">
        <v>218</v>
      </c>
      <c r="B476" t="s">
        <v>187</v>
      </c>
      <c r="C476" t="s">
        <v>324</v>
      </c>
      <c r="D476" t="s">
        <v>165</v>
      </c>
      <c r="E476" s="4">
        <f>IF(AND('Multiple Choice Questions'!$A$23&lt;&gt;"",NOT(AND(LEN(TRIM('Multiple Choice Questions'!$A$23))&gt;=1,LEN(TRIM('Multiple Choice Questions'!$A$23))&lt;=3,AND(CODE(MID(TRIM('Multiple Choice Questions'!$A$23)&amp;"AAA",1,1))&gt;=65,CODE(MID(TRIM('Multiple Choice Questions'!$A$23)&amp;"AAA",1,1))&lt;=90),AND(CODE(MID(TRIM('Multiple Choice Questions'!$A$23)&amp;"AAA",2,1))&gt;=65,CODE(MID(TRIM('Multiple Choice Questions'!$A$23)&amp;"AAA",2,1))&lt;=90),AND(CODE(MID(TRIM('Multiple Choice Questions'!$A$23)&amp;"AAA",3,1))&gt;=65,CODE(MID(TRIM('Multiple Choice Questions'!$A$23)&amp;"AAA",3,1))&lt;=90)))),"'"&amp;'Multiple Choice Questions'!$A$23&amp;"' isn't a valid Excel column letter, so Themefinder can't find this column on the Responses sheet.","")</f>
        <v>0</v>
      </c>
      <c r="F476" s="4" t="s">
        <v>274</v>
      </c>
    </row>
    <row r="477" spans="1:6" ht="75" customHeight="1">
      <c r="A477" t="s">
        <v>218</v>
      </c>
      <c r="B477" t="s">
        <v>188</v>
      </c>
      <c r="C477" t="s">
        <v>324</v>
      </c>
      <c r="D477" t="s">
        <v>165</v>
      </c>
      <c r="E477" s="4">
        <f>IF(AND('Multiple Choice Questions'!$A$24&lt;&gt;"",NOT(AND(LEN(TRIM('Multiple Choice Questions'!$A$24))&gt;=1,LEN(TRIM('Multiple Choice Questions'!$A$24))&lt;=3,AND(CODE(MID(TRIM('Multiple Choice Questions'!$A$24)&amp;"AAA",1,1))&gt;=65,CODE(MID(TRIM('Multiple Choice Questions'!$A$24)&amp;"AAA",1,1))&lt;=90),AND(CODE(MID(TRIM('Multiple Choice Questions'!$A$24)&amp;"AAA",2,1))&gt;=65,CODE(MID(TRIM('Multiple Choice Questions'!$A$24)&amp;"AAA",2,1))&lt;=90),AND(CODE(MID(TRIM('Multiple Choice Questions'!$A$24)&amp;"AAA",3,1))&gt;=65,CODE(MID(TRIM('Multiple Choice Questions'!$A$24)&amp;"AAA",3,1))&lt;=90)))),"'"&amp;'Multiple Choice Questions'!$A$24&amp;"' isn't a valid Excel column letter, so Themefinder can't find this column on the Responses sheet.","")</f>
        <v>0</v>
      </c>
      <c r="F477" s="4" t="s">
        <v>274</v>
      </c>
    </row>
    <row r="478" spans="1:6" ht="75" customHeight="1">
      <c r="A478" t="s">
        <v>218</v>
      </c>
      <c r="B478" t="s">
        <v>189</v>
      </c>
      <c r="C478" t="s">
        <v>324</v>
      </c>
      <c r="D478" t="s">
        <v>165</v>
      </c>
      <c r="E478" s="4">
        <f>IF(AND('Multiple Choice Questions'!$A$25&lt;&gt;"",NOT(AND(LEN(TRIM('Multiple Choice Questions'!$A$25))&gt;=1,LEN(TRIM('Multiple Choice Questions'!$A$25))&lt;=3,AND(CODE(MID(TRIM('Multiple Choice Questions'!$A$25)&amp;"AAA",1,1))&gt;=65,CODE(MID(TRIM('Multiple Choice Questions'!$A$25)&amp;"AAA",1,1))&lt;=90),AND(CODE(MID(TRIM('Multiple Choice Questions'!$A$25)&amp;"AAA",2,1))&gt;=65,CODE(MID(TRIM('Multiple Choice Questions'!$A$25)&amp;"AAA",2,1))&lt;=90),AND(CODE(MID(TRIM('Multiple Choice Questions'!$A$25)&amp;"AAA",3,1))&gt;=65,CODE(MID(TRIM('Multiple Choice Questions'!$A$25)&amp;"AAA",3,1))&lt;=90)))),"'"&amp;'Multiple Choice Questions'!$A$25&amp;"' isn't a valid Excel column letter, so Themefinder can't find this column on the Responses sheet.","")</f>
        <v>0</v>
      </c>
      <c r="F478" s="4" t="s">
        <v>274</v>
      </c>
    </row>
    <row r="479" spans="1:6" ht="75" customHeight="1">
      <c r="A479" t="s">
        <v>218</v>
      </c>
      <c r="B479" t="s">
        <v>190</v>
      </c>
      <c r="C479" t="s">
        <v>324</v>
      </c>
      <c r="D479" t="s">
        <v>165</v>
      </c>
      <c r="E479" s="4">
        <f>IF(AND('Multiple Choice Questions'!$A$26&lt;&gt;"",NOT(AND(LEN(TRIM('Multiple Choice Questions'!$A$26))&gt;=1,LEN(TRIM('Multiple Choice Questions'!$A$26))&lt;=3,AND(CODE(MID(TRIM('Multiple Choice Questions'!$A$26)&amp;"AAA",1,1))&gt;=65,CODE(MID(TRIM('Multiple Choice Questions'!$A$26)&amp;"AAA",1,1))&lt;=90),AND(CODE(MID(TRIM('Multiple Choice Questions'!$A$26)&amp;"AAA",2,1))&gt;=65,CODE(MID(TRIM('Multiple Choice Questions'!$A$26)&amp;"AAA",2,1))&lt;=90),AND(CODE(MID(TRIM('Multiple Choice Questions'!$A$26)&amp;"AAA",3,1))&gt;=65,CODE(MID(TRIM('Multiple Choice Questions'!$A$26)&amp;"AAA",3,1))&lt;=90)))),"'"&amp;'Multiple Choice Questions'!$A$26&amp;"' isn't a valid Excel column letter, so Themefinder can't find this column on the Responses sheet.","")</f>
        <v>0</v>
      </c>
      <c r="F479" s="4" t="s">
        <v>274</v>
      </c>
    </row>
    <row r="480" spans="1:6" ht="75" customHeight="1">
      <c r="A480" t="s">
        <v>218</v>
      </c>
      <c r="B480" t="s">
        <v>191</v>
      </c>
      <c r="C480" t="s">
        <v>324</v>
      </c>
      <c r="D480" t="s">
        <v>165</v>
      </c>
      <c r="E480" s="4">
        <f>IF(AND('Multiple Choice Questions'!$A$27&lt;&gt;"",NOT(AND(LEN(TRIM('Multiple Choice Questions'!$A$27))&gt;=1,LEN(TRIM('Multiple Choice Questions'!$A$27))&lt;=3,AND(CODE(MID(TRIM('Multiple Choice Questions'!$A$27)&amp;"AAA",1,1))&gt;=65,CODE(MID(TRIM('Multiple Choice Questions'!$A$27)&amp;"AAA",1,1))&lt;=90),AND(CODE(MID(TRIM('Multiple Choice Questions'!$A$27)&amp;"AAA",2,1))&gt;=65,CODE(MID(TRIM('Multiple Choice Questions'!$A$27)&amp;"AAA",2,1))&lt;=90),AND(CODE(MID(TRIM('Multiple Choice Questions'!$A$27)&amp;"AAA",3,1))&gt;=65,CODE(MID(TRIM('Multiple Choice Questions'!$A$27)&amp;"AAA",3,1))&lt;=90)))),"'"&amp;'Multiple Choice Questions'!$A$27&amp;"' isn't a valid Excel column letter, so Themefinder can't find this column on the Responses sheet.","")</f>
        <v>0</v>
      </c>
      <c r="F480" s="4" t="s">
        <v>274</v>
      </c>
    </row>
    <row r="481" spans="1:6" ht="75" customHeight="1">
      <c r="A481" t="s">
        <v>218</v>
      </c>
      <c r="B481" t="s">
        <v>192</v>
      </c>
      <c r="C481" t="s">
        <v>324</v>
      </c>
      <c r="D481" t="s">
        <v>165</v>
      </c>
      <c r="E481" s="4">
        <f>IF(AND('Multiple Choice Questions'!$A$28&lt;&gt;"",NOT(AND(LEN(TRIM('Multiple Choice Questions'!$A$28))&gt;=1,LEN(TRIM('Multiple Choice Questions'!$A$28))&lt;=3,AND(CODE(MID(TRIM('Multiple Choice Questions'!$A$28)&amp;"AAA",1,1))&gt;=65,CODE(MID(TRIM('Multiple Choice Questions'!$A$28)&amp;"AAA",1,1))&lt;=90),AND(CODE(MID(TRIM('Multiple Choice Questions'!$A$28)&amp;"AAA",2,1))&gt;=65,CODE(MID(TRIM('Multiple Choice Questions'!$A$28)&amp;"AAA",2,1))&lt;=90),AND(CODE(MID(TRIM('Multiple Choice Questions'!$A$28)&amp;"AAA",3,1))&gt;=65,CODE(MID(TRIM('Multiple Choice Questions'!$A$28)&amp;"AAA",3,1))&lt;=90)))),"'"&amp;'Multiple Choice Questions'!$A$28&amp;"' isn't a valid Excel column letter, so Themefinder can't find this column on the Responses sheet.","")</f>
        <v>0</v>
      </c>
      <c r="F481" s="4" t="s">
        <v>274</v>
      </c>
    </row>
    <row r="482" spans="1:6" ht="75" customHeight="1">
      <c r="A482" t="s">
        <v>218</v>
      </c>
      <c r="B482" t="s">
        <v>193</v>
      </c>
      <c r="C482" t="s">
        <v>324</v>
      </c>
      <c r="D482" t="s">
        <v>165</v>
      </c>
      <c r="E482" s="4">
        <f>IF(AND('Multiple Choice Questions'!$A$29&lt;&gt;"",NOT(AND(LEN(TRIM('Multiple Choice Questions'!$A$29))&gt;=1,LEN(TRIM('Multiple Choice Questions'!$A$29))&lt;=3,AND(CODE(MID(TRIM('Multiple Choice Questions'!$A$29)&amp;"AAA",1,1))&gt;=65,CODE(MID(TRIM('Multiple Choice Questions'!$A$29)&amp;"AAA",1,1))&lt;=90),AND(CODE(MID(TRIM('Multiple Choice Questions'!$A$29)&amp;"AAA",2,1))&gt;=65,CODE(MID(TRIM('Multiple Choice Questions'!$A$29)&amp;"AAA",2,1))&lt;=90),AND(CODE(MID(TRIM('Multiple Choice Questions'!$A$29)&amp;"AAA",3,1))&gt;=65,CODE(MID(TRIM('Multiple Choice Questions'!$A$29)&amp;"AAA",3,1))&lt;=90)))),"'"&amp;'Multiple Choice Questions'!$A$29&amp;"' isn't a valid Excel column letter, so Themefinder can't find this column on the Responses sheet.","")</f>
        <v>0</v>
      </c>
      <c r="F482" s="4" t="s">
        <v>274</v>
      </c>
    </row>
    <row r="483" spans="1:6" ht="75" customHeight="1">
      <c r="A483" t="s">
        <v>218</v>
      </c>
      <c r="B483" t="s">
        <v>194</v>
      </c>
      <c r="C483" t="s">
        <v>324</v>
      </c>
      <c r="D483" t="s">
        <v>165</v>
      </c>
      <c r="E483" s="4">
        <f>IF(AND('Multiple Choice Questions'!$A$30&lt;&gt;"",NOT(AND(LEN(TRIM('Multiple Choice Questions'!$A$30))&gt;=1,LEN(TRIM('Multiple Choice Questions'!$A$30))&lt;=3,AND(CODE(MID(TRIM('Multiple Choice Questions'!$A$30)&amp;"AAA",1,1))&gt;=65,CODE(MID(TRIM('Multiple Choice Questions'!$A$30)&amp;"AAA",1,1))&lt;=90),AND(CODE(MID(TRIM('Multiple Choice Questions'!$A$30)&amp;"AAA",2,1))&gt;=65,CODE(MID(TRIM('Multiple Choice Questions'!$A$30)&amp;"AAA",2,1))&lt;=90),AND(CODE(MID(TRIM('Multiple Choice Questions'!$A$30)&amp;"AAA",3,1))&gt;=65,CODE(MID(TRIM('Multiple Choice Questions'!$A$30)&amp;"AAA",3,1))&lt;=90)))),"'"&amp;'Multiple Choice Questions'!$A$30&amp;"' isn't a valid Excel column letter, so Themefinder can't find this column on the Responses sheet.","")</f>
        <v>0</v>
      </c>
      <c r="F483" s="4" t="s">
        <v>274</v>
      </c>
    </row>
    <row r="484" spans="1:6" ht="75" customHeight="1">
      <c r="A484" t="s">
        <v>218</v>
      </c>
      <c r="B484" t="s">
        <v>195</v>
      </c>
      <c r="C484" t="s">
        <v>324</v>
      </c>
      <c r="D484" t="s">
        <v>165</v>
      </c>
      <c r="E484" s="4">
        <f>IF(AND('Multiple Choice Questions'!$A$31&lt;&gt;"",NOT(AND(LEN(TRIM('Multiple Choice Questions'!$A$31))&gt;=1,LEN(TRIM('Multiple Choice Questions'!$A$31))&lt;=3,AND(CODE(MID(TRIM('Multiple Choice Questions'!$A$31)&amp;"AAA",1,1))&gt;=65,CODE(MID(TRIM('Multiple Choice Questions'!$A$31)&amp;"AAA",1,1))&lt;=90),AND(CODE(MID(TRIM('Multiple Choice Questions'!$A$31)&amp;"AAA",2,1))&gt;=65,CODE(MID(TRIM('Multiple Choice Questions'!$A$31)&amp;"AAA",2,1))&lt;=90),AND(CODE(MID(TRIM('Multiple Choice Questions'!$A$31)&amp;"AAA",3,1))&gt;=65,CODE(MID(TRIM('Multiple Choice Questions'!$A$31)&amp;"AAA",3,1))&lt;=90)))),"'"&amp;'Multiple Choice Questions'!$A$31&amp;"' isn't a valid Excel column letter, so Themefinder can't find this column on the Responses sheet.","")</f>
        <v>0</v>
      </c>
      <c r="F484" s="4" t="s">
        <v>274</v>
      </c>
    </row>
    <row r="485" spans="1:6" ht="75" customHeight="1">
      <c r="A485" t="s">
        <v>218</v>
      </c>
      <c r="B485" t="s">
        <v>196</v>
      </c>
      <c r="C485" t="s">
        <v>324</v>
      </c>
      <c r="D485" t="s">
        <v>165</v>
      </c>
      <c r="E485" s="4">
        <f>IF(AND('Multiple Choice Questions'!$A$32&lt;&gt;"",NOT(AND(LEN(TRIM('Multiple Choice Questions'!$A$32))&gt;=1,LEN(TRIM('Multiple Choice Questions'!$A$32))&lt;=3,AND(CODE(MID(TRIM('Multiple Choice Questions'!$A$32)&amp;"AAA",1,1))&gt;=65,CODE(MID(TRIM('Multiple Choice Questions'!$A$32)&amp;"AAA",1,1))&lt;=90),AND(CODE(MID(TRIM('Multiple Choice Questions'!$A$32)&amp;"AAA",2,1))&gt;=65,CODE(MID(TRIM('Multiple Choice Questions'!$A$32)&amp;"AAA",2,1))&lt;=90),AND(CODE(MID(TRIM('Multiple Choice Questions'!$A$32)&amp;"AAA",3,1))&gt;=65,CODE(MID(TRIM('Multiple Choice Questions'!$A$32)&amp;"AAA",3,1))&lt;=90)))),"'"&amp;'Multiple Choice Questions'!$A$32&amp;"' isn't a valid Excel column letter, so Themefinder can't find this column on the Responses sheet.","")</f>
        <v>0</v>
      </c>
      <c r="F485" s="4" t="s">
        <v>274</v>
      </c>
    </row>
    <row r="486" spans="1:6" ht="75" customHeight="1">
      <c r="A486" t="s">
        <v>218</v>
      </c>
      <c r="B486" t="s">
        <v>197</v>
      </c>
      <c r="C486" t="s">
        <v>324</v>
      </c>
      <c r="D486" t="s">
        <v>165</v>
      </c>
      <c r="E486" s="4">
        <f>IF(AND('Multiple Choice Questions'!$A$33&lt;&gt;"",NOT(AND(LEN(TRIM('Multiple Choice Questions'!$A$33))&gt;=1,LEN(TRIM('Multiple Choice Questions'!$A$33))&lt;=3,AND(CODE(MID(TRIM('Multiple Choice Questions'!$A$33)&amp;"AAA",1,1))&gt;=65,CODE(MID(TRIM('Multiple Choice Questions'!$A$33)&amp;"AAA",1,1))&lt;=90),AND(CODE(MID(TRIM('Multiple Choice Questions'!$A$33)&amp;"AAA",2,1))&gt;=65,CODE(MID(TRIM('Multiple Choice Questions'!$A$33)&amp;"AAA",2,1))&lt;=90),AND(CODE(MID(TRIM('Multiple Choice Questions'!$A$33)&amp;"AAA",3,1))&gt;=65,CODE(MID(TRIM('Multiple Choice Questions'!$A$33)&amp;"AAA",3,1))&lt;=90)))),"'"&amp;'Multiple Choice Questions'!$A$33&amp;"' isn't a valid Excel column letter, so Themefinder can't find this column on the Responses sheet.","")</f>
        <v>0</v>
      </c>
      <c r="F486" s="4" t="s">
        <v>274</v>
      </c>
    </row>
    <row r="487" spans="1:6" ht="75" customHeight="1">
      <c r="A487" t="s">
        <v>218</v>
      </c>
      <c r="B487" t="s">
        <v>198</v>
      </c>
      <c r="C487" t="s">
        <v>324</v>
      </c>
      <c r="D487" t="s">
        <v>165</v>
      </c>
      <c r="E487" s="4">
        <f>IF(AND('Multiple Choice Questions'!$A$34&lt;&gt;"",NOT(AND(LEN(TRIM('Multiple Choice Questions'!$A$34))&gt;=1,LEN(TRIM('Multiple Choice Questions'!$A$34))&lt;=3,AND(CODE(MID(TRIM('Multiple Choice Questions'!$A$34)&amp;"AAA",1,1))&gt;=65,CODE(MID(TRIM('Multiple Choice Questions'!$A$34)&amp;"AAA",1,1))&lt;=90),AND(CODE(MID(TRIM('Multiple Choice Questions'!$A$34)&amp;"AAA",2,1))&gt;=65,CODE(MID(TRIM('Multiple Choice Questions'!$A$34)&amp;"AAA",2,1))&lt;=90),AND(CODE(MID(TRIM('Multiple Choice Questions'!$A$34)&amp;"AAA",3,1))&gt;=65,CODE(MID(TRIM('Multiple Choice Questions'!$A$34)&amp;"AAA",3,1))&lt;=90)))),"'"&amp;'Multiple Choice Questions'!$A$34&amp;"' isn't a valid Excel column letter, so Themefinder can't find this column on the Responses sheet.","")</f>
        <v>0</v>
      </c>
      <c r="F487" s="4" t="s">
        <v>274</v>
      </c>
    </row>
    <row r="488" spans="1:6" ht="75" customHeight="1">
      <c r="A488" t="s">
        <v>218</v>
      </c>
      <c r="B488" t="s">
        <v>199</v>
      </c>
      <c r="C488" t="s">
        <v>324</v>
      </c>
      <c r="D488" t="s">
        <v>165</v>
      </c>
      <c r="E488" s="4">
        <f>IF(AND('Multiple Choice Questions'!$A$35&lt;&gt;"",NOT(AND(LEN(TRIM('Multiple Choice Questions'!$A$35))&gt;=1,LEN(TRIM('Multiple Choice Questions'!$A$35))&lt;=3,AND(CODE(MID(TRIM('Multiple Choice Questions'!$A$35)&amp;"AAA",1,1))&gt;=65,CODE(MID(TRIM('Multiple Choice Questions'!$A$35)&amp;"AAA",1,1))&lt;=90),AND(CODE(MID(TRIM('Multiple Choice Questions'!$A$35)&amp;"AAA",2,1))&gt;=65,CODE(MID(TRIM('Multiple Choice Questions'!$A$35)&amp;"AAA",2,1))&lt;=90),AND(CODE(MID(TRIM('Multiple Choice Questions'!$A$35)&amp;"AAA",3,1))&gt;=65,CODE(MID(TRIM('Multiple Choice Questions'!$A$35)&amp;"AAA",3,1))&lt;=90)))),"'"&amp;'Multiple Choice Questions'!$A$35&amp;"' isn't a valid Excel column letter, so Themefinder can't find this column on the Responses sheet.","")</f>
        <v>0</v>
      </c>
      <c r="F488" s="4" t="s">
        <v>274</v>
      </c>
    </row>
    <row r="489" spans="1:6" ht="75" customHeight="1">
      <c r="A489" t="s">
        <v>218</v>
      </c>
      <c r="B489" t="s">
        <v>200</v>
      </c>
      <c r="C489" t="s">
        <v>324</v>
      </c>
      <c r="D489" t="s">
        <v>165</v>
      </c>
      <c r="E489" s="4">
        <f>IF(AND('Multiple Choice Questions'!$A$36&lt;&gt;"",NOT(AND(LEN(TRIM('Multiple Choice Questions'!$A$36))&gt;=1,LEN(TRIM('Multiple Choice Questions'!$A$36))&lt;=3,AND(CODE(MID(TRIM('Multiple Choice Questions'!$A$36)&amp;"AAA",1,1))&gt;=65,CODE(MID(TRIM('Multiple Choice Questions'!$A$36)&amp;"AAA",1,1))&lt;=90),AND(CODE(MID(TRIM('Multiple Choice Questions'!$A$36)&amp;"AAA",2,1))&gt;=65,CODE(MID(TRIM('Multiple Choice Questions'!$A$36)&amp;"AAA",2,1))&lt;=90),AND(CODE(MID(TRIM('Multiple Choice Questions'!$A$36)&amp;"AAA",3,1))&gt;=65,CODE(MID(TRIM('Multiple Choice Questions'!$A$36)&amp;"AAA",3,1))&lt;=90)))),"'"&amp;'Multiple Choice Questions'!$A$36&amp;"' isn't a valid Excel column letter, so Themefinder can't find this column on the Responses sheet.","")</f>
        <v>0</v>
      </c>
      <c r="F489" s="4" t="s">
        <v>274</v>
      </c>
    </row>
    <row r="490" spans="1:6" ht="75" customHeight="1">
      <c r="A490" t="s">
        <v>218</v>
      </c>
      <c r="B490" t="s">
        <v>201</v>
      </c>
      <c r="C490" t="s">
        <v>324</v>
      </c>
      <c r="D490" t="s">
        <v>165</v>
      </c>
      <c r="E490" s="4">
        <f>IF(AND('Multiple Choice Questions'!$A$37&lt;&gt;"",NOT(AND(LEN(TRIM('Multiple Choice Questions'!$A$37))&gt;=1,LEN(TRIM('Multiple Choice Questions'!$A$37))&lt;=3,AND(CODE(MID(TRIM('Multiple Choice Questions'!$A$37)&amp;"AAA",1,1))&gt;=65,CODE(MID(TRIM('Multiple Choice Questions'!$A$37)&amp;"AAA",1,1))&lt;=90),AND(CODE(MID(TRIM('Multiple Choice Questions'!$A$37)&amp;"AAA",2,1))&gt;=65,CODE(MID(TRIM('Multiple Choice Questions'!$A$37)&amp;"AAA",2,1))&lt;=90),AND(CODE(MID(TRIM('Multiple Choice Questions'!$A$37)&amp;"AAA",3,1))&gt;=65,CODE(MID(TRIM('Multiple Choice Questions'!$A$37)&amp;"AAA",3,1))&lt;=90)))),"'"&amp;'Multiple Choice Questions'!$A$37&amp;"' isn't a valid Excel column letter, so Themefinder can't find this column on the Responses sheet.","")</f>
        <v>0</v>
      </c>
      <c r="F490" s="4" t="s">
        <v>274</v>
      </c>
    </row>
    <row r="491" spans="1:6" ht="75" customHeight="1">
      <c r="A491" t="s">
        <v>218</v>
      </c>
      <c r="B491" t="s">
        <v>202</v>
      </c>
      <c r="C491" t="s">
        <v>324</v>
      </c>
      <c r="D491" t="s">
        <v>165</v>
      </c>
      <c r="E491" s="4">
        <f>IF(AND('Multiple Choice Questions'!$A$38&lt;&gt;"",NOT(AND(LEN(TRIM('Multiple Choice Questions'!$A$38))&gt;=1,LEN(TRIM('Multiple Choice Questions'!$A$38))&lt;=3,AND(CODE(MID(TRIM('Multiple Choice Questions'!$A$38)&amp;"AAA",1,1))&gt;=65,CODE(MID(TRIM('Multiple Choice Questions'!$A$38)&amp;"AAA",1,1))&lt;=90),AND(CODE(MID(TRIM('Multiple Choice Questions'!$A$38)&amp;"AAA",2,1))&gt;=65,CODE(MID(TRIM('Multiple Choice Questions'!$A$38)&amp;"AAA",2,1))&lt;=90),AND(CODE(MID(TRIM('Multiple Choice Questions'!$A$38)&amp;"AAA",3,1))&gt;=65,CODE(MID(TRIM('Multiple Choice Questions'!$A$38)&amp;"AAA",3,1))&lt;=90)))),"'"&amp;'Multiple Choice Questions'!$A$38&amp;"' isn't a valid Excel column letter, so Themefinder can't find this column on the Responses sheet.","")</f>
        <v>0</v>
      </c>
      <c r="F491" s="4" t="s">
        <v>274</v>
      </c>
    </row>
    <row r="492" spans="1:6" ht="75" customHeight="1">
      <c r="A492" t="s">
        <v>218</v>
      </c>
      <c r="B492" t="s">
        <v>203</v>
      </c>
      <c r="C492" t="s">
        <v>324</v>
      </c>
      <c r="D492" t="s">
        <v>165</v>
      </c>
      <c r="E492" s="4">
        <f>IF(AND('Multiple Choice Questions'!$A$39&lt;&gt;"",NOT(AND(LEN(TRIM('Multiple Choice Questions'!$A$39))&gt;=1,LEN(TRIM('Multiple Choice Questions'!$A$39))&lt;=3,AND(CODE(MID(TRIM('Multiple Choice Questions'!$A$39)&amp;"AAA",1,1))&gt;=65,CODE(MID(TRIM('Multiple Choice Questions'!$A$39)&amp;"AAA",1,1))&lt;=90),AND(CODE(MID(TRIM('Multiple Choice Questions'!$A$39)&amp;"AAA",2,1))&gt;=65,CODE(MID(TRIM('Multiple Choice Questions'!$A$39)&amp;"AAA",2,1))&lt;=90),AND(CODE(MID(TRIM('Multiple Choice Questions'!$A$39)&amp;"AAA",3,1))&gt;=65,CODE(MID(TRIM('Multiple Choice Questions'!$A$39)&amp;"AAA",3,1))&lt;=90)))),"'"&amp;'Multiple Choice Questions'!$A$39&amp;"' isn't a valid Excel column letter, so Themefinder can't find this column on the Responses sheet.","")</f>
        <v>0</v>
      </c>
      <c r="F492" s="4" t="s">
        <v>274</v>
      </c>
    </row>
    <row r="493" spans="1:6" ht="75" customHeight="1">
      <c r="A493" t="s">
        <v>218</v>
      </c>
      <c r="B493" t="s">
        <v>204</v>
      </c>
      <c r="C493" t="s">
        <v>324</v>
      </c>
      <c r="D493" t="s">
        <v>165</v>
      </c>
      <c r="E493" s="4">
        <f>IF(AND('Multiple Choice Questions'!$A$40&lt;&gt;"",NOT(AND(LEN(TRIM('Multiple Choice Questions'!$A$40))&gt;=1,LEN(TRIM('Multiple Choice Questions'!$A$40))&lt;=3,AND(CODE(MID(TRIM('Multiple Choice Questions'!$A$40)&amp;"AAA",1,1))&gt;=65,CODE(MID(TRIM('Multiple Choice Questions'!$A$40)&amp;"AAA",1,1))&lt;=90),AND(CODE(MID(TRIM('Multiple Choice Questions'!$A$40)&amp;"AAA",2,1))&gt;=65,CODE(MID(TRIM('Multiple Choice Questions'!$A$40)&amp;"AAA",2,1))&lt;=90),AND(CODE(MID(TRIM('Multiple Choice Questions'!$A$40)&amp;"AAA",3,1))&gt;=65,CODE(MID(TRIM('Multiple Choice Questions'!$A$40)&amp;"AAA",3,1))&lt;=90)))),"'"&amp;'Multiple Choice Questions'!$A$40&amp;"' isn't a valid Excel column letter, so Themefinder can't find this column on the Responses sheet.","")</f>
        <v>0</v>
      </c>
      <c r="F493" s="4" t="s">
        <v>274</v>
      </c>
    </row>
    <row r="494" spans="1:6" ht="75" customHeight="1">
      <c r="A494" t="s">
        <v>218</v>
      </c>
      <c r="B494" t="s">
        <v>205</v>
      </c>
      <c r="C494" t="s">
        <v>324</v>
      </c>
      <c r="D494" t="s">
        <v>165</v>
      </c>
      <c r="E494" s="4">
        <f>IF(AND('Multiple Choice Questions'!$A$41&lt;&gt;"",NOT(AND(LEN(TRIM('Multiple Choice Questions'!$A$41))&gt;=1,LEN(TRIM('Multiple Choice Questions'!$A$41))&lt;=3,AND(CODE(MID(TRIM('Multiple Choice Questions'!$A$41)&amp;"AAA",1,1))&gt;=65,CODE(MID(TRIM('Multiple Choice Questions'!$A$41)&amp;"AAA",1,1))&lt;=90),AND(CODE(MID(TRIM('Multiple Choice Questions'!$A$41)&amp;"AAA",2,1))&gt;=65,CODE(MID(TRIM('Multiple Choice Questions'!$A$41)&amp;"AAA",2,1))&lt;=90),AND(CODE(MID(TRIM('Multiple Choice Questions'!$A$41)&amp;"AAA",3,1))&gt;=65,CODE(MID(TRIM('Multiple Choice Questions'!$A$41)&amp;"AAA",3,1))&lt;=90)))),"'"&amp;'Multiple Choice Questions'!$A$41&amp;"' isn't a valid Excel column letter, so Themefinder can't find this column on the Responses sheet.","")</f>
        <v>0</v>
      </c>
      <c r="F494" s="4" t="s">
        <v>274</v>
      </c>
    </row>
    <row r="495" spans="1:6" ht="75" customHeight="1">
      <c r="A495" t="s">
        <v>218</v>
      </c>
      <c r="B495" t="s">
        <v>206</v>
      </c>
      <c r="C495" t="s">
        <v>324</v>
      </c>
      <c r="D495" t="s">
        <v>165</v>
      </c>
      <c r="E495" s="4">
        <f>IF(AND('Multiple Choice Questions'!$A$42&lt;&gt;"",NOT(AND(LEN(TRIM('Multiple Choice Questions'!$A$42))&gt;=1,LEN(TRIM('Multiple Choice Questions'!$A$42))&lt;=3,AND(CODE(MID(TRIM('Multiple Choice Questions'!$A$42)&amp;"AAA",1,1))&gt;=65,CODE(MID(TRIM('Multiple Choice Questions'!$A$42)&amp;"AAA",1,1))&lt;=90),AND(CODE(MID(TRIM('Multiple Choice Questions'!$A$42)&amp;"AAA",2,1))&gt;=65,CODE(MID(TRIM('Multiple Choice Questions'!$A$42)&amp;"AAA",2,1))&lt;=90),AND(CODE(MID(TRIM('Multiple Choice Questions'!$A$42)&amp;"AAA",3,1))&gt;=65,CODE(MID(TRIM('Multiple Choice Questions'!$A$42)&amp;"AAA",3,1))&lt;=90)))),"'"&amp;'Multiple Choice Questions'!$A$42&amp;"' isn't a valid Excel column letter, so Themefinder can't find this column on the Responses sheet.","")</f>
        <v>0</v>
      </c>
      <c r="F495" s="4" t="s">
        <v>274</v>
      </c>
    </row>
    <row r="496" spans="1:6" ht="75" customHeight="1">
      <c r="A496" t="s">
        <v>218</v>
      </c>
      <c r="B496" t="s">
        <v>207</v>
      </c>
      <c r="C496" t="s">
        <v>324</v>
      </c>
      <c r="D496" t="s">
        <v>165</v>
      </c>
      <c r="E496" s="4">
        <f>IF(AND('Multiple Choice Questions'!$A$43&lt;&gt;"",NOT(AND(LEN(TRIM('Multiple Choice Questions'!$A$43))&gt;=1,LEN(TRIM('Multiple Choice Questions'!$A$43))&lt;=3,AND(CODE(MID(TRIM('Multiple Choice Questions'!$A$43)&amp;"AAA",1,1))&gt;=65,CODE(MID(TRIM('Multiple Choice Questions'!$A$43)&amp;"AAA",1,1))&lt;=90),AND(CODE(MID(TRIM('Multiple Choice Questions'!$A$43)&amp;"AAA",2,1))&gt;=65,CODE(MID(TRIM('Multiple Choice Questions'!$A$43)&amp;"AAA",2,1))&lt;=90),AND(CODE(MID(TRIM('Multiple Choice Questions'!$A$43)&amp;"AAA",3,1))&gt;=65,CODE(MID(TRIM('Multiple Choice Questions'!$A$43)&amp;"AAA",3,1))&lt;=90)))),"'"&amp;'Multiple Choice Questions'!$A$43&amp;"' isn't a valid Excel column letter, so Themefinder can't find this column on the Responses sheet.","")</f>
        <v>0</v>
      </c>
      <c r="F496" s="4" t="s">
        <v>274</v>
      </c>
    </row>
    <row r="497" spans="1:6" ht="75" customHeight="1">
      <c r="A497" t="s">
        <v>218</v>
      </c>
      <c r="B497" t="s">
        <v>208</v>
      </c>
      <c r="C497" t="s">
        <v>324</v>
      </c>
      <c r="D497" t="s">
        <v>165</v>
      </c>
      <c r="E497" s="4">
        <f>IF(AND('Multiple Choice Questions'!$A$44&lt;&gt;"",NOT(AND(LEN(TRIM('Multiple Choice Questions'!$A$44))&gt;=1,LEN(TRIM('Multiple Choice Questions'!$A$44))&lt;=3,AND(CODE(MID(TRIM('Multiple Choice Questions'!$A$44)&amp;"AAA",1,1))&gt;=65,CODE(MID(TRIM('Multiple Choice Questions'!$A$44)&amp;"AAA",1,1))&lt;=90),AND(CODE(MID(TRIM('Multiple Choice Questions'!$A$44)&amp;"AAA",2,1))&gt;=65,CODE(MID(TRIM('Multiple Choice Questions'!$A$44)&amp;"AAA",2,1))&lt;=90),AND(CODE(MID(TRIM('Multiple Choice Questions'!$A$44)&amp;"AAA",3,1))&gt;=65,CODE(MID(TRIM('Multiple Choice Questions'!$A$44)&amp;"AAA",3,1))&lt;=90)))),"'"&amp;'Multiple Choice Questions'!$A$44&amp;"' isn't a valid Excel column letter, so Themefinder can't find this column on the Responses sheet.","")</f>
        <v>0</v>
      </c>
      <c r="F497" s="4" t="s">
        <v>274</v>
      </c>
    </row>
    <row r="498" spans="1:6" ht="75" customHeight="1">
      <c r="A498" t="s">
        <v>218</v>
      </c>
      <c r="B498" t="s">
        <v>209</v>
      </c>
      <c r="C498" t="s">
        <v>324</v>
      </c>
      <c r="D498" t="s">
        <v>165</v>
      </c>
      <c r="E498" s="4">
        <f>IF(AND('Multiple Choice Questions'!$A$45&lt;&gt;"",NOT(AND(LEN(TRIM('Multiple Choice Questions'!$A$45))&gt;=1,LEN(TRIM('Multiple Choice Questions'!$A$45))&lt;=3,AND(CODE(MID(TRIM('Multiple Choice Questions'!$A$45)&amp;"AAA",1,1))&gt;=65,CODE(MID(TRIM('Multiple Choice Questions'!$A$45)&amp;"AAA",1,1))&lt;=90),AND(CODE(MID(TRIM('Multiple Choice Questions'!$A$45)&amp;"AAA",2,1))&gt;=65,CODE(MID(TRIM('Multiple Choice Questions'!$A$45)&amp;"AAA",2,1))&lt;=90),AND(CODE(MID(TRIM('Multiple Choice Questions'!$A$45)&amp;"AAA",3,1))&gt;=65,CODE(MID(TRIM('Multiple Choice Questions'!$A$45)&amp;"AAA",3,1))&lt;=90)))),"'"&amp;'Multiple Choice Questions'!$A$45&amp;"' isn't a valid Excel column letter, so Themefinder can't find this column on the Responses sheet.","")</f>
        <v>0</v>
      </c>
      <c r="F498" s="4" t="s">
        <v>274</v>
      </c>
    </row>
    <row r="499" spans="1:6" ht="75" customHeight="1">
      <c r="A499" t="s">
        <v>218</v>
      </c>
      <c r="B499" t="s">
        <v>210</v>
      </c>
      <c r="C499" t="s">
        <v>324</v>
      </c>
      <c r="D499" t="s">
        <v>165</v>
      </c>
      <c r="E499" s="4">
        <f>IF(AND('Multiple Choice Questions'!$A$46&lt;&gt;"",NOT(AND(LEN(TRIM('Multiple Choice Questions'!$A$46))&gt;=1,LEN(TRIM('Multiple Choice Questions'!$A$46))&lt;=3,AND(CODE(MID(TRIM('Multiple Choice Questions'!$A$46)&amp;"AAA",1,1))&gt;=65,CODE(MID(TRIM('Multiple Choice Questions'!$A$46)&amp;"AAA",1,1))&lt;=90),AND(CODE(MID(TRIM('Multiple Choice Questions'!$A$46)&amp;"AAA",2,1))&gt;=65,CODE(MID(TRIM('Multiple Choice Questions'!$A$46)&amp;"AAA",2,1))&lt;=90),AND(CODE(MID(TRIM('Multiple Choice Questions'!$A$46)&amp;"AAA",3,1))&gt;=65,CODE(MID(TRIM('Multiple Choice Questions'!$A$46)&amp;"AAA",3,1))&lt;=90)))),"'"&amp;'Multiple Choice Questions'!$A$46&amp;"' isn't a valid Excel column letter, so Themefinder can't find this column on the Responses sheet.","")</f>
        <v>0</v>
      </c>
      <c r="F499" s="4" t="s">
        <v>274</v>
      </c>
    </row>
    <row r="500" spans="1:6" ht="75" customHeight="1">
      <c r="A500" t="s">
        <v>218</v>
      </c>
      <c r="B500" t="s">
        <v>211</v>
      </c>
      <c r="C500" t="s">
        <v>324</v>
      </c>
      <c r="D500" t="s">
        <v>165</v>
      </c>
      <c r="E500" s="4">
        <f>IF(AND('Multiple Choice Questions'!$A$47&lt;&gt;"",NOT(AND(LEN(TRIM('Multiple Choice Questions'!$A$47))&gt;=1,LEN(TRIM('Multiple Choice Questions'!$A$47))&lt;=3,AND(CODE(MID(TRIM('Multiple Choice Questions'!$A$47)&amp;"AAA",1,1))&gt;=65,CODE(MID(TRIM('Multiple Choice Questions'!$A$47)&amp;"AAA",1,1))&lt;=90),AND(CODE(MID(TRIM('Multiple Choice Questions'!$A$47)&amp;"AAA",2,1))&gt;=65,CODE(MID(TRIM('Multiple Choice Questions'!$A$47)&amp;"AAA",2,1))&lt;=90),AND(CODE(MID(TRIM('Multiple Choice Questions'!$A$47)&amp;"AAA",3,1))&gt;=65,CODE(MID(TRIM('Multiple Choice Questions'!$A$47)&amp;"AAA",3,1))&lt;=90)))),"'"&amp;'Multiple Choice Questions'!$A$47&amp;"' isn't a valid Excel column letter, so Themefinder can't find this column on the Responses sheet.","")</f>
        <v>0</v>
      </c>
      <c r="F500" s="4" t="s">
        <v>274</v>
      </c>
    </row>
    <row r="501" spans="1:6" ht="75" customHeight="1">
      <c r="A501" t="s">
        <v>218</v>
      </c>
      <c r="B501" t="s">
        <v>212</v>
      </c>
      <c r="C501" t="s">
        <v>324</v>
      </c>
      <c r="D501" t="s">
        <v>165</v>
      </c>
      <c r="E501" s="4">
        <f>IF(AND('Multiple Choice Questions'!$A$48&lt;&gt;"",NOT(AND(LEN(TRIM('Multiple Choice Questions'!$A$48))&gt;=1,LEN(TRIM('Multiple Choice Questions'!$A$48))&lt;=3,AND(CODE(MID(TRIM('Multiple Choice Questions'!$A$48)&amp;"AAA",1,1))&gt;=65,CODE(MID(TRIM('Multiple Choice Questions'!$A$48)&amp;"AAA",1,1))&lt;=90),AND(CODE(MID(TRIM('Multiple Choice Questions'!$A$48)&amp;"AAA",2,1))&gt;=65,CODE(MID(TRIM('Multiple Choice Questions'!$A$48)&amp;"AAA",2,1))&lt;=90),AND(CODE(MID(TRIM('Multiple Choice Questions'!$A$48)&amp;"AAA",3,1))&gt;=65,CODE(MID(TRIM('Multiple Choice Questions'!$A$48)&amp;"AAA",3,1))&lt;=90)))),"'"&amp;'Multiple Choice Questions'!$A$48&amp;"' isn't a valid Excel column letter, so Themefinder can't find this column on the Responses sheet.","")</f>
        <v>0</v>
      </c>
      <c r="F501" s="4" t="s">
        <v>274</v>
      </c>
    </row>
    <row r="502" spans="1:6" ht="75" customHeight="1">
      <c r="A502" t="s">
        <v>218</v>
      </c>
      <c r="B502" t="s">
        <v>213</v>
      </c>
      <c r="C502" t="s">
        <v>324</v>
      </c>
      <c r="D502" t="s">
        <v>165</v>
      </c>
      <c r="E502" s="4">
        <f>IF(AND('Multiple Choice Questions'!$A$49&lt;&gt;"",NOT(AND(LEN(TRIM('Multiple Choice Questions'!$A$49))&gt;=1,LEN(TRIM('Multiple Choice Questions'!$A$49))&lt;=3,AND(CODE(MID(TRIM('Multiple Choice Questions'!$A$49)&amp;"AAA",1,1))&gt;=65,CODE(MID(TRIM('Multiple Choice Questions'!$A$49)&amp;"AAA",1,1))&lt;=90),AND(CODE(MID(TRIM('Multiple Choice Questions'!$A$49)&amp;"AAA",2,1))&gt;=65,CODE(MID(TRIM('Multiple Choice Questions'!$A$49)&amp;"AAA",2,1))&lt;=90),AND(CODE(MID(TRIM('Multiple Choice Questions'!$A$49)&amp;"AAA",3,1))&gt;=65,CODE(MID(TRIM('Multiple Choice Questions'!$A$49)&amp;"AAA",3,1))&lt;=90)))),"'"&amp;'Multiple Choice Questions'!$A$49&amp;"' isn't a valid Excel column letter, so Themefinder can't find this column on the Responses sheet.","")</f>
        <v>0</v>
      </c>
      <c r="F502" s="4" t="s">
        <v>274</v>
      </c>
    </row>
    <row r="503" spans="1:6" ht="75" customHeight="1">
      <c r="A503" t="s">
        <v>218</v>
      </c>
      <c r="B503" t="s">
        <v>214</v>
      </c>
      <c r="C503" t="s">
        <v>324</v>
      </c>
      <c r="D503" t="s">
        <v>165</v>
      </c>
      <c r="E503" s="4">
        <f>IF(AND('Multiple Choice Questions'!$A$50&lt;&gt;"",NOT(AND(LEN(TRIM('Multiple Choice Questions'!$A$50))&gt;=1,LEN(TRIM('Multiple Choice Questions'!$A$50))&lt;=3,AND(CODE(MID(TRIM('Multiple Choice Questions'!$A$50)&amp;"AAA",1,1))&gt;=65,CODE(MID(TRIM('Multiple Choice Questions'!$A$50)&amp;"AAA",1,1))&lt;=90),AND(CODE(MID(TRIM('Multiple Choice Questions'!$A$50)&amp;"AAA",2,1))&gt;=65,CODE(MID(TRIM('Multiple Choice Questions'!$A$50)&amp;"AAA",2,1))&lt;=90),AND(CODE(MID(TRIM('Multiple Choice Questions'!$A$50)&amp;"AAA",3,1))&gt;=65,CODE(MID(TRIM('Multiple Choice Questions'!$A$50)&amp;"AAA",3,1))&lt;=90)))),"'"&amp;'Multiple Choice Questions'!$A$50&amp;"' isn't a valid Excel column letter, so Themefinder can't find this column on the Responses sheet.","")</f>
        <v>0</v>
      </c>
      <c r="F503" s="4" t="s">
        <v>274</v>
      </c>
    </row>
    <row r="504" spans="1:6" ht="75" customHeight="1">
      <c r="A504" t="s">
        <v>218</v>
      </c>
      <c r="B504" t="s">
        <v>215</v>
      </c>
      <c r="C504" t="s">
        <v>324</v>
      </c>
      <c r="D504" t="s">
        <v>165</v>
      </c>
      <c r="E504" s="4">
        <f>IF(AND('Multiple Choice Questions'!$A$51&lt;&gt;"",NOT(AND(LEN(TRIM('Multiple Choice Questions'!$A$51))&gt;=1,LEN(TRIM('Multiple Choice Questions'!$A$51))&lt;=3,AND(CODE(MID(TRIM('Multiple Choice Questions'!$A$51)&amp;"AAA",1,1))&gt;=65,CODE(MID(TRIM('Multiple Choice Questions'!$A$51)&amp;"AAA",1,1))&lt;=90),AND(CODE(MID(TRIM('Multiple Choice Questions'!$A$51)&amp;"AAA",2,1))&gt;=65,CODE(MID(TRIM('Multiple Choice Questions'!$A$51)&amp;"AAA",2,1))&lt;=90),AND(CODE(MID(TRIM('Multiple Choice Questions'!$A$51)&amp;"AAA",3,1))&gt;=65,CODE(MID(TRIM('Multiple Choice Questions'!$A$51)&amp;"AAA",3,1))&lt;=90)))),"'"&amp;'Multiple Choice Questions'!$A$51&amp;"' isn't a valid Excel column letter, so Themefinder can't find this column on the Responses sheet.","")</f>
        <v>0</v>
      </c>
      <c r="F504" s="4" t="s">
        <v>274</v>
      </c>
    </row>
    <row r="505" spans="1:6" ht="75" customHeight="1">
      <c r="A505" t="s">
        <v>271</v>
      </c>
      <c r="B505" t="s">
        <v>163</v>
      </c>
      <c r="C505" t="s">
        <v>326</v>
      </c>
      <c r="D505" t="s">
        <v>165</v>
      </c>
      <c r="E505" s="4">
        <f>IF(AND('Hybrid Questions'!$A$2&lt;&gt;"",NOT(AND(LEN(TRIM('Hybrid Questions'!$A$2))&gt;=1,LEN(TRIM('Hybrid Questions'!$A$2))&lt;=3,AND(CODE(MID(TRIM('Hybrid Questions'!$A$2)&amp;"AAA",1,1))&gt;=65,CODE(MID(TRIM('Hybrid Questions'!$A$2)&amp;"AAA",1,1))&lt;=90),AND(CODE(MID(TRIM('Hybrid Questions'!$A$2)&amp;"AAA",2,1))&gt;=65,CODE(MID(TRIM('Hybrid Questions'!$A$2)&amp;"AAA",2,1))&lt;=90),AND(CODE(MID(TRIM('Hybrid Questions'!$A$2)&amp;"AAA",3,1))&gt;=65,CODE(MID(TRIM('Hybrid Questions'!$A$2)&amp;"AAA",3,1))&lt;=90)))),"'"&amp;'Hybrid Questions'!$A$2&amp;"' isn't a valid Excel column letter, so Themefinder can't find the free-text column on Responses.","")</f>
        <v>0</v>
      </c>
      <c r="F505" s="4" t="s">
        <v>274</v>
      </c>
    </row>
    <row r="506" spans="1:6" ht="75" customHeight="1">
      <c r="A506" t="s">
        <v>271</v>
      </c>
      <c r="B506" t="s">
        <v>167</v>
      </c>
      <c r="C506" t="s">
        <v>326</v>
      </c>
      <c r="D506" t="s">
        <v>165</v>
      </c>
      <c r="E506" s="4">
        <f>IF(AND('Hybrid Questions'!$A$3&lt;&gt;"",NOT(AND(LEN(TRIM('Hybrid Questions'!$A$3))&gt;=1,LEN(TRIM('Hybrid Questions'!$A$3))&lt;=3,AND(CODE(MID(TRIM('Hybrid Questions'!$A$3)&amp;"AAA",1,1))&gt;=65,CODE(MID(TRIM('Hybrid Questions'!$A$3)&amp;"AAA",1,1))&lt;=90),AND(CODE(MID(TRIM('Hybrid Questions'!$A$3)&amp;"AAA",2,1))&gt;=65,CODE(MID(TRIM('Hybrid Questions'!$A$3)&amp;"AAA",2,1))&lt;=90),AND(CODE(MID(TRIM('Hybrid Questions'!$A$3)&amp;"AAA",3,1))&gt;=65,CODE(MID(TRIM('Hybrid Questions'!$A$3)&amp;"AAA",3,1))&lt;=90)))),"'"&amp;'Hybrid Questions'!$A$3&amp;"' isn't a valid Excel column letter, so Themefinder can't find the free-text column on Responses.","")</f>
        <v>0</v>
      </c>
      <c r="F506" s="4" t="s">
        <v>274</v>
      </c>
    </row>
    <row r="507" spans="1:6" ht="75" customHeight="1">
      <c r="A507" t="s">
        <v>271</v>
      </c>
      <c r="B507" t="s">
        <v>168</v>
      </c>
      <c r="C507" t="s">
        <v>326</v>
      </c>
      <c r="D507" t="s">
        <v>165</v>
      </c>
      <c r="E507" s="4">
        <f>IF(AND('Hybrid Questions'!$A$4&lt;&gt;"",NOT(AND(LEN(TRIM('Hybrid Questions'!$A$4))&gt;=1,LEN(TRIM('Hybrid Questions'!$A$4))&lt;=3,AND(CODE(MID(TRIM('Hybrid Questions'!$A$4)&amp;"AAA",1,1))&gt;=65,CODE(MID(TRIM('Hybrid Questions'!$A$4)&amp;"AAA",1,1))&lt;=90),AND(CODE(MID(TRIM('Hybrid Questions'!$A$4)&amp;"AAA",2,1))&gt;=65,CODE(MID(TRIM('Hybrid Questions'!$A$4)&amp;"AAA",2,1))&lt;=90),AND(CODE(MID(TRIM('Hybrid Questions'!$A$4)&amp;"AAA",3,1))&gt;=65,CODE(MID(TRIM('Hybrid Questions'!$A$4)&amp;"AAA",3,1))&lt;=90)))),"'"&amp;'Hybrid Questions'!$A$4&amp;"' isn't a valid Excel column letter, so Themefinder can't find the free-text column on Responses.","")</f>
        <v>0</v>
      </c>
      <c r="F507" s="4" t="s">
        <v>274</v>
      </c>
    </row>
    <row r="508" spans="1:6" ht="75" customHeight="1">
      <c r="A508" t="s">
        <v>271</v>
      </c>
      <c r="B508" t="s">
        <v>169</v>
      </c>
      <c r="C508" t="s">
        <v>326</v>
      </c>
      <c r="D508" t="s">
        <v>165</v>
      </c>
      <c r="E508" s="4">
        <f>IF(AND('Hybrid Questions'!$A$5&lt;&gt;"",NOT(AND(LEN(TRIM('Hybrid Questions'!$A$5))&gt;=1,LEN(TRIM('Hybrid Questions'!$A$5))&lt;=3,AND(CODE(MID(TRIM('Hybrid Questions'!$A$5)&amp;"AAA",1,1))&gt;=65,CODE(MID(TRIM('Hybrid Questions'!$A$5)&amp;"AAA",1,1))&lt;=90),AND(CODE(MID(TRIM('Hybrid Questions'!$A$5)&amp;"AAA",2,1))&gt;=65,CODE(MID(TRIM('Hybrid Questions'!$A$5)&amp;"AAA",2,1))&lt;=90),AND(CODE(MID(TRIM('Hybrid Questions'!$A$5)&amp;"AAA",3,1))&gt;=65,CODE(MID(TRIM('Hybrid Questions'!$A$5)&amp;"AAA",3,1))&lt;=90)))),"'"&amp;'Hybrid Questions'!$A$5&amp;"' isn't a valid Excel column letter, so Themefinder can't find the free-text column on Responses.","")</f>
        <v>0</v>
      </c>
      <c r="F508" s="4" t="s">
        <v>274</v>
      </c>
    </row>
    <row r="509" spans="1:6" ht="75" customHeight="1">
      <c r="A509" t="s">
        <v>271</v>
      </c>
      <c r="B509" t="s">
        <v>170</v>
      </c>
      <c r="C509" t="s">
        <v>326</v>
      </c>
      <c r="D509" t="s">
        <v>165</v>
      </c>
      <c r="E509" s="4">
        <f>IF(AND('Hybrid Questions'!$A$6&lt;&gt;"",NOT(AND(LEN(TRIM('Hybrid Questions'!$A$6))&gt;=1,LEN(TRIM('Hybrid Questions'!$A$6))&lt;=3,AND(CODE(MID(TRIM('Hybrid Questions'!$A$6)&amp;"AAA",1,1))&gt;=65,CODE(MID(TRIM('Hybrid Questions'!$A$6)&amp;"AAA",1,1))&lt;=90),AND(CODE(MID(TRIM('Hybrid Questions'!$A$6)&amp;"AAA",2,1))&gt;=65,CODE(MID(TRIM('Hybrid Questions'!$A$6)&amp;"AAA",2,1))&lt;=90),AND(CODE(MID(TRIM('Hybrid Questions'!$A$6)&amp;"AAA",3,1))&gt;=65,CODE(MID(TRIM('Hybrid Questions'!$A$6)&amp;"AAA",3,1))&lt;=90)))),"'"&amp;'Hybrid Questions'!$A$6&amp;"' isn't a valid Excel column letter, so Themefinder can't find the free-text column on Responses.","")</f>
        <v>0</v>
      </c>
      <c r="F509" s="4" t="s">
        <v>274</v>
      </c>
    </row>
    <row r="510" spans="1:6" ht="75" customHeight="1">
      <c r="A510" t="s">
        <v>271</v>
      </c>
      <c r="B510" t="s">
        <v>171</v>
      </c>
      <c r="C510" t="s">
        <v>326</v>
      </c>
      <c r="D510" t="s">
        <v>165</v>
      </c>
      <c r="E510" s="4">
        <f>IF(AND('Hybrid Questions'!$A$7&lt;&gt;"",NOT(AND(LEN(TRIM('Hybrid Questions'!$A$7))&gt;=1,LEN(TRIM('Hybrid Questions'!$A$7))&lt;=3,AND(CODE(MID(TRIM('Hybrid Questions'!$A$7)&amp;"AAA",1,1))&gt;=65,CODE(MID(TRIM('Hybrid Questions'!$A$7)&amp;"AAA",1,1))&lt;=90),AND(CODE(MID(TRIM('Hybrid Questions'!$A$7)&amp;"AAA",2,1))&gt;=65,CODE(MID(TRIM('Hybrid Questions'!$A$7)&amp;"AAA",2,1))&lt;=90),AND(CODE(MID(TRIM('Hybrid Questions'!$A$7)&amp;"AAA",3,1))&gt;=65,CODE(MID(TRIM('Hybrid Questions'!$A$7)&amp;"AAA",3,1))&lt;=90)))),"'"&amp;'Hybrid Questions'!$A$7&amp;"' isn't a valid Excel column letter, so Themefinder can't find the free-text column on Responses.","")</f>
        <v>0</v>
      </c>
      <c r="F510" s="4" t="s">
        <v>274</v>
      </c>
    </row>
    <row r="511" spans="1:6" ht="75" customHeight="1">
      <c r="A511" t="s">
        <v>271</v>
      </c>
      <c r="B511" t="s">
        <v>172</v>
      </c>
      <c r="C511" t="s">
        <v>326</v>
      </c>
      <c r="D511" t="s">
        <v>165</v>
      </c>
      <c r="E511" s="4">
        <f>IF(AND('Hybrid Questions'!$A$8&lt;&gt;"",NOT(AND(LEN(TRIM('Hybrid Questions'!$A$8))&gt;=1,LEN(TRIM('Hybrid Questions'!$A$8))&lt;=3,AND(CODE(MID(TRIM('Hybrid Questions'!$A$8)&amp;"AAA",1,1))&gt;=65,CODE(MID(TRIM('Hybrid Questions'!$A$8)&amp;"AAA",1,1))&lt;=90),AND(CODE(MID(TRIM('Hybrid Questions'!$A$8)&amp;"AAA",2,1))&gt;=65,CODE(MID(TRIM('Hybrid Questions'!$A$8)&amp;"AAA",2,1))&lt;=90),AND(CODE(MID(TRIM('Hybrid Questions'!$A$8)&amp;"AAA",3,1))&gt;=65,CODE(MID(TRIM('Hybrid Questions'!$A$8)&amp;"AAA",3,1))&lt;=90)))),"'"&amp;'Hybrid Questions'!$A$8&amp;"' isn't a valid Excel column letter, so Themefinder can't find the free-text column on Responses.","")</f>
        <v>0</v>
      </c>
      <c r="F511" s="4" t="s">
        <v>274</v>
      </c>
    </row>
    <row r="512" spans="1:6" ht="75" customHeight="1">
      <c r="A512" t="s">
        <v>271</v>
      </c>
      <c r="B512" t="s">
        <v>173</v>
      </c>
      <c r="C512" t="s">
        <v>326</v>
      </c>
      <c r="D512" t="s">
        <v>165</v>
      </c>
      <c r="E512" s="4">
        <f>IF(AND('Hybrid Questions'!$A$9&lt;&gt;"",NOT(AND(LEN(TRIM('Hybrid Questions'!$A$9))&gt;=1,LEN(TRIM('Hybrid Questions'!$A$9))&lt;=3,AND(CODE(MID(TRIM('Hybrid Questions'!$A$9)&amp;"AAA",1,1))&gt;=65,CODE(MID(TRIM('Hybrid Questions'!$A$9)&amp;"AAA",1,1))&lt;=90),AND(CODE(MID(TRIM('Hybrid Questions'!$A$9)&amp;"AAA",2,1))&gt;=65,CODE(MID(TRIM('Hybrid Questions'!$A$9)&amp;"AAA",2,1))&lt;=90),AND(CODE(MID(TRIM('Hybrid Questions'!$A$9)&amp;"AAA",3,1))&gt;=65,CODE(MID(TRIM('Hybrid Questions'!$A$9)&amp;"AAA",3,1))&lt;=90)))),"'"&amp;'Hybrid Questions'!$A$9&amp;"' isn't a valid Excel column letter, so Themefinder can't find the free-text column on Responses.","")</f>
        <v>0</v>
      </c>
      <c r="F512" s="4" t="s">
        <v>274</v>
      </c>
    </row>
    <row r="513" spans="1:6" ht="75" customHeight="1">
      <c r="A513" t="s">
        <v>271</v>
      </c>
      <c r="B513" t="s">
        <v>174</v>
      </c>
      <c r="C513" t="s">
        <v>326</v>
      </c>
      <c r="D513" t="s">
        <v>165</v>
      </c>
      <c r="E513" s="4">
        <f>IF(AND('Hybrid Questions'!$A$10&lt;&gt;"",NOT(AND(LEN(TRIM('Hybrid Questions'!$A$10))&gt;=1,LEN(TRIM('Hybrid Questions'!$A$10))&lt;=3,AND(CODE(MID(TRIM('Hybrid Questions'!$A$10)&amp;"AAA",1,1))&gt;=65,CODE(MID(TRIM('Hybrid Questions'!$A$10)&amp;"AAA",1,1))&lt;=90),AND(CODE(MID(TRIM('Hybrid Questions'!$A$10)&amp;"AAA",2,1))&gt;=65,CODE(MID(TRIM('Hybrid Questions'!$A$10)&amp;"AAA",2,1))&lt;=90),AND(CODE(MID(TRIM('Hybrid Questions'!$A$10)&amp;"AAA",3,1))&gt;=65,CODE(MID(TRIM('Hybrid Questions'!$A$10)&amp;"AAA",3,1))&lt;=90)))),"'"&amp;'Hybrid Questions'!$A$10&amp;"' isn't a valid Excel column letter, so Themefinder can't find the free-text column on Responses.","")</f>
        <v>0</v>
      </c>
      <c r="F513" s="4" t="s">
        <v>274</v>
      </c>
    </row>
    <row r="514" spans="1:6" ht="75" customHeight="1">
      <c r="A514" t="s">
        <v>271</v>
      </c>
      <c r="B514" t="s">
        <v>175</v>
      </c>
      <c r="C514" t="s">
        <v>326</v>
      </c>
      <c r="D514" t="s">
        <v>165</v>
      </c>
      <c r="E514" s="4">
        <f>IF(AND('Hybrid Questions'!$A$11&lt;&gt;"",NOT(AND(LEN(TRIM('Hybrid Questions'!$A$11))&gt;=1,LEN(TRIM('Hybrid Questions'!$A$11))&lt;=3,AND(CODE(MID(TRIM('Hybrid Questions'!$A$11)&amp;"AAA",1,1))&gt;=65,CODE(MID(TRIM('Hybrid Questions'!$A$11)&amp;"AAA",1,1))&lt;=90),AND(CODE(MID(TRIM('Hybrid Questions'!$A$11)&amp;"AAA",2,1))&gt;=65,CODE(MID(TRIM('Hybrid Questions'!$A$11)&amp;"AAA",2,1))&lt;=90),AND(CODE(MID(TRIM('Hybrid Questions'!$A$11)&amp;"AAA",3,1))&gt;=65,CODE(MID(TRIM('Hybrid Questions'!$A$11)&amp;"AAA",3,1))&lt;=90)))),"'"&amp;'Hybrid Questions'!$A$11&amp;"' isn't a valid Excel column letter, so Themefinder can't find the free-text column on Responses.","")</f>
        <v>0</v>
      </c>
      <c r="F514" s="4" t="s">
        <v>274</v>
      </c>
    </row>
    <row r="515" spans="1:6" ht="75" customHeight="1">
      <c r="A515" t="s">
        <v>271</v>
      </c>
      <c r="B515" t="s">
        <v>176</v>
      </c>
      <c r="C515" t="s">
        <v>326</v>
      </c>
      <c r="D515" t="s">
        <v>165</v>
      </c>
      <c r="E515" s="4">
        <f>IF(AND('Hybrid Questions'!$A$12&lt;&gt;"",NOT(AND(LEN(TRIM('Hybrid Questions'!$A$12))&gt;=1,LEN(TRIM('Hybrid Questions'!$A$12))&lt;=3,AND(CODE(MID(TRIM('Hybrid Questions'!$A$12)&amp;"AAA",1,1))&gt;=65,CODE(MID(TRIM('Hybrid Questions'!$A$12)&amp;"AAA",1,1))&lt;=90),AND(CODE(MID(TRIM('Hybrid Questions'!$A$12)&amp;"AAA",2,1))&gt;=65,CODE(MID(TRIM('Hybrid Questions'!$A$12)&amp;"AAA",2,1))&lt;=90),AND(CODE(MID(TRIM('Hybrid Questions'!$A$12)&amp;"AAA",3,1))&gt;=65,CODE(MID(TRIM('Hybrid Questions'!$A$12)&amp;"AAA",3,1))&lt;=90)))),"'"&amp;'Hybrid Questions'!$A$12&amp;"' isn't a valid Excel column letter, so Themefinder can't find the free-text column on Responses.","")</f>
        <v>0</v>
      </c>
      <c r="F515" s="4" t="s">
        <v>274</v>
      </c>
    </row>
    <row r="516" spans="1:6" ht="75" customHeight="1">
      <c r="A516" t="s">
        <v>271</v>
      </c>
      <c r="B516" t="s">
        <v>177</v>
      </c>
      <c r="C516" t="s">
        <v>326</v>
      </c>
      <c r="D516" t="s">
        <v>165</v>
      </c>
      <c r="E516" s="4">
        <f>IF(AND('Hybrid Questions'!$A$13&lt;&gt;"",NOT(AND(LEN(TRIM('Hybrid Questions'!$A$13))&gt;=1,LEN(TRIM('Hybrid Questions'!$A$13))&lt;=3,AND(CODE(MID(TRIM('Hybrid Questions'!$A$13)&amp;"AAA",1,1))&gt;=65,CODE(MID(TRIM('Hybrid Questions'!$A$13)&amp;"AAA",1,1))&lt;=90),AND(CODE(MID(TRIM('Hybrid Questions'!$A$13)&amp;"AAA",2,1))&gt;=65,CODE(MID(TRIM('Hybrid Questions'!$A$13)&amp;"AAA",2,1))&lt;=90),AND(CODE(MID(TRIM('Hybrid Questions'!$A$13)&amp;"AAA",3,1))&gt;=65,CODE(MID(TRIM('Hybrid Questions'!$A$13)&amp;"AAA",3,1))&lt;=90)))),"'"&amp;'Hybrid Questions'!$A$13&amp;"' isn't a valid Excel column letter, so Themefinder can't find the free-text column on Responses.","")</f>
        <v>0</v>
      </c>
      <c r="F516" s="4" t="s">
        <v>274</v>
      </c>
    </row>
    <row r="517" spans="1:6" ht="75" customHeight="1">
      <c r="A517" t="s">
        <v>271</v>
      </c>
      <c r="B517" t="s">
        <v>178</v>
      </c>
      <c r="C517" t="s">
        <v>326</v>
      </c>
      <c r="D517" t="s">
        <v>165</v>
      </c>
      <c r="E517" s="4">
        <f>IF(AND('Hybrid Questions'!$A$14&lt;&gt;"",NOT(AND(LEN(TRIM('Hybrid Questions'!$A$14))&gt;=1,LEN(TRIM('Hybrid Questions'!$A$14))&lt;=3,AND(CODE(MID(TRIM('Hybrid Questions'!$A$14)&amp;"AAA",1,1))&gt;=65,CODE(MID(TRIM('Hybrid Questions'!$A$14)&amp;"AAA",1,1))&lt;=90),AND(CODE(MID(TRIM('Hybrid Questions'!$A$14)&amp;"AAA",2,1))&gt;=65,CODE(MID(TRIM('Hybrid Questions'!$A$14)&amp;"AAA",2,1))&lt;=90),AND(CODE(MID(TRIM('Hybrid Questions'!$A$14)&amp;"AAA",3,1))&gt;=65,CODE(MID(TRIM('Hybrid Questions'!$A$14)&amp;"AAA",3,1))&lt;=90)))),"'"&amp;'Hybrid Questions'!$A$14&amp;"' isn't a valid Excel column letter, so Themefinder can't find the free-text column on Responses.","")</f>
        <v>0</v>
      </c>
      <c r="F517" s="4" t="s">
        <v>274</v>
      </c>
    </row>
    <row r="518" spans="1:6" ht="75" customHeight="1">
      <c r="A518" t="s">
        <v>271</v>
      </c>
      <c r="B518" t="s">
        <v>179</v>
      </c>
      <c r="C518" t="s">
        <v>326</v>
      </c>
      <c r="D518" t="s">
        <v>165</v>
      </c>
      <c r="E518" s="4">
        <f>IF(AND('Hybrid Questions'!$A$15&lt;&gt;"",NOT(AND(LEN(TRIM('Hybrid Questions'!$A$15))&gt;=1,LEN(TRIM('Hybrid Questions'!$A$15))&lt;=3,AND(CODE(MID(TRIM('Hybrid Questions'!$A$15)&amp;"AAA",1,1))&gt;=65,CODE(MID(TRIM('Hybrid Questions'!$A$15)&amp;"AAA",1,1))&lt;=90),AND(CODE(MID(TRIM('Hybrid Questions'!$A$15)&amp;"AAA",2,1))&gt;=65,CODE(MID(TRIM('Hybrid Questions'!$A$15)&amp;"AAA",2,1))&lt;=90),AND(CODE(MID(TRIM('Hybrid Questions'!$A$15)&amp;"AAA",3,1))&gt;=65,CODE(MID(TRIM('Hybrid Questions'!$A$15)&amp;"AAA",3,1))&lt;=90)))),"'"&amp;'Hybrid Questions'!$A$15&amp;"' isn't a valid Excel column letter, so Themefinder can't find the free-text column on Responses.","")</f>
        <v>0</v>
      </c>
      <c r="F518" s="4" t="s">
        <v>274</v>
      </c>
    </row>
    <row r="519" spans="1:6" ht="75" customHeight="1">
      <c r="A519" t="s">
        <v>271</v>
      </c>
      <c r="B519" t="s">
        <v>180</v>
      </c>
      <c r="C519" t="s">
        <v>326</v>
      </c>
      <c r="D519" t="s">
        <v>165</v>
      </c>
      <c r="E519" s="4">
        <f>IF(AND('Hybrid Questions'!$A$16&lt;&gt;"",NOT(AND(LEN(TRIM('Hybrid Questions'!$A$16))&gt;=1,LEN(TRIM('Hybrid Questions'!$A$16))&lt;=3,AND(CODE(MID(TRIM('Hybrid Questions'!$A$16)&amp;"AAA",1,1))&gt;=65,CODE(MID(TRIM('Hybrid Questions'!$A$16)&amp;"AAA",1,1))&lt;=90),AND(CODE(MID(TRIM('Hybrid Questions'!$A$16)&amp;"AAA",2,1))&gt;=65,CODE(MID(TRIM('Hybrid Questions'!$A$16)&amp;"AAA",2,1))&lt;=90),AND(CODE(MID(TRIM('Hybrid Questions'!$A$16)&amp;"AAA",3,1))&gt;=65,CODE(MID(TRIM('Hybrid Questions'!$A$16)&amp;"AAA",3,1))&lt;=90)))),"'"&amp;'Hybrid Questions'!$A$16&amp;"' isn't a valid Excel column letter, so Themefinder can't find the free-text column on Responses.","")</f>
        <v>0</v>
      </c>
      <c r="F519" s="4" t="s">
        <v>274</v>
      </c>
    </row>
    <row r="520" spans="1:6" ht="75" customHeight="1">
      <c r="A520" t="s">
        <v>271</v>
      </c>
      <c r="B520" t="s">
        <v>181</v>
      </c>
      <c r="C520" t="s">
        <v>326</v>
      </c>
      <c r="D520" t="s">
        <v>165</v>
      </c>
      <c r="E520" s="4">
        <f>IF(AND('Hybrid Questions'!$A$17&lt;&gt;"",NOT(AND(LEN(TRIM('Hybrid Questions'!$A$17))&gt;=1,LEN(TRIM('Hybrid Questions'!$A$17))&lt;=3,AND(CODE(MID(TRIM('Hybrid Questions'!$A$17)&amp;"AAA",1,1))&gt;=65,CODE(MID(TRIM('Hybrid Questions'!$A$17)&amp;"AAA",1,1))&lt;=90),AND(CODE(MID(TRIM('Hybrid Questions'!$A$17)&amp;"AAA",2,1))&gt;=65,CODE(MID(TRIM('Hybrid Questions'!$A$17)&amp;"AAA",2,1))&lt;=90),AND(CODE(MID(TRIM('Hybrid Questions'!$A$17)&amp;"AAA",3,1))&gt;=65,CODE(MID(TRIM('Hybrid Questions'!$A$17)&amp;"AAA",3,1))&lt;=90)))),"'"&amp;'Hybrid Questions'!$A$17&amp;"' isn't a valid Excel column letter, so Themefinder can't find the free-text column on Responses.","")</f>
        <v>0</v>
      </c>
      <c r="F520" s="4" t="s">
        <v>274</v>
      </c>
    </row>
    <row r="521" spans="1:6" ht="75" customHeight="1">
      <c r="A521" t="s">
        <v>271</v>
      </c>
      <c r="B521" t="s">
        <v>182</v>
      </c>
      <c r="C521" t="s">
        <v>326</v>
      </c>
      <c r="D521" t="s">
        <v>165</v>
      </c>
      <c r="E521" s="4">
        <f>IF(AND('Hybrid Questions'!$A$18&lt;&gt;"",NOT(AND(LEN(TRIM('Hybrid Questions'!$A$18))&gt;=1,LEN(TRIM('Hybrid Questions'!$A$18))&lt;=3,AND(CODE(MID(TRIM('Hybrid Questions'!$A$18)&amp;"AAA",1,1))&gt;=65,CODE(MID(TRIM('Hybrid Questions'!$A$18)&amp;"AAA",1,1))&lt;=90),AND(CODE(MID(TRIM('Hybrid Questions'!$A$18)&amp;"AAA",2,1))&gt;=65,CODE(MID(TRIM('Hybrid Questions'!$A$18)&amp;"AAA",2,1))&lt;=90),AND(CODE(MID(TRIM('Hybrid Questions'!$A$18)&amp;"AAA",3,1))&gt;=65,CODE(MID(TRIM('Hybrid Questions'!$A$18)&amp;"AAA",3,1))&lt;=90)))),"'"&amp;'Hybrid Questions'!$A$18&amp;"' isn't a valid Excel column letter, so Themefinder can't find the free-text column on Responses.","")</f>
        <v>0</v>
      </c>
      <c r="F521" s="4" t="s">
        <v>274</v>
      </c>
    </row>
    <row r="522" spans="1:6" ht="75" customHeight="1">
      <c r="A522" t="s">
        <v>271</v>
      </c>
      <c r="B522" t="s">
        <v>183</v>
      </c>
      <c r="C522" t="s">
        <v>326</v>
      </c>
      <c r="D522" t="s">
        <v>165</v>
      </c>
      <c r="E522" s="4">
        <f>IF(AND('Hybrid Questions'!$A$19&lt;&gt;"",NOT(AND(LEN(TRIM('Hybrid Questions'!$A$19))&gt;=1,LEN(TRIM('Hybrid Questions'!$A$19))&lt;=3,AND(CODE(MID(TRIM('Hybrid Questions'!$A$19)&amp;"AAA",1,1))&gt;=65,CODE(MID(TRIM('Hybrid Questions'!$A$19)&amp;"AAA",1,1))&lt;=90),AND(CODE(MID(TRIM('Hybrid Questions'!$A$19)&amp;"AAA",2,1))&gt;=65,CODE(MID(TRIM('Hybrid Questions'!$A$19)&amp;"AAA",2,1))&lt;=90),AND(CODE(MID(TRIM('Hybrid Questions'!$A$19)&amp;"AAA",3,1))&gt;=65,CODE(MID(TRIM('Hybrid Questions'!$A$19)&amp;"AAA",3,1))&lt;=90)))),"'"&amp;'Hybrid Questions'!$A$19&amp;"' isn't a valid Excel column letter, so Themefinder can't find the free-text column on Responses.","")</f>
        <v>0</v>
      </c>
      <c r="F522" s="4" t="s">
        <v>274</v>
      </c>
    </row>
    <row r="523" spans="1:6" ht="75" customHeight="1">
      <c r="A523" t="s">
        <v>271</v>
      </c>
      <c r="B523" t="s">
        <v>184</v>
      </c>
      <c r="C523" t="s">
        <v>326</v>
      </c>
      <c r="D523" t="s">
        <v>165</v>
      </c>
      <c r="E523" s="4">
        <f>IF(AND('Hybrid Questions'!$A$20&lt;&gt;"",NOT(AND(LEN(TRIM('Hybrid Questions'!$A$20))&gt;=1,LEN(TRIM('Hybrid Questions'!$A$20))&lt;=3,AND(CODE(MID(TRIM('Hybrid Questions'!$A$20)&amp;"AAA",1,1))&gt;=65,CODE(MID(TRIM('Hybrid Questions'!$A$20)&amp;"AAA",1,1))&lt;=90),AND(CODE(MID(TRIM('Hybrid Questions'!$A$20)&amp;"AAA",2,1))&gt;=65,CODE(MID(TRIM('Hybrid Questions'!$A$20)&amp;"AAA",2,1))&lt;=90),AND(CODE(MID(TRIM('Hybrid Questions'!$A$20)&amp;"AAA",3,1))&gt;=65,CODE(MID(TRIM('Hybrid Questions'!$A$20)&amp;"AAA",3,1))&lt;=90)))),"'"&amp;'Hybrid Questions'!$A$20&amp;"' isn't a valid Excel column letter, so Themefinder can't find the free-text column on Responses.","")</f>
        <v>0</v>
      </c>
      <c r="F523" s="4" t="s">
        <v>274</v>
      </c>
    </row>
    <row r="524" spans="1:6" ht="75" customHeight="1">
      <c r="A524" t="s">
        <v>271</v>
      </c>
      <c r="B524" t="s">
        <v>185</v>
      </c>
      <c r="C524" t="s">
        <v>326</v>
      </c>
      <c r="D524" t="s">
        <v>165</v>
      </c>
      <c r="E524" s="4">
        <f>IF(AND('Hybrid Questions'!$A$21&lt;&gt;"",NOT(AND(LEN(TRIM('Hybrid Questions'!$A$21))&gt;=1,LEN(TRIM('Hybrid Questions'!$A$21))&lt;=3,AND(CODE(MID(TRIM('Hybrid Questions'!$A$21)&amp;"AAA",1,1))&gt;=65,CODE(MID(TRIM('Hybrid Questions'!$A$21)&amp;"AAA",1,1))&lt;=90),AND(CODE(MID(TRIM('Hybrid Questions'!$A$21)&amp;"AAA",2,1))&gt;=65,CODE(MID(TRIM('Hybrid Questions'!$A$21)&amp;"AAA",2,1))&lt;=90),AND(CODE(MID(TRIM('Hybrid Questions'!$A$21)&amp;"AAA",3,1))&gt;=65,CODE(MID(TRIM('Hybrid Questions'!$A$21)&amp;"AAA",3,1))&lt;=90)))),"'"&amp;'Hybrid Questions'!$A$21&amp;"' isn't a valid Excel column letter, so Themefinder can't find the free-text column on Responses.","")</f>
        <v>0</v>
      </c>
      <c r="F524" s="4" t="s">
        <v>274</v>
      </c>
    </row>
    <row r="525" spans="1:6" ht="75" customHeight="1">
      <c r="A525" t="s">
        <v>271</v>
      </c>
      <c r="B525" t="s">
        <v>186</v>
      </c>
      <c r="C525" t="s">
        <v>326</v>
      </c>
      <c r="D525" t="s">
        <v>165</v>
      </c>
      <c r="E525" s="4">
        <f>IF(AND('Hybrid Questions'!$A$22&lt;&gt;"",NOT(AND(LEN(TRIM('Hybrid Questions'!$A$22))&gt;=1,LEN(TRIM('Hybrid Questions'!$A$22))&lt;=3,AND(CODE(MID(TRIM('Hybrid Questions'!$A$22)&amp;"AAA",1,1))&gt;=65,CODE(MID(TRIM('Hybrid Questions'!$A$22)&amp;"AAA",1,1))&lt;=90),AND(CODE(MID(TRIM('Hybrid Questions'!$A$22)&amp;"AAA",2,1))&gt;=65,CODE(MID(TRIM('Hybrid Questions'!$A$22)&amp;"AAA",2,1))&lt;=90),AND(CODE(MID(TRIM('Hybrid Questions'!$A$22)&amp;"AAA",3,1))&gt;=65,CODE(MID(TRIM('Hybrid Questions'!$A$22)&amp;"AAA",3,1))&lt;=90)))),"'"&amp;'Hybrid Questions'!$A$22&amp;"' isn't a valid Excel column letter, so Themefinder can't find the free-text column on Responses.","")</f>
        <v>0</v>
      </c>
      <c r="F525" s="4" t="s">
        <v>274</v>
      </c>
    </row>
    <row r="526" spans="1:6" ht="75" customHeight="1">
      <c r="A526" t="s">
        <v>271</v>
      </c>
      <c r="B526" t="s">
        <v>187</v>
      </c>
      <c r="C526" t="s">
        <v>326</v>
      </c>
      <c r="D526" t="s">
        <v>165</v>
      </c>
      <c r="E526" s="4">
        <f>IF(AND('Hybrid Questions'!$A$23&lt;&gt;"",NOT(AND(LEN(TRIM('Hybrid Questions'!$A$23))&gt;=1,LEN(TRIM('Hybrid Questions'!$A$23))&lt;=3,AND(CODE(MID(TRIM('Hybrid Questions'!$A$23)&amp;"AAA",1,1))&gt;=65,CODE(MID(TRIM('Hybrid Questions'!$A$23)&amp;"AAA",1,1))&lt;=90),AND(CODE(MID(TRIM('Hybrid Questions'!$A$23)&amp;"AAA",2,1))&gt;=65,CODE(MID(TRIM('Hybrid Questions'!$A$23)&amp;"AAA",2,1))&lt;=90),AND(CODE(MID(TRIM('Hybrid Questions'!$A$23)&amp;"AAA",3,1))&gt;=65,CODE(MID(TRIM('Hybrid Questions'!$A$23)&amp;"AAA",3,1))&lt;=90)))),"'"&amp;'Hybrid Questions'!$A$23&amp;"' isn't a valid Excel column letter, so Themefinder can't find the free-text column on Responses.","")</f>
        <v>0</v>
      </c>
      <c r="F526" s="4" t="s">
        <v>274</v>
      </c>
    </row>
    <row r="527" spans="1:6" ht="75" customHeight="1">
      <c r="A527" t="s">
        <v>271</v>
      </c>
      <c r="B527" t="s">
        <v>188</v>
      </c>
      <c r="C527" t="s">
        <v>326</v>
      </c>
      <c r="D527" t="s">
        <v>165</v>
      </c>
      <c r="E527" s="4">
        <f>IF(AND('Hybrid Questions'!$A$24&lt;&gt;"",NOT(AND(LEN(TRIM('Hybrid Questions'!$A$24))&gt;=1,LEN(TRIM('Hybrid Questions'!$A$24))&lt;=3,AND(CODE(MID(TRIM('Hybrid Questions'!$A$24)&amp;"AAA",1,1))&gt;=65,CODE(MID(TRIM('Hybrid Questions'!$A$24)&amp;"AAA",1,1))&lt;=90),AND(CODE(MID(TRIM('Hybrid Questions'!$A$24)&amp;"AAA",2,1))&gt;=65,CODE(MID(TRIM('Hybrid Questions'!$A$24)&amp;"AAA",2,1))&lt;=90),AND(CODE(MID(TRIM('Hybrid Questions'!$A$24)&amp;"AAA",3,1))&gt;=65,CODE(MID(TRIM('Hybrid Questions'!$A$24)&amp;"AAA",3,1))&lt;=90)))),"'"&amp;'Hybrid Questions'!$A$24&amp;"' isn't a valid Excel column letter, so Themefinder can't find the free-text column on Responses.","")</f>
        <v>0</v>
      </c>
      <c r="F527" s="4" t="s">
        <v>274</v>
      </c>
    </row>
    <row r="528" spans="1:6" ht="75" customHeight="1">
      <c r="A528" t="s">
        <v>271</v>
      </c>
      <c r="B528" t="s">
        <v>189</v>
      </c>
      <c r="C528" t="s">
        <v>326</v>
      </c>
      <c r="D528" t="s">
        <v>165</v>
      </c>
      <c r="E528" s="4">
        <f>IF(AND('Hybrid Questions'!$A$25&lt;&gt;"",NOT(AND(LEN(TRIM('Hybrid Questions'!$A$25))&gt;=1,LEN(TRIM('Hybrid Questions'!$A$25))&lt;=3,AND(CODE(MID(TRIM('Hybrid Questions'!$A$25)&amp;"AAA",1,1))&gt;=65,CODE(MID(TRIM('Hybrid Questions'!$A$25)&amp;"AAA",1,1))&lt;=90),AND(CODE(MID(TRIM('Hybrid Questions'!$A$25)&amp;"AAA",2,1))&gt;=65,CODE(MID(TRIM('Hybrid Questions'!$A$25)&amp;"AAA",2,1))&lt;=90),AND(CODE(MID(TRIM('Hybrid Questions'!$A$25)&amp;"AAA",3,1))&gt;=65,CODE(MID(TRIM('Hybrid Questions'!$A$25)&amp;"AAA",3,1))&lt;=90)))),"'"&amp;'Hybrid Questions'!$A$25&amp;"' isn't a valid Excel column letter, so Themefinder can't find the free-text column on Responses.","")</f>
        <v>0</v>
      </c>
      <c r="F528" s="4" t="s">
        <v>274</v>
      </c>
    </row>
    <row r="529" spans="1:6" ht="75" customHeight="1">
      <c r="A529" t="s">
        <v>271</v>
      </c>
      <c r="B529" t="s">
        <v>190</v>
      </c>
      <c r="C529" t="s">
        <v>326</v>
      </c>
      <c r="D529" t="s">
        <v>165</v>
      </c>
      <c r="E529" s="4">
        <f>IF(AND('Hybrid Questions'!$A$26&lt;&gt;"",NOT(AND(LEN(TRIM('Hybrid Questions'!$A$26))&gt;=1,LEN(TRIM('Hybrid Questions'!$A$26))&lt;=3,AND(CODE(MID(TRIM('Hybrid Questions'!$A$26)&amp;"AAA",1,1))&gt;=65,CODE(MID(TRIM('Hybrid Questions'!$A$26)&amp;"AAA",1,1))&lt;=90),AND(CODE(MID(TRIM('Hybrid Questions'!$A$26)&amp;"AAA",2,1))&gt;=65,CODE(MID(TRIM('Hybrid Questions'!$A$26)&amp;"AAA",2,1))&lt;=90),AND(CODE(MID(TRIM('Hybrid Questions'!$A$26)&amp;"AAA",3,1))&gt;=65,CODE(MID(TRIM('Hybrid Questions'!$A$26)&amp;"AAA",3,1))&lt;=90)))),"'"&amp;'Hybrid Questions'!$A$26&amp;"' isn't a valid Excel column letter, so Themefinder can't find the free-text column on Responses.","")</f>
        <v>0</v>
      </c>
      <c r="F529" s="4" t="s">
        <v>274</v>
      </c>
    </row>
    <row r="530" spans="1:6" ht="75" customHeight="1">
      <c r="A530" t="s">
        <v>271</v>
      </c>
      <c r="B530" t="s">
        <v>191</v>
      </c>
      <c r="C530" t="s">
        <v>326</v>
      </c>
      <c r="D530" t="s">
        <v>165</v>
      </c>
      <c r="E530" s="4">
        <f>IF(AND('Hybrid Questions'!$A$27&lt;&gt;"",NOT(AND(LEN(TRIM('Hybrid Questions'!$A$27))&gt;=1,LEN(TRIM('Hybrid Questions'!$A$27))&lt;=3,AND(CODE(MID(TRIM('Hybrid Questions'!$A$27)&amp;"AAA",1,1))&gt;=65,CODE(MID(TRIM('Hybrid Questions'!$A$27)&amp;"AAA",1,1))&lt;=90),AND(CODE(MID(TRIM('Hybrid Questions'!$A$27)&amp;"AAA",2,1))&gt;=65,CODE(MID(TRIM('Hybrid Questions'!$A$27)&amp;"AAA",2,1))&lt;=90),AND(CODE(MID(TRIM('Hybrid Questions'!$A$27)&amp;"AAA",3,1))&gt;=65,CODE(MID(TRIM('Hybrid Questions'!$A$27)&amp;"AAA",3,1))&lt;=90)))),"'"&amp;'Hybrid Questions'!$A$27&amp;"' isn't a valid Excel column letter, so Themefinder can't find the free-text column on Responses.","")</f>
        <v>0</v>
      </c>
      <c r="F530" s="4" t="s">
        <v>274</v>
      </c>
    </row>
    <row r="531" spans="1:6" ht="75" customHeight="1">
      <c r="A531" t="s">
        <v>271</v>
      </c>
      <c r="B531" t="s">
        <v>192</v>
      </c>
      <c r="C531" t="s">
        <v>326</v>
      </c>
      <c r="D531" t="s">
        <v>165</v>
      </c>
      <c r="E531" s="4">
        <f>IF(AND('Hybrid Questions'!$A$28&lt;&gt;"",NOT(AND(LEN(TRIM('Hybrid Questions'!$A$28))&gt;=1,LEN(TRIM('Hybrid Questions'!$A$28))&lt;=3,AND(CODE(MID(TRIM('Hybrid Questions'!$A$28)&amp;"AAA",1,1))&gt;=65,CODE(MID(TRIM('Hybrid Questions'!$A$28)&amp;"AAA",1,1))&lt;=90),AND(CODE(MID(TRIM('Hybrid Questions'!$A$28)&amp;"AAA",2,1))&gt;=65,CODE(MID(TRIM('Hybrid Questions'!$A$28)&amp;"AAA",2,1))&lt;=90),AND(CODE(MID(TRIM('Hybrid Questions'!$A$28)&amp;"AAA",3,1))&gt;=65,CODE(MID(TRIM('Hybrid Questions'!$A$28)&amp;"AAA",3,1))&lt;=90)))),"'"&amp;'Hybrid Questions'!$A$28&amp;"' isn't a valid Excel column letter, so Themefinder can't find the free-text column on Responses.","")</f>
        <v>0</v>
      </c>
      <c r="F531" s="4" t="s">
        <v>274</v>
      </c>
    </row>
    <row r="532" spans="1:6" ht="75" customHeight="1">
      <c r="A532" t="s">
        <v>271</v>
      </c>
      <c r="B532" t="s">
        <v>193</v>
      </c>
      <c r="C532" t="s">
        <v>326</v>
      </c>
      <c r="D532" t="s">
        <v>165</v>
      </c>
      <c r="E532" s="4">
        <f>IF(AND('Hybrid Questions'!$A$29&lt;&gt;"",NOT(AND(LEN(TRIM('Hybrid Questions'!$A$29))&gt;=1,LEN(TRIM('Hybrid Questions'!$A$29))&lt;=3,AND(CODE(MID(TRIM('Hybrid Questions'!$A$29)&amp;"AAA",1,1))&gt;=65,CODE(MID(TRIM('Hybrid Questions'!$A$29)&amp;"AAA",1,1))&lt;=90),AND(CODE(MID(TRIM('Hybrid Questions'!$A$29)&amp;"AAA",2,1))&gt;=65,CODE(MID(TRIM('Hybrid Questions'!$A$29)&amp;"AAA",2,1))&lt;=90),AND(CODE(MID(TRIM('Hybrid Questions'!$A$29)&amp;"AAA",3,1))&gt;=65,CODE(MID(TRIM('Hybrid Questions'!$A$29)&amp;"AAA",3,1))&lt;=90)))),"'"&amp;'Hybrid Questions'!$A$29&amp;"' isn't a valid Excel column letter, so Themefinder can't find the free-text column on Responses.","")</f>
        <v>0</v>
      </c>
      <c r="F532" s="4" t="s">
        <v>274</v>
      </c>
    </row>
    <row r="533" spans="1:6" ht="75" customHeight="1">
      <c r="A533" t="s">
        <v>271</v>
      </c>
      <c r="B533" t="s">
        <v>194</v>
      </c>
      <c r="C533" t="s">
        <v>326</v>
      </c>
      <c r="D533" t="s">
        <v>165</v>
      </c>
      <c r="E533" s="4">
        <f>IF(AND('Hybrid Questions'!$A$30&lt;&gt;"",NOT(AND(LEN(TRIM('Hybrid Questions'!$A$30))&gt;=1,LEN(TRIM('Hybrid Questions'!$A$30))&lt;=3,AND(CODE(MID(TRIM('Hybrid Questions'!$A$30)&amp;"AAA",1,1))&gt;=65,CODE(MID(TRIM('Hybrid Questions'!$A$30)&amp;"AAA",1,1))&lt;=90),AND(CODE(MID(TRIM('Hybrid Questions'!$A$30)&amp;"AAA",2,1))&gt;=65,CODE(MID(TRIM('Hybrid Questions'!$A$30)&amp;"AAA",2,1))&lt;=90),AND(CODE(MID(TRIM('Hybrid Questions'!$A$30)&amp;"AAA",3,1))&gt;=65,CODE(MID(TRIM('Hybrid Questions'!$A$30)&amp;"AAA",3,1))&lt;=90)))),"'"&amp;'Hybrid Questions'!$A$30&amp;"' isn't a valid Excel column letter, so Themefinder can't find the free-text column on Responses.","")</f>
        <v>0</v>
      </c>
      <c r="F533" s="4" t="s">
        <v>274</v>
      </c>
    </row>
    <row r="534" spans="1:6" ht="75" customHeight="1">
      <c r="A534" t="s">
        <v>271</v>
      </c>
      <c r="B534" t="s">
        <v>195</v>
      </c>
      <c r="C534" t="s">
        <v>326</v>
      </c>
      <c r="D534" t="s">
        <v>165</v>
      </c>
      <c r="E534" s="4">
        <f>IF(AND('Hybrid Questions'!$A$31&lt;&gt;"",NOT(AND(LEN(TRIM('Hybrid Questions'!$A$31))&gt;=1,LEN(TRIM('Hybrid Questions'!$A$31))&lt;=3,AND(CODE(MID(TRIM('Hybrid Questions'!$A$31)&amp;"AAA",1,1))&gt;=65,CODE(MID(TRIM('Hybrid Questions'!$A$31)&amp;"AAA",1,1))&lt;=90),AND(CODE(MID(TRIM('Hybrid Questions'!$A$31)&amp;"AAA",2,1))&gt;=65,CODE(MID(TRIM('Hybrid Questions'!$A$31)&amp;"AAA",2,1))&lt;=90),AND(CODE(MID(TRIM('Hybrid Questions'!$A$31)&amp;"AAA",3,1))&gt;=65,CODE(MID(TRIM('Hybrid Questions'!$A$31)&amp;"AAA",3,1))&lt;=90)))),"'"&amp;'Hybrid Questions'!$A$31&amp;"' isn't a valid Excel column letter, so Themefinder can't find the free-text column on Responses.","")</f>
        <v>0</v>
      </c>
      <c r="F534" s="4" t="s">
        <v>274</v>
      </c>
    </row>
    <row r="535" spans="1:6" ht="75" customHeight="1">
      <c r="A535" t="s">
        <v>271</v>
      </c>
      <c r="B535" t="s">
        <v>196</v>
      </c>
      <c r="C535" t="s">
        <v>326</v>
      </c>
      <c r="D535" t="s">
        <v>165</v>
      </c>
      <c r="E535" s="4">
        <f>IF(AND('Hybrid Questions'!$A$32&lt;&gt;"",NOT(AND(LEN(TRIM('Hybrid Questions'!$A$32))&gt;=1,LEN(TRIM('Hybrid Questions'!$A$32))&lt;=3,AND(CODE(MID(TRIM('Hybrid Questions'!$A$32)&amp;"AAA",1,1))&gt;=65,CODE(MID(TRIM('Hybrid Questions'!$A$32)&amp;"AAA",1,1))&lt;=90),AND(CODE(MID(TRIM('Hybrid Questions'!$A$32)&amp;"AAA",2,1))&gt;=65,CODE(MID(TRIM('Hybrid Questions'!$A$32)&amp;"AAA",2,1))&lt;=90),AND(CODE(MID(TRIM('Hybrid Questions'!$A$32)&amp;"AAA",3,1))&gt;=65,CODE(MID(TRIM('Hybrid Questions'!$A$32)&amp;"AAA",3,1))&lt;=90)))),"'"&amp;'Hybrid Questions'!$A$32&amp;"' isn't a valid Excel column letter, so Themefinder can't find the free-text column on Responses.","")</f>
        <v>0</v>
      </c>
      <c r="F535" s="4" t="s">
        <v>274</v>
      </c>
    </row>
    <row r="536" spans="1:6" ht="75" customHeight="1">
      <c r="A536" t="s">
        <v>271</v>
      </c>
      <c r="B536" t="s">
        <v>197</v>
      </c>
      <c r="C536" t="s">
        <v>326</v>
      </c>
      <c r="D536" t="s">
        <v>165</v>
      </c>
      <c r="E536" s="4">
        <f>IF(AND('Hybrid Questions'!$A$33&lt;&gt;"",NOT(AND(LEN(TRIM('Hybrid Questions'!$A$33))&gt;=1,LEN(TRIM('Hybrid Questions'!$A$33))&lt;=3,AND(CODE(MID(TRIM('Hybrid Questions'!$A$33)&amp;"AAA",1,1))&gt;=65,CODE(MID(TRIM('Hybrid Questions'!$A$33)&amp;"AAA",1,1))&lt;=90),AND(CODE(MID(TRIM('Hybrid Questions'!$A$33)&amp;"AAA",2,1))&gt;=65,CODE(MID(TRIM('Hybrid Questions'!$A$33)&amp;"AAA",2,1))&lt;=90),AND(CODE(MID(TRIM('Hybrid Questions'!$A$33)&amp;"AAA",3,1))&gt;=65,CODE(MID(TRIM('Hybrid Questions'!$A$33)&amp;"AAA",3,1))&lt;=90)))),"'"&amp;'Hybrid Questions'!$A$33&amp;"' isn't a valid Excel column letter, so Themefinder can't find the free-text column on Responses.","")</f>
        <v>0</v>
      </c>
      <c r="F536" s="4" t="s">
        <v>274</v>
      </c>
    </row>
    <row r="537" spans="1:6" ht="75" customHeight="1">
      <c r="A537" t="s">
        <v>271</v>
      </c>
      <c r="B537" t="s">
        <v>198</v>
      </c>
      <c r="C537" t="s">
        <v>326</v>
      </c>
      <c r="D537" t="s">
        <v>165</v>
      </c>
      <c r="E537" s="4">
        <f>IF(AND('Hybrid Questions'!$A$34&lt;&gt;"",NOT(AND(LEN(TRIM('Hybrid Questions'!$A$34))&gt;=1,LEN(TRIM('Hybrid Questions'!$A$34))&lt;=3,AND(CODE(MID(TRIM('Hybrid Questions'!$A$34)&amp;"AAA",1,1))&gt;=65,CODE(MID(TRIM('Hybrid Questions'!$A$34)&amp;"AAA",1,1))&lt;=90),AND(CODE(MID(TRIM('Hybrid Questions'!$A$34)&amp;"AAA",2,1))&gt;=65,CODE(MID(TRIM('Hybrid Questions'!$A$34)&amp;"AAA",2,1))&lt;=90),AND(CODE(MID(TRIM('Hybrid Questions'!$A$34)&amp;"AAA",3,1))&gt;=65,CODE(MID(TRIM('Hybrid Questions'!$A$34)&amp;"AAA",3,1))&lt;=90)))),"'"&amp;'Hybrid Questions'!$A$34&amp;"' isn't a valid Excel column letter, so Themefinder can't find the free-text column on Responses.","")</f>
        <v>0</v>
      </c>
      <c r="F537" s="4" t="s">
        <v>274</v>
      </c>
    </row>
    <row r="538" spans="1:6" ht="75" customHeight="1">
      <c r="A538" t="s">
        <v>271</v>
      </c>
      <c r="B538" t="s">
        <v>199</v>
      </c>
      <c r="C538" t="s">
        <v>326</v>
      </c>
      <c r="D538" t="s">
        <v>165</v>
      </c>
      <c r="E538" s="4">
        <f>IF(AND('Hybrid Questions'!$A$35&lt;&gt;"",NOT(AND(LEN(TRIM('Hybrid Questions'!$A$35))&gt;=1,LEN(TRIM('Hybrid Questions'!$A$35))&lt;=3,AND(CODE(MID(TRIM('Hybrid Questions'!$A$35)&amp;"AAA",1,1))&gt;=65,CODE(MID(TRIM('Hybrid Questions'!$A$35)&amp;"AAA",1,1))&lt;=90),AND(CODE(MID(TRIM('Hybrid Questions'!$A$35)&amp;"AAA",2,1))&gt;=65,CODE(MID(TRIM('Hybrid Questions'!$A$35)&amp;"AAA",2,1))&lt;=90),AND(CODE(MID(TRIM('Hybrid Questions'!$A$35)&amp;"AAA",3,1))&gt;=65,CODE(MID(TRIM('Hybrid Questions'!$A$35)&amp;"AAA",3,1))&lt;=90)))),"'"&amp;'Hybrid Questions'!$A$35&amp;"' isn't a valid Excel column letter, so Themefinder can't find the free-text column on Responses.","")</f>
        <v>0</v>
      </c>
      <c r="F538" s="4" t="s">
        <v>274</v>
      </c>
    </row>
    <row r="539" spans="1:6" ht="75" customHeight="1">
      <c r="A539" t="s">
        <v>271</v>
      </c>
      <c r="B539" t="s">
        <v>200</v>
      </c>
      <c r="C539" t="s">
        <v>326</v>
      </c>
      <c r="D539" t="s">
        <v>165</v>
      </c>
      <c r="E539" s="4">
        <f>IF(AND('Hybrid Questions'!$A$36&lt;&gt;"",NOT(AND(LEN(TRIM('Hybrid Questions'!$A$36))&gt;=1,LEN(TRIM('Hybrid Questions'!$A$36))&lt;=3,AND(CODE(MID(TRIM('Hybrid Questions'!$A$36)&amp;"AAA",1,1))&gt;=65,CODE(MID(TRIM('Hybrid Questions'!$A$36)&amp;"AAA",1,1))&lt;=90),AND(CODE(MID(TRIM('Hybrid Questions'!$A$36)&amp;"AAA",2,1))&gt;=65,CODE(MID(TRIM('Hybrid Questions'!$A$36)&amp;"AAA",2,1))&lt;=90),AND(CODE(MID(TRIM('Hybrid Questions'!$A$36)&amp;"AAA",3,1))&gt;=65,CODE(MID(TRIM('Hybrid Questions'!$A$36)&amp;"AAA",3,1))&lt;=90)))),"'"&amp;'Hybrid Questions'!$A$36&amp;"' isn't a valid Excel column letter, so Themefinder can't find the free-text column on Responses.","")</f>
        <v>0</v>
      </c>
      <c r="F539" s="4" t="s">
        <v>274</v>
      </c>
    </row>
    <row r="540" spans="1:6" ht="75" customHeight="1">
      <c r="A540" t="s">
        <v>271</v>
      </c>
      <c r="B540" t="s">
        <v>201</v>
      </c>
      <c r="C540" t="s">
        <v>326</v>
      </c>
      <c r="D540" t="s">
        <v>165</v>
      </c>
      <c r="E540" s="4">
        <f>IF(AND('Hybrid Questions'!$A$37&lt;&gt;"",NOT(AND(LEN(TRIM('Hybrid Questions'!$A$37))&gt;=1,LEN(TRIM('Hybrid Questions'!$A$37))&lt;=3,AND(CODE(MID(TRIM('Hybrid Questions'!$A$37)&amp;"AAA",1,1))&gt;=65,CODE(MID(TRIM('Hybrid Questions'!$A$37)&amp;"AAA",1,1))&lt;=90),AND(CODE(MID(TRIM('Hybrid Questions'!$A$37)&amp;"AAA",2,1))&gt;=65,CODE(MID(TRIM('Hybrid Questions'!$A$37)&amp;"AAA",2,1))&lt;=90),AND(CODE(MID(TRIM('Hybrid Questions'!$A$37)&amp;"AAA",3,1))&gt;=65,CODE(MID(TRIM('Hybrid Questions'!$A$37)&amp;"AAA",3,1))&lt;=90)))),"'"&amp;'Hybrid Questions'!$A$37&amp;"' isn't a valid Excel column letter, so Themefinder can't find the free-text column on Responses.","")</f>
        <v>0</v>
      </c>
      <c r="F540" s="4" t="s">
        <v>274</v>
      </c>
    </row>
    <row r="541" spans="1:6" ht="75" customHeight="1">
      <c r="A541" t="s">
        <v>271</v>
      </c>
      <c r="B541" t="s">
        <v>202</v>
      </c>
      <c r="C541" t="s">
        <v>326</v>
      </c>
      <c r="D541" t="s">
        <v>165</v>
      </c>
      <c r="E541" s="4">
        <f>IF(AND('Hybrid Questions'!$A$38&lt;&gt;"",NOT(AND(LEN(TRIM('Hybrid Questions'!$A$38))&gt;=1,LEN(TRIM('Hybrid Questions'!$A$38))&lt;=3,AND(CODE(MID(TRIM('Hybrid Questions'!$A$38)&amp;"AAA",1,1))&gt;=65,CODE(MID(TRIM('Hybrid Questions'!$A$38)&amp;"AAA",1,1))&lt;=90),AND(CODE(MID(TRIM('Hybrid Questions'!$A$38)&amp;"AAA",2,1))&gt;=65,CODE(MID(TRIM('Hybrid Questions'!$A$38)&amp;"AAA",2,1))&lt;=90),AND(CODE(MID(TRIM('Hybrid Questions'!$A$38)&amp;"AAA",3,1))&gt;=65,CODE(MID(TRIM('Hybrid Questions'!$A$38)&amp;"AAA",3,1))&lt;=90)))),"'"&amp;'Hybrid Questions'!$A$38&amp;"' isn't a valid Excel column letter, so Themefinder can't find the free-text column on Responses.","")</f>
        <v>0</v>
      </c>
      <c r="F541" s="4" t="s">
        <v>274</v>
      </c>
    </row>
    <row r="542" spans="1:6" ht="75" customHeight="1">
      <c r="A542" t="s">
        <v>271</v>
      </c>
      <c r="B542" t="s">
        <v>203</v>
      </c>
      <c r="C542" t="s">
        <v>326</v>
      </c>
      <c r="D542" t="s">
        <v>165</v>
      </c>
      <c r="E542" s="4">
        <f>IF(AND('Hybrid Questions'!$A$39&lt;&gt;"",NOT(AND(LEN(TRIM('Hybrid Questions'!$A$39))&gt;=1,LEN(TRIM('Hybrid Questions'!$A$39))&lt;=3,AND(CODE(MID(TRIM('Hybrid Questions'!$A$39)&amp;"AAA",1,1))&gt;=65,CODE(MID(TRIM('Hybrid Questions'!$A$39)&amp;"AAA",1,1))&lt;=90),AND(CODE(MID(TRIM('Hybrid Questions'!$A$39)&amp;"AAA",2,1))&gt;=65,CODE(MID(TRIM('Hybrid Questions'!$A$39)&amp;"AAA",2,1))&lt;=90),AND(CODE(MID(TRIM('Hybrid Questions'!$A$39)&amp;"AAA",3,1))&gt;=65,CODE(MID(TRIM('Hybrid Questions'!$A$39)&amp;"AAA",3,1))&lt;=90)))),"'"&amp;'Hybrid Questions'!$A$39&amp;"' isn't a valid Excel column letter, so Themefinder can't find the free-text column on Responses.","")</f>
        <v>0</v>
      </c>
      <c r="F542" s="4" t="s">
        <v>274</v>
      </c>
    </row>
    <row r="543" spans="1:6" ht="75" customHeight="1">
      <c r="A543" t="s">
        <v>271</v>
      </c>
      <c r="B543" t="s">
        <v>204</v>
      </c>
      <c r="C543" t="s">
        <v>326</v>
      </c>
      <c r="D543" t="s">
        <v>165</v>
      </c>
      <c r="E543" s="4">
        <f>IF(AND('Hybrid Questions'!$A$40&lt;&gt;"",NOT(AND(LEN(TRIM('Hybrid Questions'!$A$40))&gt;=1,LEN(TRIM('Hybrid Questions'!$A$40))&lt;=3,AND(CODE(MID(TRIM('Hybrid Questions'!$A$40)&amp;"AAA",1,1))&gt;=65,CODE(MID(TRIM('Hybrid Questions'!$A$40)&amp;"AAA",1,1))&lt;=90),AND(CODE(MID(TRIM('Hybrid Questions'!$A$40)&amp;"AAA",2,1))&gt;=65,CODE(MID(TRIM('Hybrid Questions'!$A$40)&amp;"AAA",2,1))&lt;=90),AND(CODE(MID(TRIM('Hybrid Questions'!$A$40)&amp;"AAA",3,1))&gt;=65,CODE(MID(TRIM('Hybrid Questions'!$A$40)&amp;"AAA",3,1))&lt;=90)))),"'"&amp;'Hybrid Questions'!$A$40&amp;"' isn't a valid Excel column letter, so Themefinder can't find the free-text column on Responses.","")</f>
        <v>0</v>
      </c>
      <c r="F543" s="4" t="s">
        <v>274</v>
      </c>
    </row>
    <row r="544" spans="1:6" ht="75" customHeight="1">
      <c r="A544" t="s">
        <v>271</v>
      </c>
      <c r="B544" t="s">
        <v>205</v>
      </c>
      <c r="C544" t="s">
        <v>326</v>
      </c>
      <c r="D544" t="s">
        <v>165</v>
      </c>
      <c r="E544" s="4">
        <f>IF(AND('Hybrid Questions'!$A$41&lt;&gt;"",NOT(AND(LEN(TRIM('Hybrid Questions'!$A$41))&gt;=1,LEN(TRIM('Hybrid Questions'!$A$41))&lt;=3,AND(CODE(MID(TRIM('Hybrid Questions'!$A$41)&amp;"AAA",1,1))&gt;=65,CODE(MID(TRIM('Hybrid Questions'!$A$41)&amp;"AAA",1,1))&lt;=90),AND(CODE(MID(TRIM('Hybrid Questions'!$A$41)&amp;"AAA",2,1))&gt;=65,CODE(MID(TRIM('Hybrid Questions'!$A$41)&amp;"AAA",2,1))&lt;=90),AND(CODE(MID(TRIM('Hybrid Questions'!$A$41)&amp;"AAA",3,1))&gt;=65,CODE(MID(TRIM('Hybrid Questions'!$A$41)&amp;"AAA",3,1))&lt;=90)))),"'"&amp;'Hybrid Questions'!$A$41&amp;"' isn't a valid Excel column letter, so Themefinder can't find the free-text column on Responses.","")</f>
        <v>0</v>
      </c>
      <c r="F544" s="4" t="s">
        <v>274</v>
      </c>
    </row>
    <row r="545" spans="1:6" ht="75" customHeight="1">
      <c r="A545" t="s">
        <v>271</v>
      </c>
      <c r="B545" t="s">
        <v>206</v>
      </c>
      <c r="C545" t="s">
        <v>326</v>
      </c>
      <c r="D545" t="s">
        <v>165</v>
      </c>
      <c r="E545" s="4">
        <f>IF(AND('Hybrid Questions'!$A$42&lt;&gt;"",NOT(AND(LEN(TRIM('Hybrid Questions'!$A$42))&gt;=1,LEN(TRIM('Hybrid Questions'!$A$42))&lt;=3,AND(CODE(MID(TRIM('Hybrid Questions'!$A$42)&amp;"AAA",1,1))&gt;=65,CODE(MID(TRIM('Hybrid Questions'!$A$42)&amp;"AAA",1,1))&lt;=90),AND(CODE(MID(TRIM('Hybrid Questions'!$A$42)&amp;"AAA",2,1))&gt;=65,CODE(MID(TRIM('Hybrid Questions'!$A$42)&amp;"AAA",2,1))&lt;=90),AND(CODE(MID(TRIM('Hybrid Questions'!$A$42)&amp;"AAA",3,1))&gt;=65,CODE(MID(TRIM('Hybrid Questions'!$A$42)&amp;"AAA",3,1))&lt;=90)))),"'"&amp;'Hybrid Questions'!$A$42&amp;"' isn't a valid Excel column letter, so Themefinder can't find the free-text column on Responses.","")</f>
        <v>0</v>
      </c>
      <c r="F545" s="4" t="s">
        <v>274</v>
      </c>
    </row>
    <row r="546" spans="1:6" ht="75" customHeight="1">
      <c r="A546" t="s">
        <v>271</v>
      </c>
      <c r="B546" t="s">
        <v>207</v>
      </c>
      <c r="C546" t="s">
        <v>326</v>
      </c>
      <c r="D546" t="s">
        <v>165</v>
      </c>
      <c r="E546" s="4">
        <f>IF(AND('Hybrid Questions'!$A$43&lt;&gt;"",NOT(AND(LEN(TRIM('Hybrid Questions'!$A$43))&gt;=1,LEN(TRIM('Hybrid Questions'!$A$43))&lt;=3,AND(CODE(MID(TRIM('Hybrid Questions'!$A$43)&amp;"AAA",1,1))&gt;=65,CODE(MID(TRIM('Hybrid Questions'!$A$43)&amp;"AAA",1,1))&lt;=90),AND(CODE(MID(TRIM('Hybrid Questions'!$A$43)&amp;"AAA",2,1))&gt;=65,CODE(MID(TRIM('Hybrid Questions'!$A$43)&amp;"AAA",2,1))&lt;=90),AND(CODE(MID(TRIM('Hybrid Questions'!$A$43)&amp;"AAA",3,1))&gt;=65,CODE(MID(TRIM('Hybrid Questions'!$A$43)&amp;"AAA",3,1))&lt;=90)))),"'"&amp;'Hybrid Questions'!$A$43&amp;"' isn't a valid Excel column letter, so Themefinder can't find the free-text column on Responses.","")</f>
        <v>0</v>
      </c>
      <c r="F546" s="4" t="s">
        <v>274</v>
      </c>
    </row>
    <row r="547" spans="1:6" ht="75" customHeight="1">
      <c r="A547" t="s">
        <v>271</v>
      </c>
      <c r="B547" t="s">
        <v>208</v>
      </c>
      <c r="C547" t="s">
        <v>326</v>
      </c>
      <c r="D547" t="s">
        <v>165</v>
      </c>
      <c r="E547" s="4">
        <f>IF(AND('Hybrid Questions'!$A$44&lt;&gt;"",NOT(AND(LEN(TRIM('Hybrid Questions'!$A$44))&gt;=1,LEN(TRIM('Hybrid Questions'!$A$44))&lt;=3,AND(CODE(MID(TRIM('Hybrid Questions'!$A$44)&amp;"AAA",1,1))&gt;=65,CODE(MID(TRIM('Hybrid Questions'!$A$44)&amp;"AAA",1,1))&lt;=90),AND(CODE(MID(TRIM('Hybrid Questions'!$A$44)&amp;"AAA",2,1))&gt;=65,CODE(MID(TRIM('Hybrid Questions'!$A$44)&amp;"AAA",2,1))&lt;=90),AND(CODE(MID(TRIM('Hybrid Questions'!$A$44)&amp;"AAA",3,1))&gt;=65,CODE(MID(TRIM('Hybrid Questions'!$A$44)&amp;"AAA",3,1))&lt;=90)))),"'"&amp;'Hybrid Questions'!$A$44&amp;"' isn't a valid Excel column letter, so Themefinder can't find the free-text column on Responses.","")</f>
        <v>0</v>
      </c>
      <c r="F547" s="4" t="s">
        <v>274</v>
      </c>
    </row>
    <row r="548" spans="1:6" ht="75" customHeight="1">
      <c r="A548" t="s">
        <v>271</v>
      </c>
      <c r="B548" t="s">
        <v>209</v>
      </c>
      <c r="C548" t="s">
        <v>326</v>
      </c>
      <c r="D548" t="s">
        <v>165</v>
      </c>
      <c r="E548" s="4">
        <f>IF(AND('Hybrid Questions'!$A$45&lt;&gt;"",NOT(AND(LEN(TRIM('Hybrid Questions'!$A$45))&gt;=1,LEN(TRIM('Hybrid Questions'!$A$45))&lt;=3,AND(CODE(MID(TRIM('Hybrid Questions'!$A$45)&amp;"AAA",1,1))&gt;=65,CODE(MID(TRIM('Hybrid Questions'!$A$45)&amp;"AAA",1,1))&lt;=90),AND(CODE(MID(TRIM('Hybrid Questions'!$A$45)&amp;"AAA",2,1))&gt;=65,CODE(MID(TRIM('Hybrid Questions'!$A$45)&amp;"AAA",2,1))&lt;=90),AND(CODE(MID(TRIM('Hybrid Questions'!$A$45)&amp;"AAA",3,1))&gt;=65,CODE(MID(TRIM('Hybrid Questions'!$A$45)&amp;"AAA",3,1))&lt;=90)))),"'"&amp;'Hybrid Questions'!$A$45&amp;"' isn't a valid Excel column letter, so Themefinder can't find the free-text column on Responses.","")</f>
        <v>0</v>
      </c>
      <c r="F548" s="4" t="s">
        <v>274</v>
      </c>
    </row>
    <row r="549" spans="1:6" ht="75" customHeight="1">
      <c r="A549" t="s">
        <v>271</v>
      </c>
      <c r="B549" t="s">
        <v>210</v>
      </c>
      <c r="C549" t="s">
        <v>326</v>
      </c>
      <c r="D549" t="s">
        <v>165</v>
      </c>
      <c r="E549" s="4">
        <f>IF(AND('Hybrid Questions'!$A$46&lt;&gt;"",NOT(AND(LEN(TRIM('Hybrid Questions'!$A$46))&gt;=1,LEN(TRIM('Hybrid Questions'!$A$46))&lt;=3,AND(CODE(MID(TRIM('Hybrid Questions'!$A$46)&amp;"AAA",1,1))&gt;=65,CODE(MID(TRIM('Hybrid Questions'!$A$46)&amp;"AAA",1,1))&lt;=90),AND(CODE(MID(TRIM('Hybrid Questions'!$A$46)&amp;"AAA",2,1))&gt;=65,CODE(MID(TRIM('Hybrid Questions'!$A$46)&amp;"AAA",2,1))&lt;=90),AND(CODE(MID(TRIM('Hybrid Questions'!$A$46)&amp;"AAA",3,1))&gt;=65,CODE(MID(TRIM('Hybrid Questions'!$A$46)&amp;"AAA",3,1))&lt;=90)))),"'"&amp;'Hybrid Questions'!$A$46&amp;"' isn't a valid Excel column letter, so Themefinder can't find the free-text column on Responses.","")</f>
        <v>0</v>
      </c>
      <c r="F549" s="4" t="s">
        <v>274</v>
      </c>
    </row>
    <row r="550" spans="1:6" ht="75" customHeight="1">
      <c r="A550" t="s">
        <v>271</v>
      </c>
      <c r="B550" t="s">
        <v>211</v>
      </c>
      <c r="C550" t="s">
        <v>326</v>
      </c>
      <c r="D550" t="s">
        <v>165</v>
      </c>
      <c r="E550" s="4">
        <f>IF(AND('Hybrid Questions'!$A$47&lt;&gt;"",NOT(AND(LEN(TRIM('Hybrid Questions'!$A$47))&gt;=1,LEN(TRIM('Hybrid Questions'!$A$47))&lt;=3,AND(CODE(MID(TRIM('Hybrid Questions'!$A$47)&amp;"AAA",1,1))&gt;=65,CODE(MID(TRIM('Hybrid Questions'!$A$47)&amp;"AAA",1,1))&lt;=90),AND(CODE(MID(TRIM('Hybrid Questions'!$A$47)&amp;"AAA",2,1))&gt;=65,CODE(MID(TRIM('Hybrid Questions'!$A$47)&amp;"AAA",2,1))&lt;=90),AND(CODE(MID(TRIM('Hybrid Questions'!$A$47)&amp;"AAA",3,1))&gt;=65,CODE(MID(TRIM('Hybrid Questions'!$A$47)&amp;"AAA",3,1))&lt;=90)))),"'"&amp;'Hybrid Questions'!$A$47&amp;"' isn't a valid Excel column letter, so Themefinder can't find the free-text column on Responses.","")</f>
        <v>0</v>
      </c>
      <c r="F550" s="4" t="s">
        <v>274</v>
      </c>
    </row>
    <row r="551" spans="1:6" ht="75" customHeight="1">
      <c r="A551" t="s">
        <v>271</v>
      </c>
      <c r="B551" t="s">
        <v>212</v>
      </c>
      <c r="C551" t="s">
        <v>326</v>
      </c>
      <c r="D551" t="s">
        <v>165</v>
      </c>
      <c r="E551" s="4">
        <f>IF(AND('Hybrid Questions'!$A$48&lt;&gt;"",NOT(AND(LEN(TRIM('Hybrid Questions'!$A$48))&gt;=1,LEN(TRIM('Hybrid Questions'!$A$48))&lt;=3,AND(CODE(MID(TRIM('Hybrid Questions'!$A$48)&amp;"AAA",1,1))&gt;=65,CODE(MID(TRIM('Hybrid Questions'!$A$48)&amp;"AAA",1,1))&lt;=90),AND(CODE(MID(TRIM('Hybrid Questions'!$A$48)&amp;"AAA",2,1))&gt;=65,CODE(MID(TRIM('Hybrid Questions'!$A$48)&amp;"AAA",2,1))&lt;=90),AND(CODE(MID(TRIM('Hybrid Questions'!$A$48)&amp;"AAA",3,1))&gt;=65,CODE(MID(TRIM('Hybrid Questions'!$A$48)&amp;"AAA",3,1))&lt;=90)))),"'"&amp;'Hybrid Questions'!$A$48&amp;"' isn't a valid Excel column letter, so Themefinder can't find the free-text column on Responses.","")</f>
        <v>0</v>
      </c>
      <c r="F551" s="4" t="s">
        <v>274</v>
      </c>
    </row>
    <row r="552" spans="1:6" ht="75" customHeight="1">
      <c r="A552" t="s">
        <v>271</v>
      </c>
      <c r="B552" t="s">
        <v>213</v>
      </c>
      <c r="C552" t="s">
        <v>326</v>
      </c>
      <c r="D552" t="s">
        <v>165</v>
      </c>
      <c r="E552" s="4">
        <f>IF(AND('Hybrid Questions'!$A$49&lt;&gt;"",NOT(AND(LEN(TRIM('Hybrid Questions'!$A$49))&gt;=1,LEN(TRIM('Hybrid Questions'!$A$49))&lt;=3,AND(CODE(MID(TRIM('Hybrid Questions'!$A$49)&amp;"AAA",1,1))&gt;=65,CODE(MID(TRIM('Hybrid Questions'!$A$49)&amp;"AAA",1,1))&lt;=90),AND(CODE(MID(TRIM('Hybrid Questions'!$A$49)&amp;"AAA",2,1))&gt;=65,CODE(MID(TRIM('Hybrid Questions'!$A$49)&amp;"AAA",2,1))&lt;=90),AND(CODE(MID(TRIM('Hybrid Questions'!$A$49)&amp;"AAA",3,1))&gt;=65,CODE(MID(TRIM('Hybrid Questions'!$A$49)&amp;"AAA",3,1))&lt;=90)))),"'"&amp;'Hybrid Questions'!$A$49&amp;"' isn't a valid Excel column letter, so Themefinder can't find the free-text column on Responses.","")</f>
        <v>0</v>
      </c>
      <c r="F552" s="4" t="s">
        <v>274</v>
      </c>
    </row>
    <row r="553" spans="1:6" ht="75" customHeight="1">
      <c r="A553" t="s">
        <v>271</v>
      </c>
      <c r="B553" t="s">
        <v>214</v>
      </c>
      <c r="C553" t="s">
        <v>326</v>
      </c>
      <c r="D553" t="s">
        <v>165</v>
      </c>
      <c r="E553" s="4">
        <f>IF(AND('Hybrid Questions'!$A$50&lt;&gt;"",NOT(AND(LEN(TRIM('Hybrid Questions'!$A$50))&gt;=1,LEN(TRIM('Hybrid Questions'!$A$50))&lt;=3,AND(CODE(MID(TRIM('Hybrid Questions'!$A$50)&amp;"AAA",1,1))&gt;=65,CODE(MID(TRIM('Hybrid Questions'!$A$50)&amp;"AAA",1,1))&lt;=90),AND(CODE(MID(TRIM('Hybrid Questions'!$A$50)&amp;"AAA",2,1))&gt;=65,CODE(MID(TRIM('Hybrid Questions'!$A$50)&amp;"AAA",2,1))&lt;=90),AND(CODE(MID(TRIM('Hybrid Questions'!$A$50)&amp;"AAA",3,1))&gt;=65,CODE(MID(TRIM('Hybrid Questions'!$A$50)&amp;"AAA",3,1))&lt;=90)))),"'"&amp;'Hybrid Questions'!$A$50&amp;"' isn't a valid Excel column letter, so Themefinder can't find the free-text column on Responses.","")</f>
        <v>0</v>
      </c>
      <c r="F553" s="4" t="s">
        <v>274</v>
      </c>
    </row>
    <row r="554" spans="1:6" ht="75" customHeight="1">
      <c r="A554" t="s">
        <v>271</v>
      </c>
      <c r="B554" t="s">
        <v>215</v>
      </c>
      <c r="C554" t="s">
        <v>326</v>
      </c>
      <c r="D554" t="s">
        <v>165</v>
      </c>
      <c r="E554" s="4">
        <f>IF(AND('Hybrid Questions'!$A$51&lt;&gt;"",NOT(AND(LEN(TRIM('Hybrid Questions'!$A$51))&gt;=1,LEN(TRIM('Hybrid Questions'!$A$51))&lt;=3,AND(CODE(MID(TRIM('Hybrid Questions'!$A$51)&amp;"AAA",1,1))&gt;=65,CODE(MID(TRIM('Hybrid Questions'!$A$51)&amp;"AAA",1,1))&lt;=90),AND(CODE(MID(TRIM('Hybrid Questions'!$A$51)&amp;"AAA",2,1))&gt;=65,CODE(MID(TRIM('Hybrid Questions'!$A$51)&amp;"AAA",2,1))&lt;=90),AND(CODE(MID(TRIM('Hybrid Questions'!$A$51)&amp;"AAA",3,1))&gt;=65,CODE(MID(TRIM('Hybrid Questions'!$A$51)&amp;"AAA",3,1))&lt;=90)))),"'"&amp;'Hybrid Questions'!$A$51&amp;"' isn't a valid Excel column letter, so Themefinder can't find the free-text column on Responses.","")</f>
        <v>0</v>
      </c>
      <c r="F554" s="4" t="s">
        <v>274</v>
      </c>
    </row>
    <row r="555" spans="1:6" ht="75" customHeight="1">
      <c r="A555" t="s">
        <v>271</v>
      </c>
      <c r="B555" t="s">
        <v>272</v>
      </c>
      <c r="C555" t="s">
        <v>327</v>
      </c>
      <c r="D555" t="s">
        <v>165</v>
      </c>
      <c r="E555" s="4">
        <f>IF(AND('Hybrid Questions'!$D$2="",OR('Hybrid Questions'!$A$2&lt;&gt;"",'Hybrid Questions'!$B$2&lt;&gt;"",'Hybrid Questions'!$C$2&lt;&gt;"")),"This row has no column letter for the multiple-choice part, so Themefinder won't know where those answers live.","")</f>
        <v>0</v>
      </c>
      <c r="F555" s="4" t="s">
        <v>328</v>
      </c>
    </row>
    <row r="556" spans="1:6" ht="75" customHeight="1">
      <c r="A556" t="s">
        <v>271</v>
      </c>
      <c r="B556" t="s">
        <v>275</v>
      </c>
      <c r="C556" t="s">
        <v>327</v>
      </c>
      <c r="D556" t="s">
        <v>165</v>
      </c>
      <c r="E556" s="4">
        <f>IF(AND('Hybrid Questions'!$D$3="",OR('Hybrid Questions'!$A$3&lt;&gt;"",'Hybrid Questions'!$B$3&lt;&gt;"",'Hybrid Questions'!$C$3&lt;&gt;"")),"This row has no column letter for the multiple-choice part, so Themefinder won't know where those answers live.","")</f>
        <v>0</v>
      </c>
      <c r="F556" s="4" t="s">
        <v>328</v>
      </c>
    </row>
    <row r="557" spans="1:6" ht="75" customHeight="1">
      <c r="A557" t="s">
        <v>271</v>
      </c>
      <c r="B557" t="s">
        <v>276</v>
      </c>
      <c r="C557" t="s">
        <v>327</v>
      </c>
      <c r="D557" t="s">
        <v>165</v>
      </c>
      <c r="E557" s="4">
        <f>IF(AND('Hybrid Questions'!$D$4="",OR('Hybrid Questions'!$A$4&lt;&gt;"",'Hybrid Questions'!$B$4&lt;&gt;"",'Hybrid Questions'!$C$4&lt;&gt;"")),"This row has no column letter for the multiple-choice part, so Themefinder won't know where those answers live.","")</f>
        <v>0</v>
      </c>
      <c r="F557" s="4" t="s">
        <v>328</v>
      </c>
    </row>
    <row r="558" spans="1:6" ht="75" customHeight="1">
      <c r="A558" t="s">
        <v>271</v>
      </c>
      <c r="B558" t="s">
        <v>277</v>
      </c>
      <c r="C558" t="s">
        <v>327</v>
      </c>
      <c r="D558" t="s">
        <v>165</v>
      </c>
      <c r="E558" s="4">
        <f>IF(AND('Hybrid Questions'!$D$5="",OR('Hybrid Questions'!$A$5&lt;&gt;"",'Hybrid Questions'!$B$5&lt;&gt;"",'Hybrid Questions'!$C$5&lt;&gt;"")),"This row has no column letter for the multiple-choice part, so Themefinder won't know where those answers live.","")</f>
        <v>0</v>
      </c>
      <c r="F558" s="4" t="s">
        <v>328</v>
      </c>
    </row>
    <row r="559" spans="1:6" ht="75" customHeight="1">
      <c r="A559" t="s">
        <v>271</v>
      </c>
      <c r="B559" t="s">
        <v>278</v>
      </c>
      <c r="C559" t="s">
        <v>327</v>
      </c>
      <c r="D559" t="s">
        <v>165</v>
      </c>
      <c r="E559" s="4">
        <f>IF(AND('Hybrid Questions'!$D$6="",OR('Hybrid Questions'!$A$6&lt;&gt;"",'Hybrid Questions'!$B$6&lt;&gt;"",'Hybrid Questions'!$C$6&lt;&gt;"")),"This row has no column letter for the multiple-choice part, so Themefinder won't know where those answers live.","")</f>
        <v>0</v>
      </c>
      <c r="F559" s="4" t="s">
        <v>328</v>
      </c>
    </row>
    <row r="560" spans="1:6" ht="75" customHeight="1">
      <c r="A560" t="s">
        <v>271</v>
      </c>
      <c r="B560" t="s">
        <v>279</v>
      </c>
      <c r="C560" t="s">
        <v>327</v>
      </c>
      <c r="D560" t="s">
        <v>165</v>
      </c>
      <c r="E560" s="4">
        <f>IF(AND('Hybrid Questions'!$D$7="",OR('Hybrid Questions'!$A$7&lt;&gt;"",'Hybrid Questions'!$B$7&lt;&gt;"",'Hybrid Questions'!$C$7&lt;&gt;"")),"This row has no column letter for the multiple-choice part, so Themefinder won't know where those answers live.","")</f>
        <v>0</v>
      </c>
      <c r="F560" s="4" t="s">
        <v>328</v>
      </c>
    </row>
    <row r="561" spans="1:6" ht="75" customHeight="1">
      <c r="A561" t="s">
        <v>271</v>
      </c>
      <c r="B561" t="s">
        <v>280</v>
      </c>
      <c r="C561" t="s">
        <v>327</v>
      </c>
      <c r="D561" t="s">
        <v>165</v>
      </c>
      <c r="E561" s="4">
        <f>IF(AND('Hybrid Questions'!$D$8="",OR('Hybrid Questions'!$A$8&lt;&gt;"",'Hybrid Questions'!$B$8&lt;&gt;"",'Hybrid Questions'!$C$8&lt;&gt;"")),"This row has no column letter for the multiple-choice part, so Themefinder won't know where those answers live.","")</f>
        <v>0</v>
      </c>
      <c r="F561" s="4" t="s">
        <v>328</v>
      </c>
    </row>
    <row r="562" spans="1:6" ht="75" customHeight="1">
      <c r="A562" t="s">
        <v>271</v>
      </c>
      <c r="B562" t="s">
        <v>281</v>
      </c>
      <c r="C562" t="s">
        <v>327</v>
      </c>
      <c r="D562" t="s">
        <v>165</v>
      </c>
      <c r="E562" s="4">
        <f>IF(AND('Hybrid Questions'!$D$9="",OR('Hybrid Questions'!$A$9&lt;&gt;"",'Hybrid Questions'!$B$9&lt;&gt;"",'Hybrid Questions'!$C$9&lt;&gt;"")),"This row has no column letter for the multiple-choice part, so Themefinder won't know where those answers live.","")</f>
        <v>0</v>
      </c>
      <c r="F562" s="4" t="s">
        <v>328</v>
      </c>
    </row>
    <row r="563" spans="1:6" ht="75" customHeight="1">
      <c r="A563" t="s">
        <v>271</v>
      </c>
      <c r="B563" t="s">
        <v>282</v>
      </c>
      <c r="C563" t="s">
        <v>327</v>
      </c>
      <c r="D563" t="s">
        <v>165</v>
      </c>
      <c r="E563" s="4">
        <f>IF(AND('Hybrid Questions'!$D$10="",OR('Hybrid Questions'!$A$10&lt;&gt;"",'Hybrid Questions'!$B$10&lt;&gt;"",'Hybrid Questions'!$C$10&lt;&gt;"")),"This row has no column letter for the multiple-choice part, so Themefinder won't know where those answers live.","")</f>
        <v>0</v>
      </c>
      <c r="F563" s="4" t="s">
        <v>328</v>
      </c>
    </row>
    <row r="564" spans="1:6" ht="75" customHeight="1">
      <c r="A564" t="s">
        <v>271</v>
      </c>
      <c r="B564" t="s">
        <v>283</v>
      </c>
      <c r="C564" t="s">
        <v>327</v>
      </c>
      <c r="D564" t="s">
        <v>165</v>
      </c>
      <c r="E564" s="4">
        <f>IF(AND('Hybrid Questions'!$D$11="",OR('Hybrid Questions'!$A$11&lt;&gt;"",'Hybrid Questions'!$B$11&lt;&gt;"",'Hybrid Questions'!$C$11&lt;&gt;"")),"This row has no column letter for the multiple-choice part, so Themefinder won't know where those answers live.","")</f>
        <v>0</v>
      </c>
      <c r="F564" s="4" t="s">
        <v>328</v>
      </c>
    </row>
    <row r="565" spans="1:6" ht="75" customHeight="1">
      <c r="A565" t="s">
        <v>271</v>
      </c>
      <c r="B565" t="s">
        <v>284</v>
      </c>
      <c r="C565" t="s">
        <v>327</v>
      </c>
      <c r="D565" t="s">
        <v>165</v>
      </c>
      <c r="E565" s="4">
        <f>IF(AND('Hybrid Questions'!$D$12="",OR('Hybrid Questions'!$A$12&lt;&gt;"",'Hybrid Questions'!$B$12&lt;&gt;"",'Hybrid Questions'!$C$12&lt;&gt;"")),"This row has no column letter for the multiple-choice part, so Themefinder won't know where those answers live.","")</f>
        <v>0</v>
      </c>
      <c r="F565" s="4" t="s">
        <v>328</v>
      </c>
    </row>
    <row r="566" spans="1:6" ht="75" customHeight="1">
      <c r="A566" t="s">
        <v>271</v>
      </c>
      <c r="B566" t="s">
        <v>285</v>
      </c>
      <c r="C566" t="s">
        <v>327</v>
      </c>
      <c r="D566" t="s">
        <v>165</v>
      </c>
      <c r="E566" s="4">
        <f>IF(AND('Hybrid Questions'!$D$13="",OR('Hybrid Questions'!$A$13&lt;&gt;"",'Hybrid Questions'!$B$13&lt;&gt;"",'Hybrid Questions'!$C$13&lt;&gt;"")),"This row has no column letter for the multiple-choice part, so Themefinder won't know where those answers live.","")</f>
        <v>0</v>
      </c>
      <c r="F566" s="4" t="s">
        <v>328</v>
      </c>
    </row>
    <row r="567" spans="1:6" ht="75" customHeight="1">
      <c r="A567" t="s">
        <v>271</v>
      </c>
      <c r="B567" t="s">
        <v>286</v>
      </c>
      <c r="C567" t="s">
        <v>327</v>
      </c>
      <c r="D567" t="s">
        <v>165</v>
      </c>
      <c r="E567" s="4">
        <f>IF(AND('Hybrid Questions'!$D$14="",OR('Hybrid Questions'!$A$14&lt;&gt;"",'Hybrid Questions'!$B$14&lt;&gt;"",'Hybrid Questions'!$C$14&lt;&gt;"")),"This row has no column letter for the multiple-choice part, so Themefinder won't know where those answers live.","")</f>
        <v>0</v>
      </c>
      <c r="F567" s="4" t="s">
        <v>328</v>
      </c>
    </row>
    <row r="568" spans="1:6" ht="75" customHeight="1">
      <c r="A568" t="s">
        <v>271</v>
      </c>
      <c r="B568" t="s">
        <v>287</v>
      </c>
      <c r="C568" t="s">
        <v>327</v>
      </c>
      <c r="D568" t="s">
        <v>165</v>
      </c>
      <c r="E568" s="4">
        <f>IF(AND('Hybrid Questions'!$D$15="",OR('Hybrid Questions'!$A$15&lt;&gt;"",'Hybrid Questions'!$B$15&lt;&gt;"",'Hybrid Questions'!$C$15&lt;&gt;"")),"This row has no column letter for the multiple-choice part, so Themefinder won't know where those answers live.","")</f>
        <v>0</v>
      </c>
      <c r="F568" s="4" t="s">
        <v>328</v>
      </c>
    </row>
    <row r="569" spans="1:6" ht="75" customHeight="1">
      <c r="A569" t="s">
        <v>271</v>
      </c>
      <c r="B569" t="s">
        <v>288</v>
      </c>
      <c r="C569" t="s">
        <v>327</v>
      </c>
      <c r="D569" t="s">
        <v>165</v>
      </c>
      <c r="E569" s="4">
        <f>IF(AND('Hybrid Questions'!$D$16="",OR('Hybrid Questions'!$A$16&lt;&gt;"",'Hybrid Questions'!$B$16&lt;&gt;"",'Hybrid Questions'!$C$16&lt;&gt;"")),"This row has no column letter for the multiple-choice part, so Themefinder won't know where those answers live.","")</f>
        <v>0</v>
      </c>
      <c r="F569" s="4" t="s">
        <v>328</v>
      </c>
    </row>
    <row r="570" spans="1:6" ht="75" customHeight="1">
      <c r="A570" t="s">
        <v>271</v>
      </c>
      <c r="B570" t="s">
        <v>289</v>
      </c>
      <c r="C570" t="s">
        <v>327</v>
      </c>
      <c r="D570" t="s">
        <v>165</v>
      </c>
      <c r="E570" s="4">
        <f>IF(AND('Hybrid Questions'!$D$17="",OR('Hybrid Questions'!$A$17&lt;&gt;"",'Hybrid Questions'!$B$17&lt;&gt;"",'Hybrid Questions'!$C$17&lt;&gt;"")),"This row has no column letter for the multiple-choice part, so Themefinder won't know where those answers live.","")</f>
        <v>0</v>
      </c>
      <c r="F570" s="4" t="s">
        <v>328</v>
      </c>
    </row>
    <row r="571" spans="1:6" ht="75" customHeight="1">
      <c r="A571" t="s">
        <v>271</v>
      </c>
      <c r="B571" t="s">
        <v>290</v>
      </c>
      <c r="C571" t="s">
        <v>327</v>
      </c>
      <c r="D571" t="s">
        <v>165</v>
      </c>
      <c r="E571" s="4">
        <f>IF(AND('Hybrid Questions'!$D$18="",OR('Hybrid Questions'!$A$18&lt;&gt;"",'Hybrid Questions'!$B$18&lt;&gt;"",'Hybrid Questions'!$C$18&lt;&gt;"")),"This row has no column letter for the multiple-choice part, so Themefinder won't know where those answers live.","")</f>
        <v>0</v>
      </c>
      <c r="F571" s="4" t="s">
        <v>328</v>
      </c>
    </row>
    <row r="572" spans="1:6" ht="75" customHeight="1">
      <c r="A572" t="s">
        <v>271</v>
      </c>
      <c r="B572" t="s">
        <v>291</v>
      </c>
      <c r="C572" t="s">
        <v>327</v>
      </c>
      <c r="D572" t="s">
        <v>165</v>
      </c>
      <c r="E572" s="4">
        <f>IF(AND('Hybrid Questions'!$D$19="",OR('Hybrid Questions'!$A$19&lt;&gt;"",'Hybrid Questions'!$B$19&lt;&gt;"",'Hybrid Questions'!$C$19&lt;&gt;"")),"This row has no column letter for the multiple-choice part, so Themefinder won't know where those answers live.","")</f>
        <v>0</v>
      </c>
      <c r="F572" s="4" t="s">
        <v>328</v>
      </c>
    </row>
    <row r="573" spans="1:6" ht="75" customHeight="1">
      <c r="A573" t="s">
        <v>271</v>
      </c>
      <c r="B573" t="s">
        <v>292</v>
      </c>
      <c r="C573" t="s">
        <v>327</v>
      </c>
      <c r="D573" t="s">
        <v>165</v>
      </c>
      <c r="E573" s="4">
        <f>IF(AND('Hybrid Questions'!$D$20="",OR('Hybrid Questions'!$A$20&lt;&gt;"",'Hybrid Questions'!$B$20&lt;&gt;"",'Hybrid Questions'!$C$20&lt;&gt;"")),"This row has no column letter for the multiple-choice part, so Themefinder won't know where those answers live.","")</f>
        <v>0</v>
      </c>
      <c r="F573" s="4" t="s">
        <v>328</v>
      </c>
    </row>
    <row r="574" spans="1:6" ht="75" customHeight="1">
      <c r="A574" t="s">
        <v>271</v>
      </c>
      <c r="B574" t="s">
        <v>293</v>
      </c>
      <c r="C574" t="s">
        <v>327</v>
      </c>
      <c r="D574" t="s">
        <v>165</v>
      </c>
      <c r="E574" s="4">
        <f>IF(AND('Hybrid Questions'!$D$21="",OR('Hybrid Questions'!$A$21&lt;&gt;"",'Hybrid Questions'!$B$21&lt;&gt;"",'Hybrid Questions'!$C$21&lt;&gt;"")),"This row has no column letter for the multiple-choice part, so Themefinder won't know where those answers live.","")</f>
        <v>0</v>
      </c>
      <c r="F574" s="4" t="s">
        <v>328</v>
      </c>
    </row>
    <row r="575" spans="1:6" ht="75" customHeight="1">
      <c r="A575" t="s">
        <v>271</v>
      </c>
      <c r="B575" t="s">
        <v>294</v>
      </c>
      <c r="C575" t="s">
        <v>327</v>
      </c>
      <c r="D575" t="s">
        <v>165</v>
      </c>
      <c r="E575" s="4">
        <f>IF(AND('Hybrid Questions'!$D$22="",OR('Hybrid Questions'!$A$22&lt;&gt;"",'Hybrid Questions'!$B$22&lt;&gt;"",'Hybrid Questions'!$C$22&lt;&gt;"")),"This row has no column letter for the multiple-choice part, so Themefinder won't know where those answers live.","")</f>
        <v>0</v>
      </c>
      <c r="F575" s="4" t="s">
        <v>328</v>
      </c>
    </row>
    <row r="576" spans="1:6" ht="75" customHeight="1">
      <c r="A576" t="s">
        <v>271</v>
      </c>
      <c r="B576" t="s">
        <v>295</v>
      </c>
      <c r="C576" t="s">
        <v>327</v>
      </c>
      <c r="D576" t="s">
        <v>165</v>
      </c>
      <c r="E576" s="4">
        <f>IF(AND('Hybrid Questions'!$D$23="",OR('Hybrid Questions'!$A$23&lt;&gt;"",'Hybrid Questions'!$B$23&lt;&gt;"",'Hybrid Questions'!$C$23&lt;&gt;"")),"This row has no column letter for the multiple-choice part, so Themefinder won't know where those answers live.","")</f>
        <v>0</v>
      </c>
      <c r="F576" s="4" t="s">
        <v>328</v>
      </c>
    </row>
    <row r="577" spans="1:6" ht="75" customHeight="1">
      <c r="A577" t="s">
        <v>271</v>
      </c>
      <c r="B577" t="s">
        <v>296</v>
      </c>
      <c r="C577" t="s">
        <v>327</v>
      </c>
      <c r="D577" t="s">
        <v>165</v>
      </c>
      <c r="E577" s="4">
        <f>IF(AND('Hybrid Questions'!$D$24="",OR('Hybrid Questions'!$A$24&lt;&gt;"",'Hybrid Questions'!$B$24&lt;&gt;"",'Hybrid Questions'!$C$24&lt;&gt;"")),"This row has no column letter for the multiple-choice part, so Themefinder won't know where those answers live.","")</f>
        <v>0</v>
      </c>
      <c r="F577" s="4" t="s">
        <v>328</v>
      </c>
    </row>
    <row r="578" spans="1:6" ht="75" customHeight="1">
      <c r="A578" t="s">
        <v>271</v>
      </c>
      <c r="B578" t="s">
        <v>297</v>
      </c>
      <c r="C578" t="s">
        <v>327</v>
      </c>
      <c r="D578" t="s">
        <v>165</v>
      </c>
      <c r="E578" s="4">
        <f>IF(AND('Hybrid Questions'!$D$25="",OR('Hybrid Questions'!$A$25&lt;&gt;"",'Hybrid Questions'!$B$25&lt;&gt;"",'Hybrid Questions'!$C$25&lt;&gt;"")),"This row has no column letter for the multiple-choice part, so Themefinder won't know where those answers live.","")</f>
        <v>0</v>
      </c>
      <c r="F578" s="4" t="s">
        <v>328</v>
      </c>
    </row>
    <row r="579" spans="1:6" ht="75" customHeight="1">
      <c r="A579" t="s">
        <v>271</v>
      </c>
      <c r="B579" t="s">
        <v>298</v>
      </c>
      <c r="C579" t="s">
        <v>327</v>
      </c>
      <c r="D579" t="s">
        <v>165</v>
      </c>
      <c r="E579" s="4">
        <f>IF(AND('Hybrid Questions'!$D$26="",OR('Hybrid Questions'!$A$26&lt;&gt;"",'Hybrid Questions'!$B$26&lt;&gt;"",'Hybrid Questions'!$C$26&lt;&gt;"")),"This row has no column letter for the multiple-choice part, so Themefinder won't know where those answers live.","")</f>
        <v>0</v>
      </c>
      <c r="F579" s="4" t="s">
        <v>328</v>
      </c>
    </row>
    <row r="580" spans="1:6" ht="75" customHeight="1">
      <c r="A580" t="s">
        <v>271</v>
      </c>
      <c r="B580" t="s">
        <v>299</v>
      </c>
      <c r="C580" t="s">
        <v>327</v>
      </c>
      <c r="D580" t="s">
        <v>165</v>
      </c>
      <c r="E580" s="4">
        <f>IF(AND('Hybrid Questions'!$D$27="",OR('Hybrid Questions'!$A$27&lt;&gt;"",'Hybrid Questions'!$B$27&lt;&gt;"",'Hybrid Questions'!$C$27&lt;&gt;"")),"This row has no column letter for the multiple-choice part, so Themefinder won't know where those answers live.","")</f>
        <v>0</v>
      </c>
      <c r="F580" s="4" t="s">
        <v>328</v>
      </c>
    </row>
    <row r="581" spans="1:6" ht="75" customHeight="1">
      <c r="A581" t="s">
        <v>271</v>
      </c>
      <c r="B581" t="s">
        <v>300</v>
      </c>
      <c r="C581" t="s">
        <v>327</v>
      </c>
      <c r="D581" t="s">
        <v>165</v>
      </c>
      <c r="E581" s="4">
        <f>IF(AND('Hybrid Questions'!$D$28="",OR('Hybrid Questions'!$A$28&lt;&gt;"",'Hybrid Questions'!$B$28&lt;&gt;"",'Hybrid Questions'!$C$28&lt;&gt;"")),"This row has no column letter for the multiple-choice part, so Themefinder won't know where those answers live.","")</f>
        <v>0</v>
      </c>
      <c r="F581" s="4" t="s">
        <v>328</v>
      </c>
    </row>
    <row r="582" spans="1:6" ht="75" customHeight="1">
      <c r="A582" t="s">
        <v>271</v>
      </c>
      <c r="B582" t="s">
        <v>301</v>
      </c>
      <c r="C582" t="s">
        <v>327</v>
      </c>
      <c r="D582" t="s">
        <v>165</v>
      </c>
      <c r="E582" s="4">
        <f>IF(AND('Hybrid Questions'!$D$29="",OR('Hybrid Questions'!$A$29&lt;&gt;"",'Hybrid Questions'!$B$29&lt;&gt;"",'Hybrid Questions'!$C$29&lt;&gt;"")),"This row has no column letter for the multiple-choice part, so Themefinder won't know where those answers live.","")</f>
        <v>0</v>
      </c>
      <c r="F582" s="4" t="s">
        <v>328</v>
      </c>
    </row>
    <row r="583" spans="1:6" ht="75" customHeight="1">
      <c r="A583" t="s">
        <v>271</v>
      </c>
      <c r="B583" t="s">
        <v>302</v>
      </c>
      <c r="C583" t="s">
        <v>327</v>
      </c>
      <c r="D583" t="s">
        <v>165</v>
      </c>
      <c r="E583" s="4">
        <f>IF(AND('Hybrid Questions'!$D$30="",OR('Hybrid Questions'!$A$30&lt;&gt;"",'Hybrid Questions'!$B$30&lt;&gt;"",'Hybrid Questions'!$C$30&lt;&gt;"")),"This row has no column letter for the multiple-choice part, so Themefinder won't know where those answers live.","")</f>
        <v>0</v>
      </c>
      <c r="F583" s="4" t="s">
        <v>328</v>
      </c>
    </row>
    <row r="584" spans="1:6" ht="75" customHeight="1">
      <c r="A584" t="s">
        <v>271</v>
      </c>
      <c r="B584" t="s">
        <v>303</v>
      </c>
      <c r="C584" t="s">
        <v>327</v>
      </c>
      <c r="D584" t="s">
        <v>165</v>
      </c>
      <c r="E584" s="4">
        <f>IF(AND('Hybrid Questions'!$D$31="",OR('Hybrid Questions'!$A$31&lt;&gt;"",'Hybrid Questions'!$B$31&lt;&gt;"",'Hybrid Questions'!$C$31&lt;&gt;"")),"This row has no column letter for the multiple-choice part, so Themefinder won't know where those answers live.","")</f>
        <v>0</v>
      </c>
      <c r="F584" s="4" t="s">
        <v>328</v>
      </c>
    </row>
    <row r="585" spans="1:6" ht="75" customHeight="1">
      <c r="A585" t="s">
        <v>271</v>
      </c>
      <c r="B585" t="s">
        <v>304</v>
      </c>
      <c r="C585" t="s">
        <v>327</v>
      </c>
      <c r="D585" t="s">
        <v>165</v>
      </c>
      <c r="E585" s="4">
        <f>IF(AND('Hybrid Questions'!$D$32="",OR('Hybrid Questions'!$A$32&lt;&gt;"",'Hybrid Questions'!$B$32&lt;&gt;"",'Hybrid Questions'!$C$32&lt;&gt;"")),"This row has no column letter for the multiple-choice part, so Themefinder won't know where those answers live.","")</f>
        <v>0</v>
      </c>
      <c r="F585" s="4" t="s">
        <v>328</v>
      </c>
    </row>
    <row r="586" spans="1:6" ht="75" customHeight="1">
      <c r="A586" t="s">
        <v>271</v>
      </c>
      <c r="B586" t="s">
        <v>305</v>
      </c>
      <c r="C586" t="s">
        <v>327</v>
      </c>
      <c r="D586" t="s">
        <v>165</v>
      </c>
      <c r="E586" s="4">
        <f>IF(AND('Hybrid Questions'!$D$33="",OR('Hybrid Questions'!$A$33&lt;&gt;"",'Hybrid Questions'!$B$33&lt;&gt;"",'Hybrid Questions'!$C$33&lt;&gt;"")),"This row has no column letter for the multiple-choice part, so Themefinder won't know where those answers live.","")</f>
        <v>0</v>
      </c>
      <c r="F586" s="4" t="s">
        <v>328</v>
      </c>
    </row>
    <row r="587" spans="1:6" ht="75" customHeight="1">
      <c r="A587" t="s">
        <v>271</v>
      </c>
      <c r="B587" t="s">
        <v>306</v>
      </c>
      <c r="C587" t="s">
        <v>327</v>
      </c>
      <c r="D587" t="s">
        <v>165</v>
      </c>
      <c r="E587" s="4">
        <f>IF(AND('Hybrid Questions'!$D$34="",OR('Hybrid Questions'!$A$34&lt;&gt;"",'Hybrid Questions'!$B$34&lt;&gt;"",'Hybrid Questions'!$C$34&lt;&gt;"")),"This row has no column letter for the multiple-choice part, so Themefinder won't know where those answers live.","")</f>
        <v>0</v>
      </c>
      <c r="F587" s="4" t="s">
        <v>328</v>
      </c>
    </row>
    <row r="588" spans="1:6" ht="75" customHeight="1">
      <c r="A588" t="s">
        <v>271</v>
      </c>
      <c r="B588" t="s">
        <v>307</v>
      </c>
      <c r="C588" t="s">
        <v>327</v>
      </c>
      <c r="D588" t="s">
        <v>165</v>
      </c>
      <c r="E588" s="4">
        <f>IF(AND('Hybrid Questions'!$D$35="",OR('Hybrid Questions'!$A$35&lt;&gt;"",'Hybrid Questions'!$B$35&lt;&gt;"",'Hybrid Questions'!$C$35&lt;&gt;"")),"This row has no column letter for the multiple-choice part, so Themefinder won't know where those answers live.","")</f>
        <v>0</v>
      </c>
      <c r="F588" s="4" t="s">
        <v>328</v>
      </c>
    </row>
    <row r="589" spans="1:6" ht="75" customHeight="1">
      <c r="A589" t="s">
        <v>271</v>
      </c>
      <c r="B589" t="s">
        <v>308</v>
      </c>
      <c r="C589" t="s">
        <v>327</v>
      </c>
      <c r="D589" t="s">
        <v>165</v>
      </c>
      <c r="E589" s="4">
        <f>IF(AND('Hybrid Questions'!$D$36="",OR('Hybrid Questions'!$A$36&lt;&gt;"",'Hybrid Questions'!$B$36&lt;&gt;"",'Hybrid Questions'!$C$36&lt;&gt;"")),"This row has no column letter for the multiple-choice part, so Themefinder won't know where those answers live.","")</f>
        <v>0</v>
      </c>
      <c r="F589" s="4" t="s">
        <v>328</v>
      </c>
    </row>
    <row r="590" spans="1:6" ht="75" customHeight="1">
      <c r="A590" t="s">
        <v>271</v>
      </c>
      <c r="B590" t="s">
        <v>309</v>
      </c>
      <c r="C590" t="s">
        <v>327</v>
      </c>
      <c r="D590" t="s">
        <v>165</v>
      </c>
      <c r="E590" s="4">
        <f>IF(AND('Hybrid Questions'!$D$37="",OR('Hybrid Questions'!$A$37&lt;&gt;"",'Hybrid Questions'!$B$37&lt;&gt;"",'Hybrid Questions'!$C$37&lt;&gt;"")),"This row has no column letter for the multiple-choice part, so Themefinder won't know where those answers live.","")</f>
        <v>0</v>
      </c>
      <c r="F590" s="4" t="s">
        <v>328</v>
      </c>
    </row>
    <row r="591" spans="1:6" ht="75" customHeight="1">
      <c r="A591" t="s">
        <v>271</v>
      </c>
      <c r="B591" t="s">
        <v>310</v>
      </c>
      <c r="C591" t="s">
        <v>327</v>
      </c>
      <c r="D591" t="s">
        <v>165</v>
      </c>
      <c r="E591" s="4">
        <f>IF(AND('Hybrid Questions'!$D$38="",OR('Hybrid Questions'!$A$38&lt;&gt;"",'Hybrid Questions'!$B$38&lt;&gt;"",'Hybrid Questions'!$C$38&lt;&gt;"")),"This row has no column letter for the multiple-choice part, so Themefinder won't know where those answers live.","")</f>
        <v>0</v>
      </c>
      <c r="F591" s="4" t="s">
        <v>328</v>
      </c>
    </row>
    <row r="592" spans="1:6" ht="75" customHeight="1">
      <c r="A592" t="s">
        <v>271</v>
      </c>
      <c r="B592" t="s">
        <v>311</v>
      </c>
      <c r="C592" t="s">
        <v>327</v>
      </c>
      <c r="D592" t="s">
        <v>165</v>
      </c>
      <c r="E592" s="4">
        <f>IF(AND('Hybrid Questions'!$D$39="",OR('Hybrid Questions'!$A$39&lt;&gt;"",'Hybrid Questions'!$B$39&lt;&gt;"",'Hybrid Questions'!$C$39&lt;&gt;"")),"This row has no column letter for the multiple-choice part, so Themefinder won't know where those answers live.","")</f>
        <v>0</v>
      </c>
      <c r="F592" s="4" t="s">
        <v>328</v>
      </c>
    </row>
    <row r="593" spans="1:6" ht="75" customHeight="1">
      <c r="A593" t="s">
        <v>271</v>
      </c>
      <c r="B593" t="s">
        <v>312</v>
      </c>
      <c r="C593" t="s">
        <v>327</v>
      </c>
      <c r="D593" t="s">
        <v>165</v>
      </c>
      <c r="E593" s="4">
        <f>IF(AND('Hybrid Questions'!$D$40="",OR('Hybrid Questions'!$A$40&lt;&gt;"",'Hybrid Questions'!$B$40&lt;&gt;"",'Hybrid Questions'!$C$40&lt;&gt;"")),"This row has no column letter for the multiple-choice part, so Themefinder won't know where those answers live.","")</f>
        <v>0</v>
      </c>
      <c r="F593" s="4" t="s">
        <v>328</v>
      </c>
    </row>
    <row r="594" spans="1:6" ht="75" customHeight="1">
      <c r="A594" t="s">
        <v>271</v>
      </c>
      <c r="B594" t="s">
        <v>313</v>
      </c>
      <c r="C594" t="s">
        <v>327</v>
      </c>
      <c r="D594" t="s">
        <v>165</v>
      </c>
      <c r="E594" s="4">
        <f>IF(AND('Hybrid Questions'!$D$41="",OR('Hybrid Questions'!$A$41&lt;&gt;"",'Hybrid Questions'!$B$41&lt;&gt;"",'Hybrid Questions'!$C$41&lt;&gt;"")),"This row has no column letter for the multiple-choice part, so Themefinder won't know where those answers live.","")</f>
        <v>0</v>
      </c>
      <c r="F594" s="4" t="s">
        <v>328</v>
      </c>
    </row>
    <row r="595" spans="1:6" ht="75" customHeight="1">
      <c r="A595" t="s">
        <v>271</v>
      </c>
      <c r="B595" t="s">
        <v>314</v>
      </c>
      <c r="C595" t="s">
        <v>327</v>
      </c>
      <c r="D595" t="s">
        <v>165</v>
      </c>
      <c r="E595" s="4">
        <f>IF(AND('Hybrid Questions'!$D$42="",OR('Hybrid Questions'!$A$42&lt;&gt;"",'Hybrid Questions'!$B$42&lt;&gt;"",'Hybrid Questions'!$C$42&lt;&gt;"")),"This row has no column letter for the multiple-choice part, so Themefinder won't know where those answers live.","")</f>
        <v>0</v>
      </c>
      <c r="F595" s="4" t="s">
        <v>328</v>
      </c>
    </row>
    <row r="596" spans="1:6" ht="75" customHeight="1">
      <c r="A596" t="s">
        <v>271</v>
      </c>
      <c r="B596" t="s">
        <v>315</v>
      </c>
      <c r="C596" t="s">
        <v>327</v>
      </c>
      <c r="D596" t="s">
        <v>165</v>
      </c>
      <c r="E596" s="4">
        <f>IF(AND('Hybrid Questions'!$D$43="",OR('Hybrid Questions'!$A$43&lt;&gt;"",'Hybrid Questions'!$B$43&lt;&gt;"",'Hybrid Questions'!$C$43&lt;&gt;"")),"This row has no column letter for the multiple-choice part, so Themefinder won't know where those answers live.","")</f>
        <v>0</v>
      </c>
      <c r="F596" s="4" t="s">
        <v>328</v>
      </c>
    </row>
    <row r="597" spans="1:6" ht="75" customHeight="1">
      <c r="A597" t="s">
        <v>271</v>
      </c>
      <c r="B597" t="s">
        <v>316</v>
      </c>
      <c r="C597" t="s">
        <v>327</v>
      </c>
      <c r="D597" t="s">
        <v>165</v>
      </c>
      <c r="E597" s="4">
        <f>IF(AND('Hybrid Questions'!$D$44="",OR('Hybrid Questions'!$A$44&lt;&gt;"",'Hybrid Questions'!$B$44&lt;&gt;"",'Hybrid Questions'!$C$44&lt;&gt;"")),"This row has no column letter for the multiple-choice part, so Themefinder won't know where those answers live.","")</f>
        <v>0</v>
      </c>
      <c r="F597" s="4" t="s">
        <v>328</v>
      </c>
    </row>
    <row r="598" spans="1:6" ht="75" customHeight="1">
      <c r="A598" t="s">
        <v>271</v>
      </c>
      <c r="B598" t="s">
        <v>317</v>
      </c>
      <c r="C598" t="s">
        <v>327</v>
      </c>
      <c r="D598" t="s">
        <v>165</v>
      </c>
      <c r="E598" s="4">
        <f>IF(AND('Hybrid Questions'!$D$45="",OR('Hybrid Questions'!$A$45&lt;&gt;"",'Hybrid Questions'!$B$45&lt;&gt;"",'Hybrid Questions'!$C$45&lt;&gt;"")),"This row has no column letter for the multiple-choice part, so Themefinder won't know where those answers live.","")</f>
        <v>0</v>
      </c>
      <c r="F598" s="4" t="s">
        <v>328</v>
      </c>
    </row>
    <row r="599" spans="1:6" ht="75" customHeight="1">
      <c r="A599" t="s">
        <v>271</v>
      </c>
      <c r="B599" t="s">
        <v>318</v>
      </c>
      <c r="C599" t="s">
        <v>327</v>
      </c>
      <c r="D599" t="s">
        <v>165</v>
      </c>
      <c r="E599" s="4">
        <f>IF(AND('Hybrid Questions'!$D$46="",OR('Hybrid Questions'!$A$46&lt;&gt;"",'Hybrid Questions'!$B$46&lt;&gt;"",'Hybrid Questions'!$C$46&lt;&gt;"")),"This row has no column letter for the multiple-choice part, so Themefinder won't know where those answers live.","")</f>
        <v>0</v>
      </c>
      <c r="F599" s="4" t="s">
        <v>328</v>
      </c>
    </row>
    <row r="600" spans="1:6" ht="75" customHeight="1">
      <c r="A600" t="s">
        <v>271</v>
      </c>
      <c r="B600" t="s">
        <v>319</v>
      </c>
      <c r="C600" t="s">
        <v>327</v>
      </c>
      <c r="D600" t="s">
        <v>165</v>
      </c>
      <c r="E600" s="4">
        <f>IF(AND('Hybrid Questions'!$D$47="",OR('Hybrid Questions'!$A$47&lt;&gt;"",'Hybrid Questions'!$B$47&lt;&gt;"",'Hybrid Questions'!$C$47&lt;&gt;"")),"This row has no column letter for the multiple-choice part, so Themefinder won't know where those answers live.","")</f>
        <v>0</v>
      </c>
      <c r="F600" s="4" t="s">
        <v>328</v>
      </c>
    </row>
    <row r="601" spans="1:6" ht="75" customHeight="1">
      <c r="A601" t="s">
        <v>271</v>
      </c>
      <c r="B601" t="s">
        <v>320</v>
      </c>
      <c r="C601" t="s">
        <v>327</v>
      </c>
      <c r="D601" t="s">
        <v>165</v>
      </c>
      <c r="E601" s="4">
        <f>IF(AND('Hybrid Questions'!$D$48="",OR('Hybrid Questions'!$A$48&lt;&gt;"",'Hybrid Questions'!$B$48&lt;&gt;"",'Hybrid Questions'!$C$48&lt;&gt;"")),"This row has no column letter for the multiple-choice part, so Themefinder won't know where those answers live.","")</f>
        <v>0</v>
      </c>
      <c r="F601" s="4" t="s">
        <v>328</v>
      </c>
    </row>
    <row r="602" spans="1:6" ht="75" customHeight="1">
      <c r="A602" t="s">
        <v>271</v>
      </c>
      <c r="B602" t="s">
        <v>321</v>
      </c>
      <c r="C602" t="s">
        <v>327</v>
      </c>
      <c r="D602" t="s">
        <v>165</v>
      </c>
      <c r="E602" s="4">
        <f>IF(AND('Hybrid Questions'!$D$49="",OR('Hybrid Questions'!$A$49&lt;&gt;"",'Hybrid Questions'!$B$49&lt;&gt;"",'Hybrid Questions'!$C$49&lt;&gt;"")),"This row has no column letter for the multiple-choice part, so Themefinder won't know where those answers live.","")</f>
        <v>0</v>
      </c>
      <c r="F602" s="4" t="s">
        <v>328</v>
      </c>
    </row>
    <row r="603" spans="1:6" ht="75" customHeight="1">
      <c r="A603" t="s">
        <v>271</v>
      </c>
      <c r="B603" t="s">
        <v>322</v>
      </c>
      <c r="C603" t="s">
        <v>327</v>
      </c>
      <c r="D603" t="s">
        <v>165</v>
      </c>
      <c r="E603" s="4">
        <f>IF(AND('Hybrid Questions'!$D$50="",OR('Hybrid Questions'!$A$50&lt;&gt;"",'Hybrid Questions'!$B$50&lt;&gt;"",'Hybrid Questions'!$C$50&lt;&gt;"")),"This row has no column letter for the multiple-choice part, so Themefinder won't know where those answers live.","")</f>
        <v>0</v>
      </c>
      <c r="F603" s="4" t="s">
        <v>328</v>
      </c>
    </row>
    <row r="604" spans="1:6" ht="75" customHeight="1">
      <c r="A604" t="s">
        <v>271</v>
      </c>
      <c r="B604" t="s">
        <v>323</v>
      </c>
      <c r="C604" t="s">
        <v>327</v>
      </c>
      <c r="D604" t="s">
        <v>165</v>
      </c>
      <c r="E604" s="4">
        <f>IF(AND('Hybrid Questions'!$D$51="",OR('Hybrid Questions'!$A$51&lt;&gt;"",'Hybrid Questions'!$B$51&lt;&gt;"",'Hybrid Questions'!$C$51&lt;&gt;"")),"This row has no column letter for the multiple-choice part, so Themefinder won't know where those answers live.","")</f>
        <v>0</v>
      </c>
      <c r="F604" s="4" t="s">
        <v>328</v>
      </c>
    </row>
    <row r="605" spans="1:6" ht="75" customHeight="1">
      <c r="A605" t="s">
        <v>162</v>
      </c>
      <c r="B605" t="s">
        <v>163</v>
      </c>
      <c r="C605" t="s">
        <v>329</v>
      </c>
      <c r="D605" t="s">
        <v>165</v>
      </c>
      <c r="E605" s="4">
        <f>IF(AND('Demographics'!$A$2="",OR('Demographics'!$B$2&lt;&gt;"")),"This row has a label but no column letter, so Themefinder won't know which column on the Responses sheet to read.","")</f>
        <v>0</v>
      </c>
      <c r="F605" s="4" t="s">
        <v>330</v>
      </c>
    </row>
    <row r="606" spans="1:6" ht="75" customHeight="1">
      <c r="A606" t="s">
        <v>162</v>
      </c>
      <c r="B606" t="s">
        <v>167</v>
      </c>
      <c r="C606" t="s">
        <v>329</v>
      </c>
      <c r="D606" t="s">
        <v>165</v>
      </c>
      <c r="E606" s="4">
        <f>IF(AND('Demographics'!$A$3="",OR('Demographics'!$B$3&lt;&gt;"")),"This row has a label but no column letter, so Themefinder won't know which column on the Responses sheet to read.","")</f>
        <v>0</v>
      </c>
      <c r="F606" s="4" t="s">
        <v>330</v>
      </c>
    </row>
    <row r="607" spans="1:6" ht="75" customHeight="1">
      <c r="A607" t="s">
        <v>162</v>
      </c>
      <c r="B607" t="s">
        <v>168</v>
      </c>
      <c r="C607" t="s">
        <v>329</v>
      </c>
      <c r="D607" t="s">
        <v>165</v>
      </c>
      <c r="E607" s="4">
        <f>IF(AND('Demographics'!$A$4="",OR('Demographics'!$B$4&lt;&gt;"")),"This row has a label but no column letter, so Themefinder won't know which column on the Responses sheet to read.","")</f>
        <v>0</v>
      </c>
      <c r="F607" s="4" t="s">
        <v>330</v>
      </c>
    </row>
    <row r="608" spans="1:6" ht="75" customHeight="1">
      <c r="A608" t="s">
        <v>162</v>
      </c>
      <c r="B608" t="s">
        <v>169</v>
      </c>
      <c r="C608" t="s">
        <v>329</v>
      </c>
      <c r="D608" t="s">
        <v>165</v>
      </c>
      <c r="E608" s="4">
        <f>IF(AND('Demographics'!$A$5="",OR('Demographics'!$B$5&lt;&gt;"")),"This row has a label but no column letter, so Themefinder won't know which column on the Responses sheet to read.","")</f>
        <v>0</v>
      </c>
      <c r="F608" s="4" t="s">
        <v>330</v>
      </c>
    </row>
    <row r="609" spans="1:6" ht="75" customHeight="1">
      <c r="A609" t="s">
        <v>162</v>
      </c>
      <c r="B609" t="s">
        <v>170</v>
      </c>
      <c r="C609" t="s">
        <v>329</v>
      </c>
      <c r="D609" t="s">
        <v>165</v>
      </c>
      <c r="E609" s="4">
        <f>IF(AND('Demographics'!$A$6="",OR('Demographics'!$B$6&lt;&gt;"")),"This row has a label but no column letter, so Themefinder won't know which column on the Responses sheet to read.","")</f>
        <v>0</v>
      </c>
      <c r="F609" s="4" t="s">
        <v>330</v>
      </c>
    </row>
    <row r="610" spans="1:6" ht="75" customHeight="1">
      <c r="A610" t="s">
        <v>162</v>
      </c>
      <c r="B610" t="s">
        <v>171</v>
      </c>
      <c r="C610" t="s">
        <v>329</v>
      </c>
      <c r="D610" t="s">
        <v>165</v>
      </c>
      <c r="E610" s="4">
        <f>IF(AND('Demographics'!$A$7="",OR('Demographics'!$B$7&lt;&gt;"")),"This row has a label but no column letter, so Themefinder won't know which column on the Responses sheet to read.","")</f>
        <v>0</v>
      </c>
      <c r="F610" s="4" t="s">
        <v>330</v>
      </c>
    </row>
    <row r="611" spans="1:6" ht="75" customHeight="1">
      <c r="A611" t="s">
        <v>162</v>
      </c>
      <c r="B611" t="s">
        <v>172</v>
      </c>
      <c r="C611" t="s">
        <v>329</v>
      </c>
      <c r="D611" t="s">
        <v>165</v>
      </c>
      <c r="E611" s="4">
        <f>IF(AND('Demographics'!$A$8="",OR('Demographics'!$B$8&lt;&gt;"")),"This row has a label but no column letter, so Themefinder won't know which column on the Responses sheet to read.","")</f>
        <v>0</v>
      </c>
      <c r="F611" s="4" t="s">
        <v>330</v>
      </c>
    </row>
    <row r="612" spans="1:6" ht="75" customHeight="1">
      <c r="A612" t="s">
        <v>162</v>
      </c>
      <c r="B612" t="s">
        <v>173</v>
      </c>
      <c r="C612" t="s">
        <v>329</v>
      </c>
      <c r="D612" t="s">
        <v>165</v>
      </c>
      <c r="E612" s="4">
        <f>IF(AND('Demographics'!$A$9="",OR('Demographics'!$B$9&lt;&gt;"")),"This row has a label but no column letter, so Themefinder won't know which column on the Responses sheet to read.","")</f>
        <v>0</v>
      </c>
      <c r="F612" s="4" t="s">
        <v>330</v>
      </c>
    </row>
    <row r="613" spans="1:6" ht="75" customHeight="1">
      <c r="A613" t="s">
        <v>162</v>
      </c>
      <c r="B613" t="s">
        <v>174</v>
      </c>
      <c r="C613" t="s">
        <v>329</v>
      </c>
      <c r="D613" t="s">
        <v>165</v>
      </c>
      <c r="E613" s="4">
        <f>IF(AND('Demographics'!$A$10="",OR('Demographics'!$B$10&lt;&gt;"")),"This row has a label but no column letter, so Themefinder won't know which column on the Responses sheet to read.","")</f>
        <v>0</v>
      </c>
      <c r="F613" s="4" t="s">
        <v>330</v>
      </c>
    </row>
    <row r="614" spans="1:6" ht="75" customHeight="1">
      <c r="A614" t="s">
        <v>162</v>
      </c>
      <c r="B614" t="s">
        <v>175</v>
      </c>
      <c r="C614" t="s">
        <v>329</v>
      </c>
      <c r="D614" t="s">
        <v>165</v>
      </c>
      <c r="E614" s="4">
        <f>IF(AND('Demographics'!$A$11="",OR('Demographics'!$B$11&lt;&gt;"")),"This row has a label but no column letter, so Themefinder won't know which column on the Responses sheet to read.","")</f>
        <v>0</v>
      </c>
      <c r="F614" s="4" t="s">
        <v>330</v>
      </c>
    </row>
    <row r="615" spans="1:6" ht="75" customHeight="1">
      <c r="A615" t="s">
        <v>162</v>
      </c>
      <c r="B615" t="s">
        <v>176</v>
      </c>
      <c r="C615" t="s">
        <v>329</v>
      </c>
      <c r="D615" t="s">
        <v>165</v>
      </c>
      <c r="E615" s="4">
        <f>IF(AND('Demographics'!$A$12="",OR('Demographics'!$B$12&lt;&gt;"")),"This row has a label but no column letter, so Themefinder won't know which column on the Responses sheet to read.","")</f>
        <v>0</v>
      </c>
      <c r="F615" s="4" t="s">
        <v>330</v>
      </c>
    </row>
    <row r="616" spans="1:6" ht="75" customHeight="1">
      <c r="A616" t="s">
        <v>162</v>
      </c>
      <c r="B616" t="s">
        <v>177</v>
      </c>
      <c r="C616" t="s">
        <v>329</v>
      </c>
      <c r="D616" t="s">
        <v>165</v>
      </c>
      <c r="E616" s="4">
        <f>IF(AND('Demographics'!$A$13="",OR('Demographics'!$B$13&lt;&gt;"")),"This row has a label but no column letter, so Themefinder won't know which column on the Responses sheet to read.","")</f>
        <v>0</v>
      </c>
      <c r="F616" s="4" t="s">
        <v>330</v>
      </c>
    </row>
    <row r="617" spans="1:6" ht="75" customHeight="1">
      <c r="A617" t="s">
        <v>162</v>
      </c>
      <c r="B617" t="s">
        <v>178</v>
      </c>
      <c r="C617" t="s">
        <v>329</v>
      </c>
      <c r="D617" t="s">
        <v>165</v>
      </c>
      <c r="E617" s="4">
        <f>IF(AND('Demographics'!$A$14="",OR('Demographics'!$B$14&lt;&gt;"")),"This row has a label but no column letter, so Themefinder won't know which column on the Responses sheet to read.","")</f>
        <v>0</v>
      </c>
      <c r="F617" s="4" t="s">
        <v>330</v>
      </c>
    </row>
    <row r="618" spans="1:6" ht="75" customHeight="1">
      <c r="A618" t="s">
        <v>162</v>
      </c>
      <c r="B618" t="s">
        <v>179</v>
      </c>
      <c r="C618" t="s">
        <v>329</v>
      </c>
      <c r="D618" t="s">
        <v>165</v>
      </c>
      <c r="E618" s="4">
        <f>IF(AND('Demographics'!$A$15="",OR('Demographics'!$B$15&lt;&gt;"")),"This row has a label but no column letter, so Themefinder won't know which column on the Responses sheet to read.","")</f>
        <v>0</v>
      </c>
      <c r="F618" s="4" t="s">
        <v>330</v>
      </c>
    </row>
    <row r="619" spans="1:6" ht="75" customHeight="1">
      <c r="A619" t="s">
        <v>162</v>
      </c>
      <c r="B619" t="s">
        <v>180</v>
      </c>
      <c r="C619" t="s">
        <v>329</v>
      </c>
      <c r="D619" t="s">
        <v>165</v>
      </c>
      <c r="E619" s="4">
        <f>IF(AND('Demographics'!$A$16="",OR('Demographics'!$B$16&lt;&gt;"")),"This row has a label but no column letter, so Themefinder won't know which column on the Responses sheet to read.","")</f>
        <v>0</v>
      </c>
      <c r="F619" s="4" t="s">
        <v>330</v>
      </c>
    </row>
    <row r="620" spans="1:6" ht="75" customHeight="1">
      <c r="A620" t="s">
        <v>162</v>
      </c>
      <c r="B620" t="s">
        <v>181</v>
      </c>
      <c r="C620" t="s">
        <v>329</v>
      </c>
      <c r="D620" t="s">
        <v>165</v>
      </c>
      <c r="E620" s="4">
        <f>IF(AND('Demographics'!$A$17="",OR('Demographics'!$B$17&lt;&gt;"")),"This row has a label but no column letter, so Themefinder won't know which column on the Responses sheet to read.","")</f>
        <v>0</v>
      </c>
      <c r="F620" s="4" t="s">
        <v>330</v>
      </c>
    </row>
    <row r="621" spans="1:6" ht="75" customHeight="1">
      <c r="A621" t="s">
        <v>162</v>
      </c>
      <c r="B621" t="s">
        <v>182</v>
      </c>
      <c r="C621" t="s">
        <v>329</v>
      </c>
      <c r="D621" t="s">
        <v>165</v>
      </c>
      <c r="E621" s="4">
        <f>IF(AND('Demographics'!$A$18="",OR('Demographics'!$B$18&lt;&gt;"")),"This row has a label but no column letter, so Themefinder won't know which column on the Responses sheet to read.","")</f>
        <v>0</v>
      </c>
      <c r="F621" s="4" t="s">
        <v>330</v>
      </c>
    </row>
    <row r="622" spans="1:6" ht="75" customHeight="1">
      <c r="A622" t="s">
        <v>162</v>
      </c>
      <c r="B622" t="s">
        <v>183</v>
      </c>
      <c r="C622" t="s">
        <v>329</v>
      </c>
      <c r="D622" t="s">
        <v>165</v>
      </c>
      <c r="E622" s="4">
        <f>IF(AND('Demographics'!$A$19="",OR('Demographics'!$B$19&lt;&gt;"")),"This row has a label but no column letter, so Themefinder won't know which column on the Responses sheet to read.","")</f>
        <v>0</v>
      </c>
      <c r="F622" s="4" t="s">
        <v>330</v>
      </c>
    </row>
    <row r="623" spans="1:6" ht="75" customHeight="1">
      <c r="A623" t="s">
        <v>162</v>
      </c>
      <c r="B623" t="s">
        <v>184</v>
      </c>
      <c r="C623" t="s">
        <v>329</v>
      </c>
      <c r="D623" t="s">
        <v>165</v>
      </c>
      <c r="E623" s="4">
        <f>IF(AND('Demographics'!$A$20="",OR('Demographics'!$B$20&lt;&gt;"")),"This row has a label but no column letter, so Themefinder won't know which column on the Responses sheet to read.","")</f>
        <v>0</v>
      </c>
      <c r="F623" s="4" t="s">
        <v>330</v>
      </c>
    </row>
    <row r="624" spans="1:6" ht="75" customHeight="1">
      <c r="A624" t="s">
        <v>162</v>
      </c>
      <c r="B624" t="s">
        <v>185</v>
      </c>
      <c r="C624" t="s">
        <v>329</v>
      </c>
      <c r="D624" t="s">
        <v>165</v>
      </c>
      <c r="E624" s="4">
        <f>IF(AND('Demographics'!$A$21="",OR('Demographics'!$B$21&lt;&gt;"")),"This row has a label but no column letter, so Themefinder won't know which column on the Responses sheet to read.","")</f>
        <v>0</v>
      </c>
      <c r="F624" s="4" t="s">
        <v>330</v>
      </c>
    </row>
    <row r="625" spans="1:6" ht="75" customHeight="1">
      <c r="A625" t="s">
        <v>162</v>
      </c>
      <c r="B625" t="s">
        <v>186</v>
      </c>
      <c r="C625" t="s">
        <v>329</v>
      </c>
      <c r="D625" t="s">
        <v>165</v>
      </c>
      <c r="E625" s="4">
        <f>IF(AND('Demographics'!$A$22="",OR('Demographics'!$B$22&lt;&gt;"")),"This row has a label but no column letter, so Themefinder won't know which column on the Responses sheet to read.","")</f>
        <v>0</v>
      </c>
      <c r="F625" s="4" t="s">
        <v>330</v>
      </c>
    </row>
    <row r="626" spans="1:6" ht="75" customHeight="1">
      <c r="A626" t="s">
        <v>162</v>
      </c>
      <c r="B626" t="s">
        <v>187</v>
      </c>
      <c r="C626" t="s">
        <v>329</v>
      </c>
      <c r="D626" t="s">
        <v>165</v>
      </c>
      <c r="E626" s="4">
        <f>IF(AND('Demographics'!$A$23="",OR('Demographics'!$B$23&lt;&gt;"")),"This row has a label but no column letter, so Themefinder won't know which column on the Responses sheet to read.","")</f>
        <v>0</v>
      </c>
      <c r="F626" s="4" t="s">
        <v>330</v>
      </c>
    </row>
    <row r="627" spans="1:6" ht="75" customHeight="1">
      <c r="A627" t="s">
        <v>162</v>
      </c>
      <c r="B627" t="s">
        <v>188</v>
      </c>
      <c r="C627" t="s">
        <v>329</v>
      </c>
      <c r="D627" t="s">
        <v>165</v>
      </c>
      <c r="E627" s="4">
        <f>IF(AND('Demographics'!$A$24="",OR('Demographics'!$B$24&lt;&gt;"")),"This row has a label but no column letter, so Themefinder won't know which column on the Responses sheet to read.","")</f>
        <v>0</v>
      </c>
      <c r="F627" s="4" t="s">
        <v>330</v>
      </c>
    </row>
    <row r="628" spans="1:6" ht="75" customHeight="1">
      <c r="A628" t="s">
        <v>162</v>
      </c>
      <c r="B628" t="s">
        <v>189</v>
      </c>
      <c r="C628" t="s">
        <v>329</v>
      </c>
      <c r="D628" t="s">
        <v>165</v>
      </c>
      <c r="E628" s="4">
        <f>IF(AND('Demographics'!$A$25="",OR('Demographics'!$B$25&lt;&gt;"")),"This row has a label but no column letter, so Themefinder won't know which column on the Responses sheet to read.","")</f>
        <v>0</v>
      </c>
      <c r="F628" s="4" t="s">
        <v>330</v>
      </c>
    </row>
    <row r="629" spans="1:6" ht="75" customHeight="1">
      <c r="A629" t="s">
        <v>162</v>
      </c>
      <c r="B629" t="s">
        <v>190</v>
      </c>
      <c r="C629" t="s">
        <v>329</v>
      </c>
      <c r="D629" t="s">
        <v>165</v>
      </c>
      <c r="E629" s="4">
        <f>IF(AND('Demographics'!$A$26="",OR('Demographics'!$B$26&lt;&gt;"")),"This row has a label but no column letter, so Themefinder won't know which column on the Responses sheet to read.","")</f>
        <v>0</v>
      </c>
      <c r="F629" s="4" t="s">
        <v>330</v>
      </c>
    </row>
    <row r="630" spans="1:6" ht="75" customHeight="1">
      <c r="A630" t="s">
        <v>162</v>
      </c>
      <c r="B630" t="s">
        <v>191</v>
      </c>
      <c r="C630" t="s">
        <v>329</v>
      </c>
      <c r="D630" t="s">
        <v>165</v>
      </c>
      <c r="E630" s="4">
        <f>IF(AND('Demographics'!$A$27="",OR('Demographics'!$B$27&lt;&gt;"")),"This row has a label but no column letter, so Themefinder won't know which column on the Responses sheet to read.","")</f>
        <v>0</v>
      </c>
      <c r="F630" s="4" t="s">
        <v>330</v>
      </c>
    </row>
    <row r="631" spans="1:6" ht="75" customHeight="1">
      <c r="A631" t="s">
        <v>162</v>
      </c>
      <c r="B631" t="s">
        <v>192</v>
      </c>
      <c r="C631" t="s">
        <v>329</v>
      </c>
      <c r="D631" t="s">
        <v>165</v>
      </c>
      <c r="E631" s="4">
        <f>IF(AND('Demographics'!$A$28="",OR('Demographics'!$B$28&lt;&gt;"")),"This row has a label but no column letter, so Themefinder won't know which column on the Responses sheet to read.","")</f>
        <v>0</v>
      </c>
      <c r="F631" s="4" t="s">
        <v>330</v>
      </c>
    </row>
    <row r="632" spans="1:6" ht="75" customHeight="1">
      <c r="A632" t="s">
        <v>162</v>
      </c>
      <c r="B632" t="s">
        <v>193</v>
      </c>
      <c r="C632" t="s">
        <v>329</v>
      </c>
      <c r="D632" t="s">
        <v>165</v>
      </c>
      <c r="E632" s="4">
        <f>IF(AND('Demographics'!$A$29="",OR('Demographics'!$B$29&lt;&gt;"")),"This row has a label but no column letter, so Themefinder won't know which column on the Responses sheet to read.","")</f>
        <v>0</v>
      </c>
      <c r="F632" s="4" t="s">
        <v>330</v>
      </c>
    </row>
    <row r="633" spans="1:6" ht="75" customHeight="1">
      <c r="A633" t="s">
        <v>162</v>
      </c>
      <c r="B633" t="s">
        <v>194</v>
      </c>
      <c r="C633" t="s">
        <v>329</v>
      </c>
      <c r="D633" t="s">
        <v>165</v>
      </c>
      <c r="E633" s="4">
        <f>IF(AND('Demographics'!$A$30="",OR('Demographics'!$B$30&lt;&gt;"")),"This row has a label but no column letter, so Themefinder won't know which column on the Responses sheet to read.","")</f>
        <v>0</v>
      </c>
      <c r="F633" s="4" t="s">
        <v>330</v>
      </c>
    </row>
    <row r="634" spans="1:6" ht="75" customHeight="1">
      <c r="A634" t="s">
        <v>162</v>
      </c>
      <c r="B634" t="s">
        <v>195</v>
      </c>
      <c r="C634" t="s">
        <v>329</v>
      </c>
      <c r="D634" t="s">
        <v>165</v>
      </c>
      <c r="E634" s="4">
        <f>IF(AND('Demographics'!$A$31="",OR('Demographics'!$B$31&lt;&gt;"")),"This row has a label but no column letter, so Themefinder won't know which column on the Responses sheet to read.","")</f>
        <v>0</v>
      </c>
      <c r="F634" s="4" t="s">
        <v>330</v>
      </c>
    </row>
    <row r="635" spans="1:6" ht="75" customHeight="1">
      <c r="A635" t="s">
        <v>162</v>
      </c>
      <c r="B635" t="s">
        <v>196</v>
      </c>
      <c r="C635" t="s">
        <v>329</v>
      </c>
      <c r="D635" t="s">
        <v>165</v>
      </c>
      <c r="E635" s="4">
        <f>IF(AND('Demographics'!$A$32="",OR('Demographics'!$B$32&lt;&gt;"")),"This row has a label but no column letter, so Themefinder won't know which column on the Responses sheet to read.","")</f>
        <v>0</v>
      </c>
      <c r="F635" s="4" t="s">
        <v>330</v>
      </c>
    </row>
    <row r="636" spans="1:6" ht="75" customHeight="1">
      <c r="A636" t="s">
        <v>162</v>
      </c>
      <c r="B636" t="s">
        <v>197</v>
      </c>
      <c r="C636" t="s">
        <v>329</v>
      </c>
      <c r="D636" t="s">
        <v>165</v>
      </c>
      <c r="E636" s="4">
        <f>IF(AND('Demographics'!$A$33="",OR('Demographics'!$B$33&lt;&gt;"")),"This row has a label but no column letter, so Themefinder won't know which column on the Responses sheet to read.","")</f>
        <v>0</v>
      </c>
      <c r="F636" s="4" t="s">
        <v>330</v>
      </c>
    </row>
    <row r="637" spans="1:6" ht="75" customHeight="1">
      <c r="A637" t="s">
        <v>162</v>
      </c>
      <c r="B637" t="s">
        <v>198</v>
      </c>
      <c r="C637" t="s">
        <v>329</v>
      </c>
      <c r="D637" t="s">
        <v>165</v>
      </c>
      <c r="E637" s="4">
        <f>IF(AND('Demographics'!$A$34="",OR('Demographics'!$B$34&lt;&gt;"")),"This row has a label but no column letter, so Themefinder won't know which column on the Responses sheet to read.","")</f>
        <v>0</v>
      </c>
      <c r="F637" s="4" t="s">
        <v>330</v>
      </c>
    </row>
    <row r="638" spans="1:6" ht="75" customHeight="1">
      <c r="A638" t="s">
        <v>162</v>
      </c>
      <c r="B638" t="s">
        <v>199</v>
      </c>
      <c r="C638" t="s">
        <v>329</v>
      </c>
      <c r="D638" t="s">
        <v>165</v>
      </c>
      <c r="E638" s="4">
        <f>IF(AND('Demographics'!$A$35="",OR('Demographics'!$B$35&lt;&gt;"")),"This row has a label but no column letter, so Themefinder won't know which column on the Responses sheet to read.","")</f>
        <v>0</v>
      </c>
      <c r="F638" s="4" t="s">
        <v>330</v>
      </c>
    </row>
    <row r="639" spans="1:6" ht="75" customHeight="1">
      <c r="A639" t="s">
        <v>162</v>
      </c>
      <c r="B639" t="s">
        <v>200</v>
      </c>
      <c r="C639" t="s">
        <v>329</v>
      </c>
      <c r="D639" t="s">
        <v>165</v>
      </c>
      <c r="E639" s="4">
        <f>IF(AND('Demographics'!$A$36="",OR('Demographics'!$B$36&lt;&gt;"")),"This row has a label but no column letter, so Themefinder won't know which column on the Responses sheet to read.","")</f>
        <v>0</v>
      </c>
      <c r="F639" s="4" t="s">
        <v>330</v>
      </c>
    </row>
    <row r="640" spans="1:6" ht="75" customHeight="1">
      <c r="A640" t="s">
        <v>162</v>
      </c>
      <c r="B640" t="s">
        <v>201</v>
      </c>
      <c r="C640" t="s">
        <v>329</v>
      </c>
      <c r="D640" t="s">
        <v>165</v>
      </c>
      <c r="E640" s="4">
        <f>IF(AND('Demographics'!$A$37="",OR('Demographics'!$B$37&lt;&gt;"")),"This row has a label but no column letter, so Themefinder won't know which column on the Responses sheet to read.","")</f>
        <v>0</v>
      </c>
      <c r="F640" s="4" t="s">
        <v>330</v>
      </c>
    </row>
    <row r="641" spans="1:6" ht="75" customHeight="1">
      <c r="A641" t="s">
        <v>162</v>
      </c>
      <c r="B641" t="s">
        <v>202</v>
      </c>
      <c r="C641" t="s">
        <v>329</v>
      </c>
      <c r="D641" t="s">
        <v>165</v>
      </c>
      <c r="E641" s="4">
        <f>IF(AND('Demographics'!$A$38="",OR('Demographics'!$B$38&lt;&gt;"")),"This row has a label but no column letter, so Themefinder won't know which column on the Responses sheet to read.","")</f>
        <v>0</v>
      </c>
      <c r="F641" s="4" t="s">
        <v>330</v>
      </c>
    </row>
    <row r="642" spans="1:6" ht="75" customHeight="1">
      <c r="A642" t="s">
        <v>162</v>
      </c>
      <c r="B642" t="s">
        <v>203</v>
      </c>
      <c r="C642" t="s">
        <v>329</v>
      </c>
      <c r="D642" t="s">
        <v>165</v>
      </c>
      <c r="E642" s="4">
        <f>IF(AND('Demographics'!$A$39="",OR('Demographics'!$B$39&lt;&gt;"")),"This row has a label but no column letter, so Themefinder won't know which column on the Responses sheet to read.","")</f>
        <v>0</v>
      </c>
      <c r="F642" s="4" t="s">
        <v>330</v>
      </c>
    </row>
    <row r="643" spans="1:6" ht="75" customHeight="1">
      <c r="A643" t="s">
        <v>162</v>
      </c>
      <c r="B643" t="s">
        <v>204</v>
      </c>
      <c r="C643" t="s">
        <v>329</v>
      </c>
      <c r="D643" t="s">
        <v>165</v>
      </c>
      <c r="E643" s="4">
        <f>IF(AND('Demographics'!$A$40="",OR('Demographics'!$B$40&lt;&gt;"")),"This row has a label but no column letter, so Themefinder won't know which column on the Responses sheet to read.","")</f>
        <v>0</v>
      </c>
      <c r="F643" s="4" t="s">
        <v>330</v>
      </c>
    </row>
    <row r="644" spans="1:6" ht="75" customHeight="1">
      <c r="A644" t="s">
        <v>162</v>
      </c>
      <c r="B644" t="s">
        <v>205</v>
      </c>
      <c r="C644" t="s">
        <v>329</v>
      </c>
      <c r="D644" t="s">
        <v>165</v>
      </c>
      <c r="E644" s="4">
        <f>IF(AND('Demographics'!$A$41="",OR('Demographics'!$B$41&lt;&gt;"")),"This row has a label but no column letter, so Themefinder won't know which column on the Responses sheet to read.","")</f>
        <v>0</v>
      </c>
      <c r="F644" s="4" t="s">
        <v>330</v>
      </c>
    </row>
    <row r="645" spans="1:6" ht="75" customHeight="1">
      <c r="A645" t="s">
        <v>162</v>
      </c>
      <c r="B645" t="s">
        <v>206</v>
      </c>
      <c r="C645" t="s">
        <v>329</v>
      </c>
      <c r="D645" t="s">
        <v>165</v>
      </c>
      <c r="E645" s="4">
        <f>IF(AND('Demographics'!$A$42="",OR('Demographics'!$B$42&lt;&gt;"")),"This row has a label but no column letter, so Themefinder won't know which column on the Responses sheet to read.","")</f>
        <v>0</v>
      </c>
      <c r="F645" s="4" t="s">
        <v>330</v>
      </c>
    </row>
    <row r="646" spans="1:6" ht="75" customHeight="1">
      <c r="A646" t="s">
        <v>162</v>
      </c>
      <c r="B646" t="s">
        <v>207</v>
      </c>
      <c r="C646" t="s">
        <v>329</v>
      </c>
      <c r="D646" t="s">
        <v>165</v>
      </c>
      <c r="E646" s="4">
        <f>IF(AND('Demographics'!$A$43="",OR('Demographics'!$B$43&lt;&gt;"")),"This row has a label but no column letter, so Themefinder won't know which column on the Responses sheet to read.","")</f>
        <v>0</v>
      </c>
      <c r="F646" s="4" t="s">
        <v>330</v>
      </c>
    </row>
    <row r="647" spans="1:6" ht="75" customHeight="1">
      <c r="A647" t="s">
        <v>162</v>
      </c>
      <c r="B647" t="s">
        <v>208</v>
      </c>
      <c r="C647" t="s">
        <v>329</v>
      </c>
      <c r="D647" t="s">
        <v>165</v>
      </c>
      <c r="E647" s="4">
        <f>IF(AND('Demographics'!$A$44="",OR('Demographics'!$B$44&lt;&gt;"")),"This row has a label but no column letter, so Themefinder won't know which column on the Responses sheet to read.","")</f>
        <v>0</v>
      </c>
      <c r="F647" s="4" t="s">
        <v>330</v>
      </c>
    </row>
    <row r="648" spans="1:6" ht="75" customHeight="1">
      <c r="A648" t="s">
        <v>162</v>
      </c>
      <c r="B648" t="s">
        <v>209</v>
      </c>
      <c r="C648" t="s">
        <v>329</v>
      </c>
      <c r="D648" t="s">
        <v>165</v>
      </c>
      <c r="E648" s="4">
        <f>IF(AND('Demographics'!$A$45="",OR('Demographics'!$B$45&lt;&gt;"")),"This row has a label but no column letter, so Themefinder won't know which column on the Responses sheet to read.","")</f>
        <v>0</v>
      </c>
      <c r="F648" s="4" t="s">
        <v>330</v>
      </c>
    </row>
    <row r="649" spans="1:6" ht="75" customHeight="1">
      <c r="A649" t="s">
        <v>162</v>
      </c>
      <c r="B649" t="s">
        <v>210</v>
      </c>
      <c r="C649" t="s">
        <v>329</v>
      </c>
      <c r="D649" t="s">
        <v>165</v>
      </c>
      <c r="E649" s="4">
        <f>IF(AND('Demographics'!$A$46="",OR('Demographics'!$B$46&lt;&gt;"")),"This row has a label but no column letter, so Themefinder won't know which column on the Responses sheet to read.","")</f>
        <v>0</v>
      </c>
      <c r="F649" s="4" t="s">
        <v>330</v>
      </c>
    </row>
    <row r="650" spans="1:6" ht="75" customHeight="1">
      <c r="A650" t="s">
        <v>162</v>
      </c>
      <c r="B650" t="s">
        <v>211</v>
      </c>
      <c r="C650" t="s">
        <v>329</v>
      </c>
      <c r="D650" t="s">
        <v>165</v>
      </c>
      <c r="E650" s="4">
        <f>IF(AND('Demographics'!$A$47="",OR('Demographics'!$B$47&lt;&gt;"")),"This row has a label but no column letter, so Themefinder won't know which column on the Responses sheet to read.","")</f>
        <v>0</v>
      </c>
      <c r="F650" s="4" t="s">
        <v>330</v>
      </c>
    </row>
    <row r="651" spans="1:6" ht="75" customHeight="1">
      <c r="A651" t="s">
        <v>162</v>
      </c>
      <c r="B651" t="s">
        <v>212</v>
      </c>
      <c r="C651" t="s">
        <v>329</v>
      </c>
      <c r="D651" t="s">
        <v>165</v>
      </c>
      <c r="E651" s="4">
        <f>IF(AND('Demographics'!$A$48="",OR('Demographics'!$B$48&lt;&gt;"")),"This row has a label but no column letter, so Themefinder won't know which column on the Responses sheet to read.","")</f>
        <v>0</v>
      </c>
      <c r="F651" s="4" t="s">
        <v>330</v>
      </c>
    </row>
    <row r="652" spans="1:6" ht="75" customHeight="1">
      <c r="A652" t="s">
        <v>162</v>
      </c>
      <c r="B652" t="s">
        <v>213</v>
      </c>
      <c r="C652" t="s">
        <v>329</v>
      </c>
      <c r="D652" t="s">
        <v>165</v>
      </c>
      <c r="E652" s="4">
        <f>IF(AND('Demographics'!$A$49="",OR('Demographics'!$B$49&lt;&gt;"")),"This row has a label but no column letter, so Themefinder won't know which column on the Responses sheet to read.","")</f>
        <v>0</v>
      </c>
      <c r="F652" s="4" t="s">
        <v>330</v>
      </c>
    </row>
    <row r="653" spans="1:6" ht="75" customHeight="1">
      <c r="A653" t="s">
        <v>162</v>
      </c>
      <c r="B653" t="s">
        <v>214</v>
      </c>
      <c r="C653" t="s">
        <v>329</v>
      </c>
      <c r="D653" t="s">
        <v>165</v>
      </c>
      <c r="E653" s="4">
        <f>IF(AND('Demographics'!$A$50="",OR('Demographics'!$B$50&lt;&gt;"")),"This row has a label but no column letter, so Themefinder won't know which column on the Responses sheet to read.","")</f>
        <v>0</v>
      </c>
      <c r="F653" s="4" t="s">
        <v>330</v>
      </c>
    </row>
    <row r="654" spans="1:6" ht="75" customHeight="1">
      <c r="A654" t="s">
        <v>162</v>
      </c>
      <c r="B654" t="s">
        <v>215</v>
      </c>
      <c r="C654" t="s">
        <v>329</v>
      </c>
      <c r="D654" t="s">
        <v>165</v>
      </c>
      <c r="E654" s="4">
        <f>IF(AND('Demographics'!$A$51="",OR('Demographics'!$B$51&lt;&gt;"")),"This row has a label but no column letter, so Themefinder won't know which column on the Responses sheet to read.","")</f>
        <v>0</v>
      </c>
      <c r="F654" s="4" t="s">
        <v>330</v>
      </c>
    </row>
    <row r="655" spans="1:6" ht="75" customHeight="1">
      <c r="A655" t="s">
        <v>216</v>
      </c>
      <c r="B655" t="s">
        <v>163</v>
      </c>
      <c r="C655" t="s">
        <v>331</v>
      </c>
      <c r="D655" t="s">
        <v>165</v>
      </c>
      <c r="E655" s="4">
        <f>IF(AND('Open Questions'!$A$2="",OR('Open Questions'!$B$2&lt;&gt;"",'Open Questions'!$C$2&lt;&gt;"")),"This row has question details but no column letter, so Themefinder won't know where the free-text answers live.","")</f>
        <v>0</v>
      </c>
      <c r="F655" s="4" t="s">
        <v>332</v>
      </c>
    </row>
    <row r="656" spans="1:6" ht="75" customHeight="1">
      <c r="A656" t="s">
        <v>216</v>
      </c>
      <c r="B656" t="s">
        <v>167</v>
      </c>
      <c r="C656" t="s">
        <v>331</v>
      </c>
      <c r="D656" t="s">
        <v>165</v>
      </c>
      <c r="E656" s="4">
        <f>IF(AND('Open Questions'!$A$3="",OR('Open Questions'!$B$3&lt;&gt;"",'Open Questions'!$C$3&lt;&gt;"")),"This row has question details but no column letter, so Themefinder won't know where the free-text answers live.","")</f>
        <v>0</v>
      </c>
      <c r="F656" s="4" t="s">
        <v>332</v>
      </c>
    </row>
    <row r="657" spans="1:6" ht="75" customHeight="1">
      <c r="A657" t="s">
        <v>216</v>
      </c>
      <c r="B657" t="s">
        <v>168</v>
      </c>
      <c r="C657" t="s">
        <v>331</v>
      </c>
      <c r="D657" t="s">
        <v>165</v>
      </c>
      <c r="E657" s="4">
        <f>IF(AND('Open Questions'!$A$4="",OR('Open Questions'!$B$4&lt;&gt;"",'Open Questions'!$C$4&lt;&gt;"")),"This row has question details but no column letter, so Themefinder won't know where the free-text answers live.","")</f>
        <v>0</v>
      </c>
      <c r="F657" s="4" t="s">
        <v>332</v>
      </c>
    </row>
    <row r="658" spans="1:6" ht="75" customHeight="1">
      <c r="A658" t="s">
        <v>216</v>
      </c>
      <c r="B658" t="s">
        <v>169</v>
      </c>
      <c r="C658" t="s">
        <v>331</v>
      </c>
      <c r="D658" t="s">
        <v>165</v>
      </c>
      <c r="E658" s="4">
        <f>IF(AND('Open Questions'!$A$5="",OR('Open Questions'!$B$5&lt;&gt;"",'Open Questions'!$C$5&lt;&gt;"")),"This row has question details but no column letter, so Themefinder won't know where the free-text answers live.","")</f>
        <v>0</v>
      </c>
      <c r="F658" s="4" t="s">
        <v>332</v>
      </c>
    </row>
    <row r="659" spans="1:6" ht="75" customHeight="1">
      <c r="A659" t="s">
        <v>216</v>
      </c>
      <c r="B659" t="s">
        <v>170</v>
      </c>
      <c r="C659" t="s">
        <v>331</v>
      </c>
      <c r="D659" t="s">
        <v>165</v>
      </c>
      <c r="E659" s="4">
        <f>IF(AND('Open Questions'!$A$6="",OR('Open Questions'!$B$6&lt;&gt;"",'Open Questions'!$C$6&lt;&gt;"")),"This row has question details but no column letter, so Themefinder won't know where the free-text answers live.","")</f>
        <v>0</v>
      </c>
      <c r="F659" s="4" t="s">
        <v>332</v>
      </c>
    </row>
    <row r="660" spans="1:6" ht="75" customHeight="1">
      <c r="A660" t="s">
        <v>216</v>
      </c>
      <c r="B660" t="s">
        <v>171</v>
      </c>
      <c r="C660" t="s">
        <v>331</v>
      </c>
      <c r="D660" t="s">
        <v>165</v>
      </c>
      <c r="E660" s="4">
        <f>IF(AND('Open Questions'!$A$7="",OR('Open Questions'!$B$7&lt;&gt;"",'Open Questions'!$C$7&lt;&gt;"")),"This row has question details but no column letter, so Themefinder won't know where the free-text answers live.","")</f>
        <v>0</v>
      </c>
      <c r="F660" s="4" t="s">
        <v>332</v>
      </c>
    </row>
    <row r="661" spans="1:6" ht="75" customHeight="1">
      <c r="A661" t="s">
        <v>216</v>
      </c>
      <c r="B661" t="s">
        <v>172</v>
      </c>
      <c r="C661" t="s">
        <v>331</v>
      </c>
      <c r="D661" t="s">
        <v>165</v>
      </c>
      <c r="E661" s="4">
        <f>IF(AND('Open Questions'!$A$8="",OR('Open Questions'!$B$8&lt;&gt;"",'Open Questions'!$C$8&lt;&gt;"")),"This row has question details but no column letter, so Themefinder won't know where the free-text answers live.","")</f>
        <v>0</v>
      </c>
      <c r="F661" s="4" t="s">
        <v>332</v>
      </c>
    </row>
    <row r="662" spans="1:6" ht="75" customHeight="1">
      <c r="A662" t="s">
        <v>216</v>
      </c>
      <c r="B662" t="s">
        <v>173</v>
      </c>
      <c r="C662" t="s">
        <v>331</v>
      </c>
      <c r="D662" t="s">
        <v>165</v>
      </c>
      <c r="E662" s="4">
        <f>IF(AND('Open Questions'!$A$9="",OR('Open Questions'!$B$9&lt;&gt;"",'Open Questions'!$C$9&lt;&gt;"")),"This row has question details but no column letter, so Themefinder won't know where the free-text answers live.","")</f>
        <v>0</v>
      </c>
      <c r="F662" s="4" t="s">
        <v>332</v>
      </c>
    </row>
    <row r="663" spans="1:6" ht="75" customHeight="1">
      <c r="A663" t="s">
        <v>216</v>
      </c>
      <c r="B663" t="s">
        <v>174</v>
      </c>
      <c r="C663" t="s">
        <v>331</v>
      </c>
      <c r="D663" t="s">
        <v>165</v>
      </c>
      <c r="E663" s="4">
        <f>IF(AND('Open Questions'!$A$10="",OR('Open Questions'!$B$10&lt;&gt;"",'Open Questions'!$C$10&lt;&gt;"")),"This row has question details but no column letter, so Themefinder won't know where the free-text answers live.","")</f>
        <v>0</v>
      </c>
      <c r="F663" s="4" t="s">
        <v>332</v>
      </c>
    </row>
    <row r="664" spans="1:6" ht="75" customHeight="1">
      <c r="A664" t="s">
        <v>216</v>
      </c>
      <c r="B664" t="s">
        <v>175</v>
      </c>
      <c r="C664" t="s">
        <v>331</v>
      </c>
      <c r="D664" t="s">
        <v>165</v>
      </c>
      <c r="E664" s="4">
        <f>IF(AND('Open Questions'!$A$11="",OR('Open Questions'!$B$11&lt;&gt;"",'Open Questions'!$C$11&lt;&gt;"")),"This row has question details but no column letter, so Themefinder won't know where the free-text answers live.","")</f>
        <v>0</v>
      </c>
      <c r="F664" s="4" t="s">
        <v>332</v>
      </c>
    </row>
    <row r="665" spans="1:6" ht="75" customHeight="1">
      <c r="A665" t="s">
        <v>216</v>
      </c>
      <c r="B665" t="s">
        <v>176</v>
      </c>
      <c r="C665" t="s">
        <v>331</v>
      </c>
      <c r="D665" t="s">
        <v>165</v>
      </c>
      <c r="E665" s="4">
        <f>IF(AND('Open Questions'!$A$12="",OR('Open Questions'!$B$12&lt;&gt;"",'Open Questions'!$C$12&lt;&gt;"")),"This row has question details but no column letter, so Themefinder won't know where the free-text answers live.","")</f>
        <v>0</v>
      </c>
      <c r="F665" s="4" t="s">
        <v>332</v>
      </c>
    </row>
    <row r="666" spans="1:6" ht="75" customHeight="1">
      <c r="A666" t="s">
        <v>216</v>
      </c>
      <c r="B666" t="s">
        <v>177</v>
      </c>
      <c r="C666" t="s">
        <v>331</v>
      </c>
      <c r="D666" t="s">
        <v>165</v>
      </c>
      <c r="E666" s="4">
        <f>IF(AND('Open Questions'!$A$13="",OR('Open Questions'!$B$13&lt;&gt;"",'Open Questions'!$C$13&lt;&gt;"")),"This row has question details but no column letter, so Themefinder won't know where the free-text answers live.","")</f>
        <v>0</v>
      </c>
      <c r="F666" s="4" t="s">
        <v>332</v>
      </c>
    </row>
    <row r="667" spans="1:6" ht="75" customHeight="1">
      <c r="A667" t="s">
        <v>216</v>
      </c>
      <c r="B667" t="s">
        <v>178</v>
      </c>
      <c r="C667" t="s">
        <v>331</v>
      </c>
      <c r="D667" t="s">
        <v>165</v>
      </c>
      <c r="E667" s="4">
        <f>IF(AND('Open Questions'!$A$14="",OR('Open Questions'!$B$14&lt;&gt;"",'Open Questions'!$C$14&lt;&gt;"")),"This row has question details but no column letter, so Themefinder won't know where the free-text answers live.","")</f>
        <v>0</v>
      </c>
      <c r="F667" s="4" t="s">
        <v>332</v>
      </c>
    </row>
    <row r="668" spans="1:6" ht="75" customHeight="1">
      <c r="A668" t="s">
        <v>216</v>
      </c>
      <c r="B668" t="s">
        <v>179</v>
      </c>
      <c r="C668" t="s">
        <v>331</v>
      </c>
      <c r="D668" t="s">
        <v>165</v>
      </c>
      <c r="E668" s="4">
        <f>IF(AND('Open Questions'!$A$15="",OR('Open Questions'!$B$15&lt;&gt;"",'Open Questions'!$C$15&lt;&gt;"")),"This row has question details but no column letter, so Themefinder won't know where the free-text answers live.","")</f>
        <v>0</v>
      </c>
      <c r="F668" s="4" t="s">
        <v>332</v>
      </c>
    </row>
    <row r="669" spans="1:6" ht="75" customHeight="1">
      <c r="A669" t="s">
        <v>216</v>
      </c>
      <c r="B669" t="s">
        <v>180</v>
      </c>
      <c r="C669" t="s">
        <v>331</v>
      </c>
      <c r="D669" t="s">
        <v>165</v>
      </c>
      <c r="E669" s="4">
        <f>IF(AND('Open Questions'!$A$16="",OR('Open Questions'!$B$16&lt;&gt;"",'Open Questions'!$C$16&lt;&gt;"")),"This row has question details but no column letter, so Themefinder won't know where the free-text answers live.","")</f>
        <v>0</v>
      </c>
      <c r="F669" s="4" t="s">
        <v>332</v>
      </c>
    </row>
    <row r="670" spans="1:6" ht="75" customHeight="1">
      <c r="A670" t="s">
        <v>216</v>
      </c>
      <c r="B670" t="s">
        <v>181</v>
      </c>
      <c r="C670" t="s">
        <v>331</v>
      </c>
      <c r="D670" t="s">
        <v>165</v>
      </c>
      <c r="E670" s="4">
        <f>IF(AND('Open Questions'!$A$17="",OR('Open Questions'!$B$17&lt;&gt;"",'Open Questions'!$C$17&lt;&gt;"")),"This row has question details but no column letter, so Themefinder won't know where the free-text answers live.","")</f>
        <v>0</v>
      </c>
      <c r="F670" s="4" t="s">
        <v>332</v>
      </c>
    </row>
    <row r="671" spans="1:6" ht="75" customHeight="1">
      <c r="A671" t="s">
        <v>216</v>
      </c>
      <c r="B671" t="s">
        <v>182</v>
      </c>
      <c r="C671" t="s">
        <v>331</v>
      </c>
      <c r="D671" t="s">
        <v>165</v>
      </c>
      <c r="E671" s="4">
        <f>IF(AND('Open Questions'!$A$18="",OR('Open Questions'!$B$18&lt;&gt;"",'Open Questions'!$C$18&lt;&gt;"")),"This row has question details but no column letter, so Themefinder won't know where the free-text answers live.","")</f>
        <v>0</v>
      </c>
      <c r="F671" s="4" t="s">
        <v>332</v>
      </c>
    </row>
    <row r="672" spans="1:6" ht="75" customHeight="1">
      <c r="A672" t="s">
        <v>216</v>
      </c>
      <c r="B672" t="s">
        <v>183</v>
      </c>
      <c r="C672" t="s">
        <v>331</v>
      </c>
      <c r="D672" t="s">
        <v>165</v>
      </c>
      <c r="E672" s="4">
        <f>IF(AND('Open Questions'!$A$19="",OR('Open Questions'!$B$19&lt;&gt;"",'Open Questions'!$C$19&lt;&gt;"")),"This row has question details but no column letter, so Themefinder won't know where the free-text answers live.","")</f>
        <v>0</v>
      </c>
      <c r="F672" s="4" t="s">
        <v>332</v>
      </c>
    </row>
    <row r="673" spans="1:6" ht="75" customHeight="1">
      <c r="A673" t="s">
        <v>216</v>
      </c>
      <c r="B673" t="s">
        <v>184</v>
      </c>
      <c r="C673" t="s">
        <v>331</v>
      </c>
      <c r="D673" t="s">
        <v>165</v>
      </c>
      <c r="E673" s="4">
        <f>IF(AND('Open Questions'!$A$20="",OR('Open Questions'!$B$20&lt;&gt;"",'Open Questions'!$C$20&lt;&gt;"")),"This row has question details but no column letter, so Themefinder won't know where the free-text answers live.","")</f>
        <v>0</v>
      </c>
      <c r="F673" s="4" t="s">
        <v>332</v>
      </c>
    </row>
    <row r="674" spans="1:6" ht="75" customHeight="1">
      <c r="A674" t="s">
        <v>216</v>
      </c>
      <c r="B674" t="s">
        <v>185</v>
      </c>
      <c r="C674" t="s">
        <v>331</v>
      </c>
      <c r="D674" t="s">
        <v>165</v>
      </c>
      <c r="E674" s="4">
        <f>IF(AND('Open Questions'!$A$21="",OR('Open Questions'!$B$21&lt;&gt;"",'Open Questions'!$C$21&lt;&gt;"")),"This row has question details but no column letter, so Themefinder won't know where the free-text answers live.","")</f>
        <v>0</v>
      </c>
      <c r="F674" s="4" t="s">
        <v>332</v>
      </c>
    </row>
    <row r="675" spans="1:6" ht="75" customHeight="1">
      <c r="A675" t="s">
        <v>216</v>
      </c>
      <c r="B675" t="s">
        <v>186</v>
      </c>
      <c r="C675" t="s">
        <v>331</v>
      </c>
      <c r="D675" t="s">
        <v>165</v>
      </c>
      <c r="E675" s="4">
        <f>IF(AND('Open Questions'!$A$22="",OR('Open Questions'!$B$22&lt;&gt;"",'Open Questions'!$C$22&lt;&gt;"")),"This row has question details but no column letter, so Themefinder won't know where the free-text answers live.","")</f>
        <v>0</v>
      </c>
      <c r="F675" s="4" t="s">
        <v>332</v>
      </c>
    </row>
    <row r="676" spans="1:6" ht="75" customHeight="1">
      <c r="A676" t="s">
        <v>216</v>
      </c>
      <c r="B676" t="s">
        <v>187</v>
      </c>
      <c r="C676" t="s">
        <v>331</v>
      </c>
      <c r="D676" t="s">
        <v>165</v>
      </c>
      <c r="E676" s="4">
        <f>IF(AND('Open Questions'!$A$23="",OR('Open Questions'!$B$23&lt;&gt;"",'Open Questions'!$C$23&lt;&gt;"")),"This row has question details but no column letter, so Themefinder won't know where the free-text answers live.","")</f>
        <v>0</v>
      </c>
      <c r="F676" s="4" t="s">
        <v>332</v>
      </c>
    </row>
    <row r="677" spans="1:6" ht="75" customHeight="1">
      <c r="A677" t="s">
        <v>216</v>
      </c>
      <c r="B677" t="s">
        <v>188</v>
      </c>
      <c r="C677" t="s">
        <v>331</v>
      </c>
      <c r="D677" t="s">
        <v>165</v>
      </c>
      <c r="E677" s="4">
        <f>IF(AND('Open Questions'!$A$24="",OR('Open Questions'!$B$24&lt;&gt;"",'Open Questions'!$C$24&lt;&gt;"")),"This row has question details but no column letter, so Themefinder won't know where the free-text answers live.","")</f>
        <v>0</v>
      </c>
      <c r="F677" s="4" t="s">
        <v>332</v>
      </c>
    </row>
    <row r="678" spans="1:6" ht="75" customHeight="1">
      <c r="A678" t="s">
        <v>216</v>
      </c>
      <c r="B678" t="s">
        <v>189</v>
      </c>
      <c r="C678" t="s">
        <v>331</v>
      </c>
      <c r="D678" t="s">
        <v>165</v>
      </c>
      <c r="E678" s="4">
        <f>IF(AND('Open Questions'!$A$25="",OR('Open Questions'!$B$25&lt;&gt;"",'Open Questions'!$C$25&lt;&gt;"")),"This row has question details but no column letter, so Themefinder won't know where the free-text answers live.","")</f>
        <v>0</v>
      </c>
      <c r="F678" s="4" t="s">
        <v>332</v>
      </c>
    </row>
    <row r="679" spans="1:6" ht="75" customHeight="1">
      <c r="A679" t="s">
        <v>216</v>
      </c>
      <c r="B679" t="s">
        <v>190</v>
      </c>
      <c r="C679" t="s">
        <v>331</v>
      </c>
      <c r="D679" t="s">
        <v>165</v>
      </c>
      <c r="E679" s="4">
        <f>IF(AND('Open Questions'!$A$26="",OR('Open Questions'!$B$26&lt;&gt;"",'Open Questions'!$C$26&lt;&gt;"")),"This row has question details but no column letter, so Themefinder won't know where the free-text answers live.","")</f>
        <v>0</v>
      </c>
      <c r="F679" s="4" t="s">
        <v>332</v>
      </c>
    </row>
    <row r="680" spans="1:6" ht="75" customHeight="1">
      <c r="A680" t="s">
        <v>216</v>
      </c>
      <c r="B680" t="s">
        <v>191</v>
      </c>
      <c r="C680" t="s">
        <v>331</v>
      </c>
      <c r="D680" t="s">
        <v>165</v>
      </c>
      <c r="E680" s="4">
        <f>IF(AND('Open Questions'!$A$27="",OR('Open Questions'!$B$27&lt;&gt;"",'Open Questions'!$C$27&lt;&gt;"")),"This row has question details but no column letter, so Themefinder won't know where the free-text answers live.","")</f>
        <v>0</v>
      </c>
      <c r="F680" s="4" t="s">
        <v>332</v>
      </c>
    </row>
    <row r="681" spans="1:6" ht="75" customHeight="1">
      <c r="A681" t="s">
        <v>216</v>
      </c>
      <c r="B681" t="s">
        <v>192</v>
      </c>
      <c r="C681" t="s">
        <v>331</v>
      </c>
      <c r="D681" t="s">
        <v>165</v>
      </c>
      <c r="E681" s="4">
        <f>IF(AND('Open Questions'!$A$28="",OR('Open Questions'!$B$28&lt;&gt;"",'Open Questions'!$C$28&lt;&gt;"")),"This row has question details but no column letter, so Themefinder won't know where the free-text answers live.","")</f>
        <v>0</v>
      </c>
      <c r="F681" s="4" t="s">
        <v>332</v>
      </c>
    </row>
    <row r="682" spans="1:6" ht="75" customHeight="1">
      <c r="A682" t="s">
        <v>216</v>
      </c>
      <c r="B682" t="s">
        <v>193</v>
      </c>
      <c r="C682" t="s">
        <v>331</v>
      </c>
      <c r="D682" t="s">
        <v>165</v>
      </c>
      <c r="E682" s="4">
        <f>IF(AND('Open Questions'!$A$29="",OR('Open Questions'!$B$29&lt;&gt;"",'Open Questions'!$C$29&lt;&gt;"")),"This row has question details but no column letter, so Themefinder won't know where the free-text answers live.","")</f>
        <v>0</v>
      </c>
      <c r="F682" s="4" t="s">
        <v>332</v>
      </c>
    </row>
    <row r="683" spans="1:6" ht="75" customHeight="1">
      <c r="A683" t="s">
        <v>216</v>
      </c>
      <c r="B683" t="s">
        <v>194</v>
      </c>
      <c r="C683" t="s">
        <v>331</v>
      </c>
      <c r="D683" t="s">
        <v>165</v>
      </c>
      <c r="E683" s="4">
        <f>IF(AND('Open Questions'!$A$30="",OR('Open Questions'!$B$30&lt;&gt;"",'Open Questions'!$C$30&lt;&gt;"")),"This row has question details but no column letter, so Themefinder won't know where the free-text answers live.","")</f>
        <v>0</v>
      </c>
      <c r="F683" s="4" t="s">
        <v>332</v>
      </c>
    </row>
    <row r="684" spans="1:6" ht="75" customHeight="1">
      <c r="A684" t="s">
        <v>216</v>
      </c>
      <c r="B684" t="s">
        <v>195</v>
      </c>
      <c r="C684" t="s">
        <v>331</v>
      </c>
      <c r="D684" t="s">
        <v>165</v>
      </c>
      <c r="E684" s="4">
        <f>IF(AND('Open Questions'!$A$31="",OR('Open Questions'!$B$31&lt;&gt;"",'Open Questions'!$C$31&lt;&gt;"")),"This row has question details but no column letter, so Themefinder won't know where the free-text answers live.","")</f>
        <v>0</v>
      </c>
      <c r="F684" s="4" t="s">
        <v>332</v>
      </c>
    </row>
    <row r="685" spans="1:6" ht="75" customHeight="1">
      <c r="A685" t="s">
        <v>216</v>
      </c>
      <c r="B685" t="s">
        <v>196</v>
      </c>
      <c r="C685" t="s">
        <v>331</v>
      </c>
      <c r="D685" t="s">
        <v>165</v>
      </c>
      <c r="E685" s="4">
        <f>IF(AND('Open Questions'!$A$32="",OR('Open Questions'!$B$32&lt;&gt;"",'Open Questions'!$C$32&lt;&gt;"")),"This row has question details but no column letter, so Themefinder won't know where the free-text answers live.","")</f>
        <v>0</v>
      </c>
      <c r="F685" s="4" t="s">
        <v>332</v>
      </c>
    </row>
    <row r="686" spans="1:6" ht="75" customHeight="1">
      <c r="A686" t="s">
        <v>216</v>
      </c>
      <c r="B686" t="s">
        <v>197</v>
      </c>
      <c r="C686" t="s">
        <v>331</v>
      </c>
      <c r="D686" t="s">
        <v>165</v>
      </c>
      <c r="E686" s="4">
        <f>IF(AND('Open Questions'!$A$33="",OR('Open Questions'!$B$33&lt;&gt;"",'Open Questions'!$C$33&lt;&gt;"")),"This row has question details but no column letter, so Themefinder won't know where the free-text answers live.","")</f>
        <v>0</v>
      </c>
      <c r="F686" s="4" t="s">
        <v>332</v>
      </c>
    </row>
    <row r="687" spans="1:6" ht="75" customHeight="1">
      <c r="A687" t="s">
        <v>216</v>
      </c>
      <c r="B687" t="s">
        <v>198</v>
      </c>
      <c r="C687" t="s">
        <v>331</v>
      </c>
      <c r="D687" t="s">
        <v>165</v>
      </c>
      <c r="E687" s="4">
        <f>IF(AND('Open Questions'!$A$34="",OR('Open Questions'!$B$34&lt;&gt;"",'Open Questions'!$C$34&lt;&gt;"")),"This row has question details but no column letter, so Themefinder won't know where the free-text answers live.","")</f>
        <v>0</v>
      </c>
      <c r="F687" s="4" t="s">
        <v>332</v>
      </c>
    </row>
    <row r="688" spans="1:6" ht="75" customHeight="1">
      <c r="A688" t="s">
        <v>216</v>
      </c>
      <c r="B688" t="s">
        <v>199</v>
      </c>
      <c r="C688" t="s">
        <v>331</v>
      </c>
      <c r="D688" t="s">
        <v>165</v>
      </c>
      <c r="E688" s="4">
        <f>IF(AND('Open Questions'!$A$35="",OR('Open Questions'!$B$35&lt;&gt;"",'Open Questions'!$C$35&lt;&gt;"")),"This row has question details but no column letter, so Themefinder won't know where the free-text answers live.","")</f>
        <v>0</v>
      </c>
      <c r="F688" s="4" t="s">
        <v>332</v>
      </c>
    </row>
    <row r="689" spans="1:6" ht="75" customHeight="1">
      <c r="A689" t="s">
        <v>216</v>
      </c>
      <c r="B689" t="s">
        <v>200</v>
      </c>
      <c r="C689" t="s">
        <v>331</v>
      </c>
      <c r="D689" t="s">
        <v>165</v>
      </c>
      <c r="E689" s="4">
        <f>IF(AND('Open Questions'!$A$36="",OR('Open Questions'!$B$36&lt;&gt;"",'Open Questions'!$C$36&lt;&gt;"")),"This row has question details but no column letter, so Themefinder won't know where the free-text answers live.","")</f>
        <v>0</v>
      </c>
      <c r="F689" s="4" t="s">
        <v>332</v>
      </c>
    </row>
    <row r="690" spans="1:6" ht="75" customHeight="1">
      <c r="A690" t="s">
        <v>216</v>
      </c>
      <c r="B690" t="s">
        <v>201</v>
      </c>
      <c r="C690" t="s">
        <v>331</v>
      </c>
      <c r="D690" t="s">
        <v>165</v>
      </c>
      <c r="E690" s="4">
        <f>IF(AND('Open Questions'!$A$37="",OR('Open Questions'!$B$37&lt;&gt;"",'Open Questions'!$C$37&lt;&gt;"")),"This row has question details but no column letter, so Themefinder won't know where the free-text answers live.","")</f>
        <v>0</v>
      </c>
      <c r="F690" s="4" t="s">
        <v>332</v>
      </c>
    </row>
    <row r="691" spans="1:6" ht="75" customHeight="1">
      <c r="A691" t="s">
        <v>216</v>
      </c>
      <c r="B691" t="s">
        <v>202</v>
      </c>
      <c r="C691" t="s">
        <v>331</v>
      </c>
      <c r="D691" t="s">
        <v>165</v>
      </c>
      <c r="E691" s="4">
        <f>IF(AND('Open Questions'!$A$38="",OR('Open Questions'!$B$38&lt;&gt;"",'Open Questions'!$C$38&lt;&gt;"")),"This row has question details but no column letter, so Themefinder won't know where the free-text answers live.","")</f>
        <v>0</v>
      </c>
      <c r="F691" s="4" t="s">
        <v>332</v>
      </c>
    </row>
    <row r="692" spans="1:6" ht="75" customHeight="1">
      <c r="A692" t="s">
        <v>216</v>
      </c>
      <c r="B692" t="s">
        <v>203</v>
      </c>
      <c r="C692" t="s">
        <v>331</v>
      </c>
      <c r="D692" t="s">
        <v>165</v>
      </c>
      <c r="E692" s="4">
        <f>IF(AND('Open Questions'!$A$39="",OR('Open Questions'!$B$39&lt;&gt;"",'Open Questions'!$C$39&lt;&gt;"")),"This row has question details but no column letter, so Themefinder won't know where the free-text answers live.","")</f>
        <v>0</v>
      </c>
      <c r="F692" s="4" t="s">
        <v>332</v>
      </c>
    </row>
    <row r="693" spans="1:6" ht="75" customHeight="1">
      <c r="A693" t="s">
        <v>216</v>
      </c>
      <c r="B693" t="s">
        <v>204</v>
      </c>
      <c r="C693" t="s">
        <v>331</v>
      </c>
      <c r="D693" t="s">
        <v>165</v>
      </c>
      <c r="E693" s="4">
        <f>IF(AND('Open Questions'!$A$40="",OR('Open Questions'!$B$40&lt;&gt;"",'Open Questions'!$C$40&lt;&gt;"")),"This row has question details but no column letter, so Themefinder won't know where the free-text answers live.","")</f>
        <v>0</v>
      </c>
      <c r="F693" s="4" t="s">
        <v>332</v>
      </c>
    </row>
    <row r="694" spans="1:6" ht="75" customHeight="1">
      <c r="A694" t="s">
        <v>216</v>
      </c>
      <c r="B694" t="s">
        <v>205</v>
      </c>
      <c r="C694" t="s">
        <v>331</v>
      </c>
      <c r="D694" t="s">
        <v>165</v>
      </c>
      <c r="E694" s="4">
        <f>IF(AND('Open Questions'!$A$41="",OR('Open Questions'!$B$41&lt;&gt;"",'Open Questions'!$C$41&lt;&gt;"")),"This row has question details but no column letter, so Themefinder won't know where the free-text answers live.","")</f>
        <v>0</v>
      </c>
      <c r="F694" s="4" t="s">
        <v>332</v>
      </c>
    </row>
    <row r="695" spans="1:6" ht="75" customHeight="1">
      <c r="A695" t="s">
        <v>216</v>
      </c>
      <c r="B695" t="s">
        <v>206</v>
      </c>
      <c r="C695" t="s">
        <v>331</v>
      </c>
      <c r="D695" t="s">
        <v>165</v>
      </c>
      <c r="E695" s="4">
        <f>IF(AND('Open Questions'!$A$42="",OR('Open Questions'!$B$42&lt;&gt;"",'Open Questions'!$C$42&lt;&gt;"")),"This row has question details but no column letter, so Themefinder won't know where the free-text answers live.","")</f>
        <v>0</v>
      </c>
      <c r="F695" s="4" t="s">
        <v>332</v>
      </c>
    </row>
    <row r="696" spans="1:6" ht="75" customHeight="1">
      <c r="A696" t="s">
        <v>216</v>
      </c>
      <c r="B696" t="s">
        <v>207</v>
      </c>
      <c r="C696" t="s">
        <v>331</v>
      </c>
      <c r="D696" t="s">
        <v>165</v>
      </c>
      <c r="E696" s="4">
        <f>IF(AND('Open Questions'!$A$43="",OR('Open Questions'!$B$43&lt;&gt;"",'Open Questions'!$C$43&lt;&gt;"")),"This row has question details but no column letter, so Themefinder won't know where the free-text answers live.","")</f>
        <v>0</v>
      </c>
      <c r="F696" s="4" t="s">
        <v>332</v>
      </c>
    </row>
    <row r="697" spans="1:6" ht="75" customHeight="1">
      <c r="A697" t="s">
        <v>216</v>
      </c>
      <c r="B697" t="s">
        <v>208</v>
      </c>
      <c r="C697" t="s">
        <v>331</v>
      </c>
      <c r="D697" t="s">
        <v>165</v>
      </c>
      <c r="E697" s="4">
        <f>IF(AND('Open Questions'!$A$44="",OR('Open Questions'!$B$44&lt;&gt;"",'Open Questions'!$C$44&lt;&gt;"")),"This row has question details but no column letter, so Themefinder won't know where the free-text answers live.","")</f>
        <v>0</v>
      </c>
      <c r="F697" s="4" t="s">
        <v>332</v>
      </c>
    </row>
    <row r="698" spans="1:6" ht="75" customHeight="1">
      <c r="A698" t="s">
        <v>216</v>
      </c>
      <c r="B698" t="s">
        <v>209</v>
      </c>
      <c r="C698" t="s">
        <v>331</v>
      </c>
      <c r="D698" t="s">
        <v>165</v>
      </c>
      <c r="E698" s="4">
        <f>IF(AND('Open Questions'!$A$45="",OR('Open Questions'!$B$45&lt;&gt;"",'Open Questions'!$C$45&lt;&gt;"")),"This row has question details but no column letter, so Themefinder won't know where the free-text answers live.","")</f>
        <v>0</v>
      </c>
      <c r="F698" s="4" t="s">
        <v>332</v>
      </c>
    </row>
    <row r="699" spans="1:6" ht="75" customHeight="1">
      <c r="A699" t="s">
        <v>216</v>
      </c>
      <c r="B699" t="s">
        <v>210</v>
      </c>
      <c r="C699" t="s">
        <v>331</v>
      </c>
      <c r="D699" t="s">
        <v>165</v>
      </c>
      <c r="E699" s="4">
        <f>IF(AND('Open Questions'!$A$46="",OR('Open Questions'!$B$46&lt;&gt;"",'Open Questions'!$C$46&lt;&gt;"")),"This row has question details but no column letter, so Themefinder won't know where the free-text answers live.","")</f>
        <v>0</v>
      </c>
      <c r="F699" s="4" t="s">
        <v>332</v>
      </c>
    </row>
    <row r="700" spans="1:6" ht="75" customHeight="1">
      <c r="A700" t="s">
        <v>216</v>
      </c>
      <c r="B700" t="s">
        <v>211</v>
      </c>
      <c r="C700" t="s">
        <v>331</v>
      </c>
      <c r="D700" t="s">
        <v>165</v>
      </c>
      <c r="E700" s="4">
        <f>IF(AND('Open Questions'!$A$47="",OR('Open Questions'!$B$47&lt;&gt;"",'Open Questions'!$C$47&lt;&gt;"")),"This row has question details but no column letter, so Themefinder won't know where the free-text answers live.","")</f>
        <v>0</v>
      </c>
      <c r="F700" s="4" t="s">
        <v>332</v>
      </c>
    </row>
    <row r="701" spans="1:6" ht="75" customHeight="1">
      <c r="A701" t="s">
        <v>216</v>
      </c>
      <c r="B701" t="s">
        <v>212</v>
      </c>
      <c r="C701" t="s">
        <v>331</v>
      </c>
      <c r="D701" t="s">
        <v>165</v>
      </c>
      <c r="E701" s="4">
        <f>IF(AND('Open Questions'!$A$48="",OR('Open Questions'!$B$48&lt;&gt;"",'Open Questions'!$C$48&lt;&gt;"")),"This row has question details but no column letter, so Themefinder won't know where the free-text answers live.","")</f>
        <v>0</v>
      </c>
      <c r="F701" s="4" t="s">
        <v>332</v>
      </c>
    </row>
    <row r="702" spans="1:6" ht="75" customHeight="1">
      <c r="A702" t="s">
        <v>216</v>
      </c>
      <c r="B702" t="s">
        <v>213</v>
      </c>
      <c r="C702" t="s">
        <v>331</v>
      </c>
      <c r="D702" t="s">
        <v>165</v>
      </c>
      <c r="E702" s="4">
        <f>IF(AND('Open Questions'!$A$49="",OR('Open Questions'!$B$49&lt;&gt;"",'Open Questions'!$C$49&lt;&gt;"")),"This row has question details but no column letter, so Themefinder won't know where the free-text answers live.","")</f>
        <v>0</v>
      </c>
      <c r="F702" s="4" t="s">
        <v>332</v>
      </c>
    </row>
    <row r="703" spans="1:6" ht="75" customHeight="1">
      <c r="A703" t="s">
        <v>216</v>
      </c>
      <c r="B703" t="s">
        <v>214</v>
      </c>
      <c r="C703" t="s">
        <v>331</v>
      </c>
      <c r="D703" t="s">
        <v>165</v>
      </c>
      <c r="E703" s="4">
        <f>IF(AND('Open Questions'!$A$50="",OR('Open Questions'!$B$50&lt;&gt;"",'Open Questions'!$C$50&lt;&gt;"")),"This row has question details but no column letter, so Themefinder won't know where the free-text answers live.","")</f>
        <v>0</v>
      </c>
      <c r="F703" s="4" t="s">
        <v>332</v>
      </c>
    </row>
    <row r="704" spans="1:6" ht="75" customHeight="1">
      <c r="A704" t="s">
        <v>216</v>
      </c>
      <c r="B704" t="s">
        <v>215</v>
      </c>
      <c r="C704" t="s">
        <v>331</v>
      </c>
      <c r="D704" t="s">
        <v>165</v>
      </c>
      <c r="E704" s="4">
        <f>IF(AND('Open Questions'!$A$51="",OR('Open Questions'!$B$51&lt;&gt;"",'Open Questions'!$C$51&lt;&gt;"")),"This row has question details but no column letter, so Themefinder won't know where the free-text answers live.","")</f>
        <v>0</v>
      </c>
      <c r="F704" s="4" t="s">
        <v>332</v>
      </c>
    </row>
    <row r="705" spans="1:6" ht="75" customHeight="1">
      <c r="A705" t="s">
        <v>218</v>
      </c>
      <c r="B705" t="s">
        <v>163</v>
      </c>
      <c r="C705" t="s">
        <v>331</v>
      </c>
      <c r="D705" t="s">
        <v>165</v>
      </c>
      <c r="E705" s="4">
        <f>IF(AND('Multiple Choice Questions'!$A$2="",OR('Multiple Choice Questions'!$B$2&lt;&gt;"",'Multiple Choice Questions'!$C$2&lt;&gt;"")),"This row has question details but no column letter, so Themefinder won't know where the multiple-choice answers live.","")</f>
        <v>0</v>
      </c>
      <c r="F705" s="4" t="s">
        <v>333</v>
      </c>
    </row>
    <row r="706" spans="1:6" ht="75" customHeight="1">
      <c r="A706" t="s">
        <v>218</v>
      </c>
      <c r="B706" t="s">
        <v>167</v>
      </c>
      <c r="C706" t="s">
        <v>331</v>
      </c>
      <c r="D706" t="s">
        <v>165</v>
      </c>
      <c r="E706" s="4">
        <f>IF(AND('Multiple Choice Questions'!$A$3="",OR('Multiple Choice Questions'!$B$3&lt;&gt;"",'Multiple Choice Questions'!$C$3&lt;&gt;"")),"This row has question details but no column letter, so Themefinder won't know where the multiple-choice answers live.","")</f>
        <v>0</v>
      </c>
      <c r="F706" s="4" t="s">
        <v>333</v>
      </c>
    </row>
    <row r="707" spans="1:6" ht="75" customHeight="1">
      <c r="A707" t="s">
        <v>218</v>
      </c>
      <c r="B707" t="s">
        <v>168</v>
      </c>
      <c r="C707" t="s">
        <v>331</v>
      </c>
      <c r="D707" t="s">
        <v>165</v>
      </c>
      <c r="E707" s="4">
        <f>IF(AND('Multiple Choice Questions'!$A$4="",OR('Multiple Choice Questions'!$B$4&lt;&gt;"",'Multiple Choice Questions'!$C$4&lt;&gt;"")),"This row has question details but no column letter, so Themefinder won't know where the multiple-choice answers live.","")</f>
        <v>0</v>
      </c>
      <c r="F707" s="4" t="s">
        <v>333</v>
      </c>
    </row>
    <row r="708" spans="1:6" ht="75" customHeight="1">
      <c r="A708" t="s">
        <v>218</v>
      </c>
      <c r="B708" t="s">
        <v>169</v>
      </c>
      <c r="C708" t="s">
        <v>331</v>
      </c>
      <c r="D708" t="s">
        <v>165</v>
      </c>
      <c r="E708" s="4">
        <f>IF(AND('Multiple Choice Questions'!$A$5="",OR('Multiple Choice Questions'!$B$5&lt;&gt;"",'Multiple Choice Questions'!$C$5&lt;&gt;"")),"This row has question details but no column letter, so Themefinder won't know where the multiple-choice answers live.","")</f>
        <v>0</v>
      </c>
      <c r="F708" s="4" t="s">
        <v>333</v>
      </c>
    </row>
    <row r="709" spans="1:6" ht="75" customHeight="1">
      <c r="A709" t="s">
        <v>218</v>
      </c>
      <c r="B709" t="s">
        <v>170</v>
      </c>
      <c r="C709" t="s">
        <v>331</v>
      </c>
      <c r="D709" t="s">
        <v>165</v>
      </c>
      <c r="E709" s="4">
        <f>IF(AND('Multiple Choice Questions'!$A$6="",OR('Multiple Choice Questions'!$B$6&lt;&gt;"",'Multiple Choice Questions'!$C$6&lt;&gt;"")),"This row has question details but no column letter, so Themefinder won't know where the multiple-choice answers live.","")</f>
        <v>0</v>
      </c>
      <c r="F709" s="4" t="s">
        <v>333</v>
      </c>
    </row>
    <row r="710" spans="1:6" ht="75" customHeight="1">
      <c r="A710" t="s">
        <v>218</v>
      </c>
      <c r="B710" t="s">
        <v>171</v>
      </c>
      <c r="C710" t="s">
        <v>331</v>
      </c>
      <c r="D710" t="s">
        <v>165</v>
      </c>
      <c r="E710" s="4">
        <f>IF(AND('Multiple Choice Questions'!$A$7="",OR('Multiple Choice Questions'!$B$7&lt;&gt;"",'Multiple Choice Questions'!$C$7&lt;&gt;"")),"This row has question details but no column letter, so Themefinder won't know where the multiple-choice answers live.","")</f>
        <v>0</v>
      </c>
      <c r="F710" s="4" t="s">
        <v>333</v>
      </c>
    </row>
    <row r="711" spans="1:6" ht="75" customHeight="1">
      <c r="A711" t="s">
        <v>218</v>
      </c>
      <c r="B711" t="s">
        <v>172</v>
      </c>
      <c r="C711" t="s">
        <v>331</v>
      </c>
      <c r="D711" t="s">
        <v>165</v>
      </c>
      <c r="E711" s="4">
        <f>IF(AND('Multiple Choice Questions'!$A$8="",OR('Multiple Choice Questions'!$B$8&lt;&gt;"",'Multiple Choice Questions'!$C$8&lt;&gt;"")),"This row has question details but no column letter, so Themefinder won't know where the multiple-choice answers live.","")</f>
        <v>0</v>
      </c>
      <c r="F711" s="4" t="s">
        <v>333</v>
      </c>
    </row>
    <row r="712" spans="1:6" ht="75" customHeight="1">
      <c r="A712" t="s">
        <v>218</v>
      </c>
      <c r="B712" t="s">
        <v>173</v>
      </c>
      <c r="C712" t="s">
        <v>331</v>
      </c>
      <c r="D712" t="s">
        <v>165</v>
      </c>
      <c r="E712" s="4">
        <f>IF(AND('Multiple Choice Questions'!$A$9="",OR('Multiple Choice Questions'!$B$9&lt;&gt;"",'Multiple Choice Questions'!$C$9&lt;&gt;"")),"This row has question details but no column letter, so Themefinder won't know where the multiple-choice answers live.","")</f>
        <v>0</v>
      </c>
      <c r="F712" s="4" t="s">
        <v>333</v>
      </c>
    </row>
    <row r="713" spans="1:6" ht="75" customHeight="1">
      <c r="A713" t="s">
        <v>218</v>
      </c>
      <c r="B713" t="s">
        <v>174</v>
      </c>
      <c r="C713" t="s">
        <v>331</v>
      </c>
      <c r="D713" t="s">
        <v>165</v>
      </c>
      <c r="E713" s="4">
        <f>IF(AND('Multiple Choice Questions'!$A$10="",OR('Multiple Choice Questions'!$B$10&lt;&gt;"",'Multiple Choice Questions'!$C$10&lt;&gt;"")),"This row has question details but no column letter, so Themefinder won't know where the multiple-choice answers live.","")</f>
        <v>0</v>
      </c>
      <c r="F713" s="4" t="s">
        <v>333</v>
      </c>
    </row>
    <row r="714" spans="1:6" ht="75" customHeight="1">
      <c r="A714" t="s">
        <v>218</v>
      </c>
      <c r="B714" t="s">
        <v>175</v>
      </c>
      <c r="C714" t="s">
        <v>331</v>
      </c>
      <c r="D714" t="s">
        <v>165</v>
      </c>
      <c r="E714" s="4">
        <f>IF(AND('Multiple Choice Questions'!$A$11="",OR('Multiple Choice Questions'!$B$11&lt;&gt;"",'Multiple Choice Questions'!$C$11&lt;&gt;"")),"This row has question details but no column letter, so Themefinder won't know where the multiple-choice answers live.","")</f>
        <v>0</v>
      </c>
      <c r="F714" s="4" t="s">
        <v>333</v>
      </c>
    </row>
    <row r="715" spans="1:6" ht="75" customHeight="1">
      <c r="A715" t="s">
        <v>218</v>
      </c>
      <c r="B715" t="s">
        <v>176</v>
      </c>
      <c r="C715" t="s">
        <v>331</v>
      </c>
      <c r="D715" t="s">
        <v>165</v>
      </c>
      <c r="E715" s="4">
        <f>IF(AND('Multiple Choice Questions'!$A$12="",OR('Multiple Choice Questions'!$B$12&lt;&gt;"",'Multiple Choice Questions'!$C$12&lt;&gt;"")),"This row has question details but no column letter, so Themefinder won't know where the multiple-choice answers live.","")</f>
        <v>0</v>
      </c>
      <c r="F715" s="4" t="s">
        <v>333</v>
      </c>
    </row>
    <row r="716" spans="1:6" ht="75" customHeight="1">
      <c r="A716" t="s">
        <v>218</v>
      </c>
      <c r="B716" t="s">
        <v>177</v>
      </c>
      <c r="C716" t="s">
        <v>331</v>
      </c>
      <c r="D716" t="s">
        <v>165</v>
      </c>
      <c r="E716" s="4">
        <f>IF(AND('Multiple Choice Questions'!$A$13="",OR('Multiple Choice Questions'!$B$13&lt;&gt;"",'Multiple Choice Questions'!$C$13&lt;&gt;"")),"This row has question details but no column letter, so Themefinder won't know where the multiple-choice answers live.","")</f>
        <v>0</v>
      </c>
      <c r="F716" s="4" t="s">
        <v>333</v>
      </c>
    </row>
    <row r="717" spans="1:6" ht="75" customHeight="1">
      <c r="A717" t="s">
        <v>218</v>
      </c>
      <c r="B717" t="s">
        <v>178</v>
      </c>
      <c r="C717" t="s">
        <v>331</v>
      </c>
      <c r="D717" t="s">
        <v>165</v>
      </c>
      <c r="E717" s="4">
        <f>IF(AND('Multiple Choice Questions'!$A$14="",OR('Multiple Choice Questions'!$B$14&lt;&gt;"",'Multiple Choice Questions'!$C$14&lt;&gt;"")),"This row has question details but no column letter, so Themefinder won't know where the multiple-choice answers live.","")</f>
        <v>0</v>
      </c>
      <c r="F717" s="4" t="s">
        <v>333</v>
      </c>
    </row>
    <row r="718" spans="1:6" ht="75" customHeight="1">
      <c r="A718" t="s">
        <v>218</v>
      </c>
      <c r="B718" t="s">
        <v>179</v>
      </c>
      <c r="C718" t="s">
        <v>331</v>
      </c>
      <c r="D718" t="s">
        <v>165</v>
      </c>
      <c r="E718" s="4">
        <f>IF(AND('Multiple Choice Questions'!$A$15="",OR('Multiple Choice Questions'!$B$15&lt;&gt;"",'Multiple Choice Questions'!$C$15&lt;&gt;"")),"This row has question details but no column letter, so Themefinder won't know where the multiple-choice answers live.","")</f>
        <v>0</v>
      </c>
      <c r="F718" s="4" t="s">
        <v>333</v>
      </c>
    </row>
    <row r="719" spans="1:6" ht="75" customHeight="1">
      <c r="A719" t="s">
        <v>218</v>
      </c>
      <c r="B719" t="s">
        <v>180</v>
      </c>
      <c r="C719" t="s">
        <v>331</v>
      </c>
      <c r="D719" t="s">
        <v>165</v>
      </c>
      <c r="E719" s="4">
        <f>IF(AND('Multiple Choice Questions'!$A$16="",OR('Multiple Choice Questions'!$B$16&lt;&gt;"",'Multiple Choice Questions'!$C$16&lt;&gt;"")),"This row has question details but no column letter, so Themefinder won't know where the multiple-choice answers live.","")</f>
        <v>0</v>
      </c>
      <c r="F719" s="4" t="s">
        <v>333</v>
      </c>
    </row>
    <row r="720" spans="1:6" ht="75" customHeight="1">
      <c r="A720" t="s">
        <v>218</v>
      </c>
      <c r="B720" t="s">
        <v>181</v>
      </c>
      <c r="C720" t="s">
        <v>331</v>
      </c>
      <c r="D720" t="s">
        <v>165</v>
      </c>
      <c r="E720" s="4">
        <f>IF(AND('Multiple Choice Questions'!$A$17="",OR('Multiple Choice Questions'!$B$17&lt;&gt;"",'Multiple Choice Questions'!$C$17&lt;&gt;"")),"This row has question details but no column letter, so Themefinder won't know where the multiple-choice answers live.","")</f>
        <v>0</v>
      </c>
      <c r="F720" s="4" t="s">
        <v>333</v>
      </c>
    </row>
    <row r="721" spans="1:6" ht="75" customHeight="1">
      <c r="A721" t="s">
        <v>218</v>
      </c>
      <c r="B721" t="s">
        <v>182</v>
      </c>
      <c r="C721" t="s">
        <v>331</v>
      </c>
      <c r="D721" t="s">
        <v>165</v>
      </c>
      <c r="E721" s="4">
        <f>IF(AND('Multiple Choice Questions'!$A$18="",OR('Multiple Choice Questions'!$B$18&lt;&gt;"",'Multiple Choice Questions'!$C$18&lt;&gt;"")),"This row has question details but no column letter, so Themefinder won't know where the multiple-choice answers live.","")</f>
        <v>0</v>
      </c>
      <c r="F721" s="4" t="s">
        <v>333</v>
      </c>
    </row>
    <row r="722" spans="1:6" ht="75" customHeight="1">
      <c r="A722" t="s">
        <v>218</v>
      </c>
      <c r="B722" t="s">
        <v>183</v>
      </c>
      <c r="C722" t="s">
        <v>331</v>
      </c>
      <c r="D722" t="s">
        <v>165</v>
      </c>
      <c r="E722" s="4">
        <f>IF(AND('Multiple Choice Questions'!$A$19="",OR('Multiple Choice Questions'!$B$19&lt;&gt;"",'Multiple Choice Questions'!$C$19&lt;&gt;"")),"This row has question details but no column letter, so Themefinder won't know where the multiple-choice answers live.","")</f>
        <v>0</v>
      </c>
      <c r="F722" s="4" t="s">
        <v>333</v>
      </c>
    </row>
    <row r="723" spans="1:6" ht="75" customHeight="1">
      <c r="A723" t="s">
        <v>218</v>
      </c>
      <c r="B723" t="s">
        <v>184</v>
      </c>
      <c r="C723" t="s">
        <v>331</v>
      </c>
      <c r="D723" t="s">
        <v>165</v>
      </c>
      <c r="E723" s="4">
        <f>IF(AND('Multiple Choice Questions'!$A$20="",OR('Multiple Choice Questions'!$B$20&lt;&gt;"",'Multiple Choice Questions'!$C$20&lt;&gt;"")),"This row has question details but no column letter, so Themefinder won't know where the multiple-choice answers live.","")</f>
        <v>0</v>
      </c>
      <c r="F723" s="4" t="s">
        <v>333</v>
      </c>
    </row>
    <row r="724" spans="1:6" ht="75" customHeight="1">
      <c r="A724" t="s">
        <v>218</v>
      </c>
      <c r="B724" t="s">
        <v>185</v>
      </c>
      <c r="C724" t="s">
        <v>331</v>
      </c>
      <c r="D724" t="s">
        <v>165</v>
      </c>
      <c r="E724" s="4">
        <f>IF(AND('Multiple Choice Questions'!$A$21="",OR('Multiple Choice Questions'!$B$21&lt;&gt;"",'Multiple Choice Questions'!$C$21&lt;&gt;"")),"This row has question details but no column letter, so Themefinder won't know where the multiple-choice answers live.","")</f>
        <v>0</v>
      </c>
      <c r="F724" s="4" t="s">
        <v>333</v>
      </c>
    </row>
    <row r="725" spans="1:6" ht="75" customHeight="1">
      <c r="A725" t="s">
        <v>218</v>
      </c>
      <c r="B725" t="s">
        <v>186</v>
      </c>
      <c r="C725" t="s">
        <v>331</v>
      </c>
      <c r="D725" t="s">
        <v>165</v>
      </c>
      <c r="E725" s="4">
        <f>IF(AND('Multiple Choice Questions'!$A$22="",OR('Multiple Choice Questions'!$B$22&lt;&gt;"",'Multiple Choice Questions'!$C$22&lt;&gt;"")),"This row has question details but no column letter, so Themefinder won't know where the multiple-choice answers live.","")</f>
        <v>0</v>
      </c>
      <c r="F725" s="4" t="s">
        <v>333</v>
      </c>
    </row>
    <row r="726" spans="1:6" ht="75" customHeight="1">
      <c r="A726" t="s">
        <v>218</v>
      </c>
      <c r="B726" t="s">
        <v>187</v>
      </c>
      <c r="C726" t="s">
        <v>331</v>
      </c>
      <c r="D726" t="s">
        <v>165</v>
      </c>
      <c r="E726" s="4">
        <f>IF(AND('Multiple Choice Questions'!$A$23="",OR('Multiple Choice Questions'!$B$23&lt;&gt;"",'Multiple Choice Questions'!$C$23&lt;&gt;"")),"This row has question details but no column letter, so Themefinder won't know where the multiple-choice answers live.","")</f>
        <v>0</v>
      </c>
      <c r="F726" s="4" t="s">
        <v>333</v>
      </c>
    </row>
    <row r="727" spans="1:6" ht="75" customHeight="1">
      <c r="A727" t="s">
        <v>218</v>
      </c>
      <c r="B727" t="s">
        <v>188</v>
      </c>
      <c r="C727" t="s">
        <v>331</v>
      </c>
      <c r="D727" t="s">
        <v>165</v>
      </c>
      <c r="E727" s="4">
        <f>IF(AND('Multiple Choice Questions'!$A$24="",OR('Multiple Choice Questions'!$B$24&lt;&gt;"",'Multiple Choice Questions'!$C$24&lt;&gt;"")),"This row has question details but no column letter, so Themefinder won't know where the multiple-choice answers live.","")</f>
        <v>0</v>
      </c>
      <c r="F727" s="4" t="s">
        <v>333</v>
      </c>
    </row>
    <row r="728" spans="1:6" ht="75" customHeight="1">
      <c r="A728" t="s">
        <v>218</v>
      </c>
      <c r="B728" t="s">
        <v>189</v>
      </c>
      <c r="C728" t="s">
        <v>331</v>
      </c>
      <c r="D728" t="s">
        <v>165</v>
      </c>
      <c r="E728" s="4">
        <f>IF(AND('Multiple Choice Questions'!$A$25="",OR('Multiple Choice Questions'!$B$25&lt;&gt;"",'Multiple Choice Questions'!$C$25&lt;&gt;"")),"This row has question details but no column letter, so Themefinder won't know where the multiple-choice answers live.","")</f>
        <v>0</v>
      </c>
      <c r="F728" s="4" t="s">
        <v>333</v>
      </c>
    </row>
    <row r="729" spans="1:6" ht="75" customHeight="1">
      <c r="A729" t="s">
        <v>218</v>
      </c>
      <c r="B729" t="s">
        <v>190</v>
      </c>
      <c r="C729" t="s">
        <v>331</v>
      </c>
      <c r="D729" t="s">
        <v>165</v>
      </c>
      <c r="E729" s="4">
        <f>IF(AND('Multiple Choice Questions'!$A$26="",OR('Multiple Choice Questions'!$B$26&lt;&gt;"",'Multiple Choice Questions'!$C$26&lt;&gt;"")),"This row has question details but no column letter, so Themefinder won't know where the multiple-choice answers live.","")</f>
        <v>0</v>
      </c>
      <c r="F729" s="4" t="s">
        <v>333</v>
      </c>
    </row>
    <row r="730" spans="1:6" ht="75" customHeight="1">
      <c r="A730" t="s">
        <v>218</v>
      </c>
      <c r="B730" t="s">
        <v>191</v>
      </c>
      <c r="C730" t="s">
        <v>331</v>
      </c>
      <c r="D730" t="s">
        <v>165</v>
      </c>
      <c r="E730" s="4">
        <f>IF(AND('Multiple Choice Questions'!$A$27="",OR('Multiple Choice Questions'!$B$27&lt;&gt;"",'Multiple Choice Questions'!$C$27&lt;&gt;"")),"This row has question details but no column letter, so Themefinder won't know where the multiple-choice answers live.","")</f>
        <v>0</v>
      </c>
      <c r="F730" s="4" t="s">
        <v>333</v>
      </c>
    </row>
    <row r="731" spans="1:6" ht="75" customHeight="1">
      <c r="A731" t="s">
        <v>218</v>
      </c>
      <c r="B731" t="s">
        <v>192</v>
      </c>
      <c r="C731" t="s">
        <v>331</v>
      </c>
      <c r="D731" t="s">
        <v>165</v>
      </c>
      <c r="E731" s="4">
        <f>IF(AND('Multiple Choice Questions'!$A$28="",OR('Multiple Choice Questions'!$B$28&lt;&gt;"",'Multiple Choice Questions'!$C$28&lt;&gt;"")),"This row has question details but no column letter, so Themefinder won't know where the multiple-choice answers live.","")</f>
        <v>0</v>
      </c>
      <c r="F731" s="4" t="s">
        <v>333</v>
      </c>
    </row>
    <row r="732" spans="1:6" ht="75" customHeight="1">
      <c r="A732" t="s">
        <v>218</v>
      </c>
      <c r="B732" t="s">
        <v>193</v>
      </c>
      <c r="C732" t="s">
        <v>331</v>
      </c>
      <c r="D732" t="s">
        <v>165</v>
      </c>
      <c r="E732" s="4">
        <f>IF(AND('Multiple Choice Questions'!$A$29="",OR('Multiple Choice Questions'!$B$29&lt;&gt;"",'Multiple Choice Questions'!$C$29&lt;&gt;"")),"This row has question details but no column letter, so Themefinder won't know where the multiple-choice answers live.","")</f>
        <v>0</v>
      </c>
      <c r="F732" s="4" t="s">
        <v>333</v>
      </c>
    </row>
    <row r="733" spans="1:6" ht="75" customHeight="1">
      <c r="A733" t="s">
        <v>218</v>
      </c>
      <c r="B733" t="s">
        <v>194</v>
      </c>
      <c r="C733" t="s">
        <v>331</v>
      </c>
      <c r="D733" t="s">
        <v>165</v>
      </c>
      <c r="E733" s="4">
        <f>IF(AND('Multiple Choice Questions'!$A$30="",OR('Multiple Choice Questions'!$B$30&lt;&gt;"",'Multiple Choice Questions'!$C$30&lt;&gt;"")),"This row has question details but no column letter, so Themefinder won't know where the multiple-choice answers live.","")</f>
        <v>0</v>
      </c>
      <c r="F733" s="4" t="s">
        <v>333</v>
      </c>
    </row>
    <row r="734" spans="1:6" ht="75" customHeight="1">
      <c r="A734" t="s">
        <v>218</v>
      </c>
      <c r="B734" t="s">
        <v>195</v>
      </c>
      <c r="C734" t="s">
        <v>331</v>
      </c>
      <c r="D734" t="s">
        <v>165</v>
      </c>
      <c r="E734" s="4">
        <f>IF(AND('Multiple Choice Questions'!$A$31="",OR('Multiple Choice Questions'!$B$31&lt;&gt;"",'Multiple Choice Questions'!$C$31&lt;&gt;"")),"This row has question details but no column letter, so Themefinder won't know where the multiple-choice answers live.","")</f>
        <v>0</v>
      </c>
      <c r="F734" s="4" t="s">
        <v>333</v>
      </c>
    </row>
    <row r="735" spans="1:6" ht="75" customHeight="1">
      <c r="A735" t="s">
        <v>218</v>
      </c>
      <c r="B735" t="s">
        <v>196</v>
      </c>
      <c r="C735" t="s">
        <v>331</v>
      </c>
      <c r="D735" t="s">
        <v>165</v>
      </c>
      <c r="E735" s="4">
        <f>IF(AND('Multiple Choice Questions'!$A$32="",OR('Multiple Choice Questions'!$B$32&lt;&gt;"",'Multiple Choice Questions'!$C$32&lt;&gt;"")),"This row has question details but no column letter, so Themefinder won't know where the multiple-choice answers live.","")</f>
        <v>0</v>
      </c>
      <c r="F735" s="4" t="s">
        <v>333</v>
      </c>
    </row>
    <row r="736" spans="1:6" ht="75" customHeight="1">
      <c r="A736" t="s">
        <v>218</v>
      </c>
      <c r="B736" t="s">
        <v>197</v>
      </c>
      <c r="C736" t="s">
        <v>331</v>
      </c>
      <c r="D736" t="s">
        <v>165</v>
      </c>
      <c r="E736" s="4">
        <f>IF(AND('Multiple Choice Questions'!$A$33="",OR('Multiple Choice Questions'!$B$33&lt;&gt;"",'Multiple Choice Questions'!$C$33&lt;&gt;"")),"This row has question details but no column letter, so Themefinder won't know where the multiple-choice answers live.","")</f>
        <v>0</v>
      </c>
      <c r="F736" s="4" t="s">
        <v>333</v>
      </c>
    </row>
    <row r="737" spans="1:6" ht="75" customHeight="1">
      <c r="A737" t="s">
        <v>218</v>
      </c>
      <c r="B737" t="s">
        <v>198</v>
      </c>
      <c r="C737" t="s">
        <v>331</v>
      </c>
      <c r="D737" t="s">
        <v>165</v>
      </c>
      <c r="E737" s="4">
        <f>IF(AND('Multiple Choice Questions'!$A$34="",OR('Multiple Choice Questions'!$B$34&lt;&gt;"",'Multiple Choice Questions'!$C$34&lt;&gt;"")),"This row has question details but no column letter, so Themefinder won't know where the multiple-choice answers live.","")</f>
        <v>0</v>
      </c>
      <c r="F737" s="4" t="s">
        <v>333</v>
      </c>
    </row>
    <row r="738" spans="1:6" ht="75" customHeight="1">
      <c r="A738" t="s">
        <v>218</v>
      </c>
      <c r="B738" t="s">
        <v>199</v>
      </c>
      <c r="C738" t="s">
        <v>331</v>
      </c>
      <c r="D738" t="s">
        <v>165</v>
      </c>
      <c r="E738" s="4">
        <f>IF(AND('Multiple Choice Questions'!$A$35="",OR('Multiple Choice Questions'!$B$35&lt;&gt;"",'Multiple Choice Questions'!$C$35&lt;&gt;"")),"This row has question details but no column letter, so Themefinder won't know where the multiple-choice answers live.","")</f>
        <v>0</v>
      </c>
      <c r="F738" s="4" t="s">
        <v>333</v>
      </c>
    </row>
    <row r="739" spans="1:6" ht="75" customHeight="1">
      <c r="A739" t="s">
        <v>218</v>
      </c>
      <c r="B739" t="s">
        <v>200</v>
      </c>
      <c r="C739" t="s">
        <v>331</v>
      </c>
      <c r="D739" t="s">
        <v>165</v>
      </c>
      <c r="E739" s="4">
        <f>IF(AND('Multiple Choice Questions'!$A$36="",OR('Multiple Choice Questions'!$B$36&lt;&gt;"",'Multiple Choice Questions'!$C$36&lt;&gt;"")),"This row has question details but no column letter, so Themefinder won't know where the multiple-choice answers live.","")</f>
        <v>0</v>
      </c>
      <c r="F739" s="4" t="s">
        <v>333</v>
      </c>
    </row>
    <row r="740" spans="1:6" ht="75" customHeight="1">
      <c r="A740" t="s">
        <v>218</v>
      </c>
      <c r="B740" t="s">
        <v>201</v>
      </c>
      <c r="C740" t="s">
        <v>331</v>
      </c>
      <c r="D740" t="s">
        <v>165</v>
      </c>
      <c r="E740" s="4">
        <f>IF(AND('Multiple Choice Questions'!$A$37="",OR('Multiple Choice Questions'!$B$37&lt;&gt;"",'Multiple Choice Questions'!$C$37&lt;&gt;"")),"This row has question details but no column letter, so Themefinder won't know where the multiple-choice answers live.","")</f>
        <v>0</v>
      </c>
      <c r="F740" s="4" t="s">
        <v>333</v>
      </c>
    </row>
    <row r="741" spans="1:6" ht="75" customHeight="1">
      <c r="A741" t="s">
        <v>218</v>
      </c>
      <c r="B741" t="s">
        <v>202</v>
      </c>
      <c r="C741" t="s">
        <v>331</v>
      </c>
      <c r="D741" t="s">
        <v>165</v>
      </c>
      <c r="E741" s="4">
        <f>IF(AND('Multiple Choice Questions'!$A$38="",OR('Multiple Choice Questions'!$B$38&lt;&gt;"",'Multiple Choice Questions'!$C$38&lt;&gt;"")),"This row has question details but no column letter, so Themefinder won't know where the multiple-choice answers live.","")</f>
        <v>0</v>
      </c>
      <c r="F741" s="4" t="s">
        <v>333</v>
      </c>
    </row>
    <row r="742" spans="1:6" ht="75" customHeight="1">
      <c r="A742" t="s">
        <v>218</v>
      </c>
      <c r="B742" t="s">
        <v>203</v>
      </c>
      <c r="C742" t="s">
        <v>331</v>
      </c>
      <c r="D742" t="s">
        <v>165</v>
      </c>
      <c r="E742" s="4">
        <f>IF(AND('Multiple Choice Questions'!$A$39="",OR('Multiple Choice Questions'!$B$39&lt;&gt;"",'Multiple Choice Questions'!$C$39&lt;&gt;"")),"This row has question details but no column letter, so Themefinder won't know where the multiple-choice answers live.","")</f>
        <v>0</v>
      </c>
      <c r="F742" s="4" t="s">
        <v>333</v>
      </c>
    </row>
    <row r="743" spans="1:6" ht="75" customHeight="1">
      <c r="A743" t="s">
        <v>218</v>
      </c>
      <c r="B743" t="s">
        <v>204</v>
      </c>
      <c r="C743" t="s">
        <v>331</v>
      </c>
      <c r="D743" t="s">
        <v>165</v>
      </c>
      <c r="E743" s="4">
        <f>IF(AND('Multiple Choice Questions'!$A$40="",OR('Multiple Choice Questions'!$B$40&lt;&gt;"",'Multiple Choice Questions'!$C$40&lt;&gt;"")),"This row has question details but no column letter, so Themefinder won't know where the multiple-choice answers live.","")</f>
        <v>0</v>
      </c>
      <c r="F743" s="4" t="s">
        <v>333</v>
      </c>
    </row>
    <row r="744" spans="1:6" ht="75" customHeight="1">
      <c r="A744" t="s">
        <v>218</v>
      </c>
      <c r="B744" t="s">
        <v>205</v>
      </c>
      <c r="C744" t="s">
        <v>331</v>
      </c>
      <c r="D744" t="s">
        <v>165</v>
      </c>
      <c r="E744" s="4">
        <f>IF(AND('Multiple Choice Questions'!$A$41="",OR('Multiple Choice Questions'!$B$41&lt;&gt;"",'Multiple Choice Questions'!$C$41&lt;&gt;"")),"This row has question details but no column letter, so Themefinder won't know where the multiple-choice answers live.","")</f>
        <v>0</v>
      </c>
      <c r="F744" s="4" t="s">
        <v>333</v>
      </c>
    </row>
    <row r="745" spans="1:6" ht="75" customHeight="1">
      <c r="A745" t="s">
        <v>218</v>
      </c>
      <c r="B745" t="s">
        <v>206</v>
      </c>
      <c r="C745" t="s">
        <v>331</v>
      </c>
      <c r="D745" t="s">
        <v>165</v>
      </c>
      <c r="E745" s="4">
        <f>IF(AND('Multiple Choice Questions'!$A$42="",OR('Multiple Choice Questions'!$B$42&lt;&gt;"",'Multiple Choice Questions'!$C$42&lt;&gt;"")),"This row has question details but no column letter, so Themefinder won't know where the multiple-choice answers live.","")</f>
        <v>0</v>
      </c>
      <c r="F745" s="4" t="s">
        <v>333</v>
      </c>
    </row>
    <row r="746" spans="1:6" ht="75" customHeight="1">
      <c r="A746" t="s">
        <v>218</v>
      </c>
      <c r="B746" t="s">
        <v>207</v>
      </c>
      <c r="C746" t="s">
        <v>331</v>
      </c>
      <c r="D746" t="s">
        <v>165</v>
      </c>
      <c r="E746" s="4">
        <f>IF(AND('Multiple Choice Questions'!$A$43="",OR('Multiple Choice Questions'!$B$43&lt;&gt;"",'Multiple Choice Questions'!$C$43&lt;&gt;"")),"This row has question details but no column letter, so Themefinder won't know where the multiple-choice answers live.","")</f>
        <v>0</v>
      </c>
      <c r="F746" s="4" t="s">
        <v>333</v>
      </c>
    </row>
    <row r="747" spans="1:6" ht="75" customHeight="1">
      <c r="A747" t="s">
        <v>218</v>
      </c>
      <c r="B747" t="s">
        <v>208</v>
      </c>
      <c r="C747" t="s">
        <v>331</v>
      </c>
      <c r="D747" t="s">
        <v>165</v>
      </c>
      <c r="E747" s="4">
        <f>IF(AND('Multiple Choice Questions'!$A$44="",OR('Multiple Choice Questions'!$B$44&lt;&gt;"",'Multiple Choice Questions'!$C$44&lt;&gt;"")),"This row has question details but no column letter, so Themefinder won't know where the multiple-choice answers live.","")</f>
        <v>0</v>
      </c>
      <c r="F747" s="4" t="s">
        <v>333</v>
      </c>
    </row>
    <row r="748" spans="1:6" ht="75" customHeight="1">
      <c r="A748" t="s">
        <v>218</v>
      </c>
      <c r="B748" t="s">
        <v>209</v>
      </c>
      <c r="C748" t="s">
        <v>331</v>
      </c>
      <c r="D748" t="s">
        <v>165</v>
      </c>
      <c r="E748" s="4">
        <f>IF(AND('Multiple Choice Questions'!$A$45="",OR('Multiple Choice Questions'!$B$45&lt;&gt;"",'Multiple Choice Questions'!$C$45&lt;&gt;"")),"This row has question details but no column letter, so Themefinder won't know where the multiple-choice answers live.","")</f>
        <v>0</v>
      </c>
      <c r="F748" s="4" t="s">
        <v>333</v>
      </c>
    </row>
    <row r="749" spans="1:6" ht="75" customHeight="1">
      <c r="A749" t="s">
        <v>218</v>
      </c>
      <c r="B749" t="s">
        <v>210</v>
      </c>
      <c r="C749" t="s">
        <v>331</v>
      </c>
      <c r="D749" t="s">
        <v>165</v>
      </c>
      <c r="E749" s="4">
        <f>IF(AND('Multiple Choice Questions'!$A$46="",OR('Multiple Choice Questions'!$B$46&lt;&gt;"",'Multiple Choice Questions'!$C$46&lt;&gt;"")),"This row has question details but no column letter, so Themefinder won't know where the multiple-choice answers live.","")</f>
        <v>0</v>
      </c>
      <c r="F749" s="4" t="s">
        <v>333</v>
      </c>
    </row>
    <row r="750" spans="1:6" ht="75" customHeight="1">
      <c r="A750" t="s">
        <v>218</v>
      </c>
      <c r="B750" t="s">
        <v>211</v>
      </c>
      <c r="C750" t="s">
        <v>331</v>
      </c>
      <c r="D750" t="s">
        <v>165</v>
      </c>
      <c r="E750" s="4">
        <f>IF(AND('Multiple Choice Questions'!$A$47="",OR('Multiple Choice Questions'!$B$47&lt;&gt;"",'Multiple Choice Questions'!$C$47&lt;&gt;"")),"This row has question details but no column letter, so Themefinder won't know where the multiple-choice answers live.","")</f>
        <v>0</v>
      </c>
      <c r="F750" s="4" t="s">
        <v>333</v>
      </c>
    </row>
    <row r="751" spans="1:6" ht="75" customHeight="1">
      <c r="A751" t="s">
        <v>218</v>
      </c>
      <c r="B751" t="s">
        <v>212</v>
      </c>
      <c r="C751" t="s">
        <v>331</v>
      </c>
      <c r="D751" t="s">
        <v>165</v>
      </c>
      <c r="E751" s="4">
        <f>IF(AND('Multiple Choice Questions'!$A$48="",OR('Multiple Choice Questions'!$B$48&lt;&gt;"",'Multiple Choice Questions'!$C$48&lt;&gt;"")),"This row has question details but no column letter, so Themefinder won't know where the multiple-choice answers live.","")</f>
        <v>0</v>
      </c>
      <c r="F751" s="4" t="s">
        <v>333</v>
      </c>
    </row>
    <row r="752" spans="1:6" ht="75" customHeight="1">
      <c r="A752" t="s">
        <v>218</v>
      </c>
      <c r="B752" t="s">
        <v>213</v>
      </c>
      <c r="C752" t="s">
        <v>331</v>
      </c>
      <c r="D752" t="s">
        <v>165</v>
      </c>
      <c r="E752" s="4">
        <f>IF(AND('Multiple Choice Questions'!$A$49="",OR('Multiple Choice Questions'!$B$49&lt;&gt;"",'Multiple Choice Questions'!$C$49&lt;&gt;"")),"This row has question details but no column letter, so Themefinder won't know where the multiple-choice answers live.","")</f>
        <v>0</v>
      </c>
      <c r="F752" s="4" t="s">
        <v>333</v>
      </c>
    </row>
    <row r="753" spans="1:6" ht="75" customHeight="1">
      <c r="A753" t="s">
        <v>218</v>
      </c>
      <c r="B753" t="s">
        <v>214</v>
      </c>
      <c r="C753" t="s">
        <v>331</v>
      </c>
      <c r="D753" t="s">
        <v>165</v>
      </c>
      <c r="E753" s="4">
        <f>IF(AND('Multiple Choice Questions'!$A$50="",OR('Multiple Choice Questions'!$B$50&lt;&gt;"",'Multiple Choice Questions'!$C$50&lt;&gt;"")),"This row has question details but no column letter, so Themefinder won't know where the multiple-choice answers live.","")</f>
        <v>0</v>
      </c>
      <c r="F753" s="4" t="s">
        <v>333</v>
      </c>
    </row>
    <row r="754" spans="1:6" ht="75" customHeight="1">
      <c r="A754" t="s">
        <v>218</v>
      </c>
      <c r="B754" t="s">
        <v>215</v>
      </c>
      <c r="C754" t="s">
        <v>331</v>
      </c>
      <c r="D754" t="s">
        <v>165</v>
      </c>
      <c r="E754" s="4">
        <f>IF(AND('Multiple Choice Questions'!$A$51="",OR('Multiple Choice Questions'!$B$51&lt;&gt;"",'Multiple Choice Questions'!$C$51&lt;&gt;"")),"This row has question details but no column letter, so Themefinder won't know where the multiple-choice answers live.","")</f>
        <v>0</v>
      </c>
      <c r="F754" s="4" t="s">
        <v>333</v>
      </c>
    </row>
    <row r="755" spans="1:6" ht="75" customHeight="1">
      <c r="A755" t="s">
        <v>334</v>
      </c>
      <c r="B755" t="s">
        <v>335</v>
      </c>
      <c r="C755" t="s">
        <v>336</v>
      </c>
      <c r="D755" t="s">
        <v>165</v>
      </c>
      <c r="E755" s="4">
        <f>IF(AND(Responses!$A$1="",COUNTA(Responses!$A$2:$A$8000)&gt;0),"Column A on Responses has answers but no header in row 1, so nobody (and Themefinder) knows what this column is.","")</f>
        <v>0</v>
      </c>
      <c r="F755" s="4" t="s">
        <v>337</v>
      </c>
    </row>
    <row r="756" spans="1:6" ht="75" customHeight="1">
      <c r="A756" t="s">
        <v>334</v>
      </c>
      <c r="B756" t="s">
        <v>338</v>
      </c>
      <c r="C756" t="s">
        <v>336</v>
      </c>
      <c r="D756" t="s">
        <v>165</v>
      </c>
      <c r="E756" s="4">
        <f>IF(AND(Responses!$B$1="",COUNTA(Responses!$B$2:$B$8000)&gt;0),"Column B on Responses has answers but no header in row 1, so nobody (and Themefinder) knows what this column is.","")</f>
        <v>0</v>
      </c>
      <c r="F756" s="4" t="s">
        <v>339</v>
      </c>
    </row>
    <row r="757" spans="1:6" ht="75" customHeight="1">
      <c r="A757" t="s">
        <v>334</v>
      </c>
      <c r="B757" t="s">
        <v>340</v>
      </c>
      <c r="C757" t="s">
        <v>336</v>
      </c>
      <c r="D757" t="s">
        <v>165</v>
      </c>
      <c r="E757" s="4">
        <f>IF(AND(Responses!$C$1="",COUNTA(Responses!$C$2:$C$8000)&gt;0),"Column C on Responses has answers but no header in row 1, so nobody (and Themefinder) knows what this column is.","")</f>
        <v>0</v>
      </c>
      <c r="F757" s="4" t="s">
        <v>341</v>
      </c>
    </row>
    <row r="758" spans="1:6" ht="75" customHeight="1">
      <c r="A758" t="s">
        <v>334</v>
      </c>
      <c r="B758" t="s">
        <v>342</v>
      </c>
      <c r="C758" t="s">
        <v>336</v>
      </c>
      <c r="D758" t="s">
        <v>165</v>
      </c>
      <c r="E758" s="4">
        <f>IF(AND(Responses!$D$1="",COUNTA(Responses!$D$2:$D$8000)&gt;0),"Column D on Responses has answers but no header in row 1, so nobody (and Themefinder) knows what this column is.","")</f>
        <v>0</v>
      </c>
      <c r="F758" s="4" t="s">
        <v>343</v>
      </c>
    </row>
    <row r="759" spans="1:6" ht="75" customHeight="1">
      <c r="A759" t="s">
        <v>334</v>
      </c>
      <c r="B759" t="s">
        <v>344</v>
      </c>
      <c r="C759" t="s">
        <v>336</v>
      </c>
      <c r="D759" t="s">
        <v>165</v>
      </c>
      <c r="E759" s="4">
        <f>IF(AND(Responses!$E$1="",COUNTA(Responses!$E$2:$E$8000)&gt;0),"Column E on Responses has answers but no header in row 1, so nobody (and Themefinder) knows what this column is.","")</f>
        <v>0</v>
      </c>
      <c r="F759" s="4" t="s">
        <v>345</v>
      </c>
    </row>
    <row r="760" spans="1:6" ht="75" customHeight="1">
      <c r="A760" t="s">
        <v>334</v>
      </c>
      <c r="B760" t="s">
        <v>346</v>
      </c>
      <c r="C760" t="s">
        <v>336</v>
      </c>
      <c r="D760" t="s">
        <v>165</v>
      </c>
      <c r="E760" s="4">
        <f>IF(AND(Responses!$F$1="",COUNTA(Responses!$F$2:$F$8000)&gt;0),"Column F on Responses has answers but no header in row 1, so nobody (and Themefinder) knows what this column is.","")</f>
        <v>0</v>
      </c>
      <c r="F760" s="4" t="s">
        <v>347</v>
      </c>
    </row>
    <row r="761" spans="1:6" ht="75" customHeight="1">
      <c r="A761" t="s">
        <v>334</v>
      </c>
      <c r="B761" t="s">
        <v>348</v>
      </c>
      <c r="C761" t="s">
        <v>336</v>
      </c>
      <c r="D761" t="s">
        <v>165</v>
      </c>
      <c r="E761" s="4">
        <f>IF(AND(Responses!$G$1="",COUNTA(Responses!$G$2:$G$8000)&gt;0),"Column G on Responses has answers but no header in row 1, so nobody (and Themefinder) knows what this column is.","")</f>
        <v>0</v>
      </c>
      <c r="F761" s="4" t="s">
        <v>349</v>
      </c>
    </row>
    <row r="762" spans="1:6" ht="75" customHeight="1">
      <c r="A762" t="s">
        <v>334</v>
      </c>
      <c r="B762" t="s">
        <v>350</v>
      </c>
      <c r="C762" t="s">
        <v>336</v>
      </c>
      <c r="D762" t="s">
        <v>165</v>
      </c>
      <c r="E762" s="4">
        <f>IF(AND(Responses!$H$1="",COUNTA(Responses!$H$2:$H$8000)&gt;0),"Column H on Responses has answers but no header in row 1, so nobody (and Themefinder) knows what this column is.","")</f>
        <v>0</v>
      </c>
      <c r="F762" s="4" t="s">
        <v>351</v>
      </c>
    </row>
    <row r="763" spans="1:6" ht="75" customHeight="1">
      <c r="A763" t="s">
        <v>334</v>
      </c>
      <c r="B763" t="s">
        <v>352</v>
      </c>
      <c r="C763" t="s">
        <v>336</v>
      </c>
      <c r="D763" t="s">
        <v>165</v>
      </c>
      <c r="E763" s="4">
        <f>IF(AND(Responses!$I$1="",COUNTA(Responses!$I$2:$I$8000)&gt;0),"Column I on Responses has answers but no header in row 1, so nobody (and Themefinder) knows what this column is.","")</f>
        <v>0</v>
      </c>
      <c r="F763" s="4" t="s">
        <v>353</v>
      </c>
    </row>
    <row r="764" spans="1:6" ht="75" customHeight="1">
      <c r="A764" t="s">
        <v>334</v>
      </c>
      <c r="B764" t="s">
        <v>354</v>
      </c>
      <c r="C764" t="s">
        <v>336</v>
      </c>
      <c r="D764" t="s">
        <v>165</v>
      </c>
      <c r="E764" s="4">
        <f>IF(AND(Responses!$J$1="",COUNTA(Responses!$J$2:$J$8000)&gt;0),"Column J on Responses has answers but no header in row 1, so nobody (and Themefinder) knows what this column is.","")</f>
        <v>0</v>
      </c>
      <c r="F764" s="4" t="s">
        <v>355</v>
      </c>
    </row>
    <row r="765" spans="1:6" ht="75" customHeight="1">
      <c r="A765" t="s">
        <v>334</v>
      </c>
      <c r="B765" t="s">
        <v>356</v>
      </c>
      <c r="C765" t="s">
        <v>336</v>
      </c>
      <c r="D765" t="s">
        <v>165</v>
      </c>
      <c r="E765" s="4">
        <f>IF(AND(Responses!$K$1="",COUNTA(Responses!$K$2:$K$8000)&gt;0),"Column K on Responses has answers but no header in row 1, so nobody (and Themefinder) knows what this column is.","")</f>
        <v>0</v>
      </c>
      <c r="F765" s="4" t="s">
        <v>357</v>
      </c>
    </row>
    <row r="766" spans="1:6" ht="75" customHeight="1">
      <c r="A766" t="s">
        <v>334</v>
      </c>
      <c r="B766" t="s">
        <v>358</v>
      </c>
      <c r="C766" t="s">
        <v>336</v>
      </c>
      <c r="D766" t="s">
        <v>165</v>
      </c>
      <c r="E766" s="4">
        <f>IF(AND(Responses!$L$1="",COUNTA(Responses!$L$2:$L$8000)&gt;0),"Column L on Responses has answers but no header in row 1, so nobody (and Themefinder) knows what this column is.","")</f>
        <v>0</v>
      </c>
      <c r="F766" s="4" t="s">
        <v>359</v>
      </c>
    </row>
    <row r="767" spans="1:6" ht="75" customHeight="1">
      <c r="A767" t="s">
        <v>334</v>
      </c>
      <c r="B767" t="s">
        <v>360</v>
      </c>
      <c r="C767" t="s">
        <v>336</v>
      </c>
      <c r="D767" t="s">
        <v>165</v>
      </c>
      <c r="E767" s="4">
        <f>IF(AND(Responses!$M$1="",COUNTA(Responses!$M$2:$M$8000)&gt;0),"Column M on Responses has answers but no header in row 1, so nobody (and Themefinder) knows what this column is.","")</f>
        <v>0</v>
      </c>
      <c r="F767" s="4" t="s">
        <v>361</v>
      </c>
    </row>
    <row r="768" spans="1:6" ht="75" customHeight="1">
      <c r="A768" t="s">
        <v>334</v>
      </c>
      <c r="B768" t="s">
        <v>362</v>
      </c>
      <c r="C768" t="s">
        <v>336</v>
      </c>
      <c r="D768" t="s">
        <v>165</v>
      </c>
      <c r="E768" s="4">
        <f>IF(AND(Responses!$N$1="",COUNTA(Responses!$N$2:$N$8000)&gt;0),"Column N on Responses has answers but no header in row 1, so nobody (and Themefinder) knows what this column is.","")</f>
        <v>0</v>
      </c>
      <c r="F768" s="4" t="s">
        <v>363</v>
      </c>
    </row>
    <row r="769" spans="1:6" ht="75" customHeight="1">
      <c r="A769" t="s">
        <v>334</v>
      </c>
      <c r="B769" t="s">
        <v>364</v>
      </c>
      <c r="C769" t="s">
        <v>336</v>
      </c>
      <c r="D769" t="s">
        <v>165</v>
      </c>
      <c r="E769" s="4">
        <f>IF(AND(Responses!$O$1="",COUNTA(Responses!$O$2:$O$8000)&gt;0),"Column O on Responses has answers but no header in row 1, so nobody (and Themefinder) knows what this column is.","")</f>
        <v>0</v>
      </c>
      <c r="F769" s="4" t="s">
        <v>365</v>
      </c>
    </row>
    <row r="770" spans="1:6" ht="75" customHeight="1">
      <c r="A770" t="s">
        <v>334</v>
      </c>
      <c r="B770" t="s">
        <v>366</v>
      </c>
      <c r="C770" t="s">
        <v>336</v>
      </c>
      <c r="D770" t="s">
        <v>165</v>
      </c>
      <c r="E770" s="4">
        <f>IF(AND(Responses!$P$1="",COUNTA(Responses!$P$2:$P$8000)&gt;0),"Column P on Responses has answers but no header in row 1, so nobody (and Themefinder) knows what this column is.","")</f>
        <v>0</v>
      </c>
      <c r="F770" s="4" t="s">
        <v>367</v>
      </c>
    </row>
    <row r="771" spans="1:6" ht="75" customHeight="1">
      <c r="A771" t="s">
        <v>334</v>
      </c>
      <c r="B771" t="s">
        <v>368</v>
      </c>
      <c r="C771" t="s">
        <v>336</v>
      </c>
      <c r="D771" t="s">
        <v>165</v>
      </c>
      <c r="E771" s="4">
        <f>IF(AND(Responses!$Q$1="",COUNTA(Responses!$Q$2:$Q$8000)&gt;0),"Column Q on Responses has answers but no header in row 1, so nobody (and Themefinder) knows what this column is.","")</f>
        <v>0</v>
      </c>
      <c r="F771" s="4" t="s">
        <v>369</v>
      </c>
    </row>
    <row r="772" spans="1:6" ht="75" customHeight="1">
      <c r="A772" t="s">
        <v>334</v>
      </c>
      <c r="B772" t="s">
        <v>370</v>
      </c>
      <c r="C772" t="s">
        <v>336</v>
      </c>
      <c r="D772" t="s">
        <v>165</v>
      </c>
      <c r="E772" s="4">
        <f>IF(AND(Responses!$R$1="",COUNTA(Responses!$R$2:$R$8000)&gt;0),"Column R on Responses has answers but no header in row 1, so nobody (and Themefinder) knows what this column is.","")</f>
        <v>0</v>
      </c>
      <c r="F772" s="4" t="s">
        <v>371</v>
      </c>
    </row>
    <row r="773" spans="1:6" ht="75" customHeight="1">
      <c r="A773" t="s">
        <v>334</v>
      </c>
      <c r="B773" t="s">
        <v>372</v>
      </c>
      <c r="C773" t="s">
        <v>336</v>
      </c>
      <c r="D773" t="s">
        <v>165</v>
      </c>
      <c r="E773" s="4">
        <f>IF(AND(Responses!$S$1="",COUNTA(Responses!$S$2:$S$8000)&gt;0),"Column S on Responses has answers but no header in row 1, so nobody (and Themefinder) knows what this column is.","")</f>
        <v>0</v>
      </c>
      <c r="F773" s="4" t="s">
        <v>373</v>
      </c>
    </row>
    <row r="774" spans="1:6" ht="75" customHeight="1">
      <c r="A774" t="s">
        <v>334</v>
      </c>
      <c r="B774" t="s">
        <v>374</v>
      </c>
      <c r="C774" t="s">
        <v>336</v>
      </c>
      <c r="D774" t="s">
        <v>165</v>
      </c>
      <c r="E774" s="4">
        <f>IF(AND(Responses!$T$1="",COUNTA(Responses!$T$2:$T$8000)&gt;0),"Column T on Responses has answers but no header in row 1, so nobody (and Themefinder) knows what this column is.","")</f>
        <v>0</v>
      </c>
      <c r="F774" s="4" t="s">
        <v>375</v>
      </c>
    </row>
    <row r="775" spans="1:6" ht="75" customHeight="1">
      <c r="A775" t="s">
        <v>334</v>
      </c>
      <c r="B775" t="s">
        <v>376</v>
      </c>
      <c r="C775" t="s">
        <v>336</v>
      </c>
      <c r="D775" t="s">
        <v>165</v>
      </c>
      <c r="E775" s="4">
        <f>IF(AND(Responses!$U$1="",COUNTA(Responses!$U$2:$U$8000)&gt;0),"Column U on Responses has answers but no header in row 1, so nobody (and Themefinder) knows what this column is.","")</f>
        <v>0</v>
      </c>
      <c r="F775" s="4" t="s">
        <v>377</v>
      </c>
    </row>
    <row r="776" spans="1:6" ht="75" customHeight="1">
      <c r="A776" t="s">
        <v>334</v>
      </c>
      <c r="B776" t="s">
        <v>378</v>
      </c>
      <c r="C776" t="s">
        <v>336</v>
      </c>
      <c r="D776" t="s">
        <v>165</v>
      </c>
      <c r="E776" s="4">
        <f>IF(AND(Responses!$V$1="",COUNTA(Responses!$V$2:$V$8000)&gt;0),"Column V on Responses has answers but no header in row 1, so nobody (and Themefinder) knows what this column is.","")</f>
        <v>0</v>
      </c>
      <c r="F776" s="4" t="s">
        <v>379</v>
      </c>
    </row>
    <row r="777" spans="1:6" ht="75" customHeight="1">
      <c r="A777" t="s">
        <v>334</v>
      </c>
      <c r="B777" t="s">
        <v>380</v>
      </c>
      <c r="C777" t="s">
        <v>336</v>
      </c>
      <c r="D777" t="s">
        <v>165</v>
      </c>
      <c r="E777" s="4">
        <f>IF(AND(Responses!$W$1="",COUNTA(Responses!$W$2:$W$8000)&gt;0),"Column W on Responses has answers but no header in row 1, so nobody (and Themefinder) knows what this column is.","")</f>
        <v>0</v>
      </c>
      <c r="F777" s="4" t="s">
        <v>381</v>
      </c>
    </row>
    <row r="778" spans="1:6" ht="75" customHeight="1">
      <c r="A778" t="s">
        <v>334</v>
      </c>
      <c r="B778" t="s">
        <v>382</v>
      </c>
      <c r="C778" t="s">
        <v>336</v>
      </c>
      <c r="D778" t="s">
        <v>165</v>
      </c>
      <c r="E778" s="4">
        <f>IF(AND(Responses!$X$1="",COUNTA(Responses!$X$2:$X$8000)&gt;0),"Column X on Responses has answers but no header in row 1, so nobody (and Themefinder) knows what this column is.","")</f>
        <v>0</v>
      </c>
      <c r="F778" s="4" t="s">
        <v>383</v>
      </c>
    </row>
    <row r="779" spans="1:6" ht="75" customHeight="1">
      <c r="A779" t="s">
        <v>334</v>
      </c>
      <c r="B779" t="s">
        <v>384</v>
      </c>
      <c r="C779" t="s">
        <v>336</v>
      </c>
      <c r="D779" t="s">
        <v>165</v>
      </c>
      <c r="E779" s="4">
        <f>IF(AND(Responses!$Y$1="",COUNTA(Responses!$Y$2:$Y$8000)&gt;0),"Column Y on Responses has answers but no header in row 1, so nobody (and Themefinder) knows what this column is.","")</f>
        <v>0</v>
      </c>
      <c r="F779" s="4" t="s">
        <v>385</v>
      </c>
    </row>
    <row r="780" spans="1:6" ht="75" customHeight="1">
      <c r="A780" t="s">
        <v>334</v>
      </c>
      <c r="B780" t="s">
        <v>386</v>
      </c>
      <c r="C780" t="s">
        <v>336</v>
      </c>
      <c r="D780" t="s">
        <v>165</v>
      </c>
      <c r="E780" s="4">
        <f>IF(AND(Responses!$Z$1="",COUNTA(Responses!$Z$2:$Z$8000)&gt;0),"Column Z on Responses has answers but no header in row 1, so nobody (and Themefinder) knows what this column is.","")</f>
        <v>0</v>
      </c>
      <c r="F780" s="4" t="s">
        <v>387</v>
      </c>
    </row>
    <row r="781" spans="1:6" ht="75" customHeight="1">
      <c r="A781" t="s">
        <v>334</v>
      </c>
      <c r="B781" t="s">
        <v>388</v>
      </c>
      <c r="C781" t="s">
        <v>336</v>
      </c>
      <c r="D781" t="s">
        <v>165</v>
      </c>
      <c r="E781" s="4">
        <f>IF(AND(Responses!$AA$1="",COUNTA(Responses!$AA$2:$AA$8000)&gt;0),"Column AA on Responses has answers but no header in row 1, so nobody (and Themefinder) knows what this column is.","")</f>
        <v>0</v>
      </c>
      <c r="F781" s="4" t="s">
        <v>389</v>
      </c>
    </row>
    <row r="782" spans="1:6" ht="75" customHeight="1">
      <c r="A782" t="s">
        <v>334</v>
      </c>
      <c r="B782" t="s">
        <v>390</v>
      </c>
      <c r="C782" t="s">
        <v>336</v>
      </c>
      <c r="D782" t="s">
        <v>165</v>
      </c>
      <c r="E782" s="4">
        <f>IF(AND(Responses!$AB$1="",COUNTA(Responses!$AB$2:$AB$8000)&gt;0),"Column AB on Responses has answers but no header in row 1, so nobody (and Themefinder) knows what this column is.","")</f>
        <v>0</v>
      </c>
      <c r="F782" s="4" t="s">
        <v>391</v>
      </c>
    </row>
    <row r="783" spans="1:6" ht="75" customHeight="1">
      <c r="A783" t="s">
        <v>334</v>
      </c>
      <c r="B783" t="s">
        <v>392</v>
      </c>
      <c r="C783" t="s">
        <v>336</v>
      </c>
      <c r="D783" t="s">
        <v>165</v>
      </c>
      <c r="E783" s="4">
        <f>IF(AND(Responses!$AC$1="",COUNTA(Responses!$AC$2:$AC$8000)&gt;0),"Column AC on Responses has answers but no header in row 1, so nobody (and Themefinder) knows what this column is.","")</f>
        <v>0</v>
      </c>
      <c r="F783" s="4" t="s">
        <v>393</v>
      </c>
    </row>
    <row r="784" spans="1:6" ht="75" customHeight="1">
      <c r="A784" t="s">
        <v>334</v>
      </c>
      <c r="B784" t="s">
        <v>394</v>
      </c>
      <c r="C784" t="s">
        <v>336</v>
      </c>
      <c r="D784" t="s">
        <v>165</v>
      </c>
      <c r="E784" s="4">
        <f>IF(AND(Responses!$AD$1="",COUNTA(Responses!$AD$2:$AD$8000)&gt;0),"Column AD on Responses has answers but no header in row 1, so nobody (and Themefinder) knows what this column is.","")</f>
        <v>0</v>
      </c>
      <c r="F784" s="4" t="s">
        <v>395</v>
      </c>
    </row>
    <row r="785" spans="1:6" ht="75" customHeight="1">
      <c r="A785" t="s">
        <v>334</v>
      </c>
      <c r="B785" t="s">
        <v>396</v>
      </c>
      <c r="C785" t="s">
        <v>336</v>
      </c>
      <c r="D785" t="s">
        <v>165</v>
      </c>
      <c r="E785" s="4">
        <f>IF(AND(Responses!$AE$1="",COUNTA(Responses!$AE$2:$AE$8000)&gt;0),"Column AE on Responses has answers but no header in row 1, so nobody (and Themefinder) knows what this column is.","")</f>
        <v>0</v>
      </c>
      <c r="F785" s="4" t="s">
        <v>397</v>
      </c>
    </row>
    <row r="786" spans="1:6" ht="75" customHeight="1">
      <c r="A786" t="s">
        <v>334</v>
      </c>
      <c r="B786" t="s">
        <v>398</v>
      </c>
      <c r="C786" t="s">
        <v>336</v>
      </c>
      <c r="D786" t="s">
        <v>165</v>
      </c>
      <c r="E786" s="4">
        <f>IF(AND(Responses!$AF$1="",COUNTA(Responses!$AF$2:$AF$8000)&gt;0),"Column AF on Responses has answers but no header in row 1, so nobody (and Themefinder) knows what this column is.","")</f>
        <v>0</v>
      </c>
      <c r="F786" s="4" t="s">
        <v>399</v>
      </c>
    </row>
    <row r="787" spans="1:6" ht="75" customHeight="1">
      <c r="A787" t="s">
        <v>334</v>
      </c>
      <c r="B787" t="s">
        <v>400</v>
      </c>
      <c r="C787" t="s">
        <v>336</v>
      </c>
      <c r="D787" t="s">
        <v>165</v>
      </c>
      <c r="E787" s="4">
        <f>IF(AND(Responses!$AG$1="",COUNTA(Responses!$AG$2:$AG$8000)&gt;0),"Column AG on Responses has answers but no header in row 1, so nobody (and Themefinder) knows what this column is.","")</f>
        <v>0</v>
      </c>
      <c r="F787" s="4" t="s">
        <v>401</v>
      </c>
    </row>
    <row r="788" spans="1:6" ht="75" customHeight="1">
      <c r="A788" t="s">
        <v>334</v>
      </c>
      <c r="B788" t="s">
        <v>402</v>
      </c>
      <c r="C788" t="s">
        <v>336</v>
      </c>
      <c r="D788" t="s">
        <v>165</v>
      </c>
      <c r="E788" s="4">
        <f>IF(AND(Responses!$AH$1="",COUNTA(Responses!$AH$2:$AH$8000)&gt;0),"Column AH on Responses has answers but no header in row 1, so nobody (and Themefinder) knows what this column is.","")</f>
        <v>0</v>
      </c>
      <c r="F788" s="4" t="s">
        <v>403</v>
      </c>
    </row>
    <row r="789" spans="1:6" ht="75" customHeight="1">
      <c r="A789" t="s">
        <v>334</v>
      </c>
      <c r="B789" t="s">
        <v>404</v>
      </c>
      <c r="C789" t="s">
        <v>336</v>
      </c>
      <c r="D789" t="s">
        <v>165</v>
      </c>
      <c r="E789" s="4">
        <f>IF(AND(Responses!$AI$1="",COUNTA(Responses!$AI$2:$AI$8000)&gt;0),"Column AI on Responses has answers but no header in row 1, so nobody (and Themefinder) knows what this column is.","")</f>
        <v>0</v>
      </c>
      <c r="F789" s="4" t="s">
        <v>405</v>
      </c>
    </row>
    <row r="790" spans="1:6" ht="75" customHeight="1">
      <c r="A790" t="s">
        <v>334</v>
      </c>
      <c r="B790" t="s">
        <v>406</v>
      </c>
      <c r="C790" t="s">
        <v>336</v>
      </c>
      <c r="D790" t="s">
        <v>165</v>
      </c>
      <c r="E790" s="4">
        <f>IF(AND(Responses!$AJ$1="",COUNTA(Responses!$AJ$2:$AJ$8000)&gt;0),"Column AJ on Responses has answers but no header in row 1, so nobody (and Themefinder) knows what this column is.","")</f>
        <v>0</v>
      </c>
      <c r="F790" s="4" t="s">
        <v>407</v>
      </c>
    </row>
    <row r="791" spans="1:6" ht="75" customHeight="1">
      <c r="A791" t="s">
        <v>334</v>
      </c>
      <c r="B791" t="s">
        <v>408</v>
      </c>
      <c r="C791" t="s">
        <v>336</v>
      </c>
      <c r="D791" t="s">
        <v>165</v>
      </c>
      <c r="E791" s="4">
        <f>IF(AND(Responses!$AK$1="",COUNTA(Responses!$AK$2:$AK$8000)&gt;0),"Column AK on Responses has answers but no header in row 1, so nobody (and Themefinder) knows what this column is.","")</f>
        <v>0</v>
      </c>
      <c r="F791" s="4" t="s">
        <v>409</v>
      </c>
    </row>
    <row r="792" spans="1:6" ht="75" customHeight="1">
      <c r="A792" t="s">
        <v>334</v>
      </c>
      <c r="B792" t="s">
        <v>410</v>
      </c>
      <c r="C792" t="s">
        <v>336</v>
      </c>
      <c r="D792" t="s">
        <v>165</v>
      </c>
      <c r="E792" s="4">
        <f>IF(AND(Responses!$AL$1="",COUNTA(Responses!$AL$2:$AL$8000)&gt;0),"Column AL on Responses has answers but no header in row 1, so nobody (and Themefinder) knows what this column is.","")</f>
        <v>0</v>
      </c>
      <c r="F792" s="4" t="s">
        <v>411</v>
      </c>
    </row>
    <row r="793" spans="1:6" ht="75" customHeight="1">
      <c r="A793" t="s">
        <v>334</v>
      </c>
      <c r="B793" t="s">
        <v>412</v>
      </c>
      <c r="C793" t="s">
        <v>336</v>
      </c>
      <c r="D793" t="s">
        <v>165</v>
      </c>
      <c r="E793" s="4">
        <f>IF(AND(Responses!$AM$1="",COUNTA(Responses!$AM$2:$AM$8000)&gt;0),"Column AM on Responses has answers but no header in row 1, so nobody (and Themefinder) knows what this column is.","")</f>
        <v>0</v>
      </c>
      <c r="F793" s="4" t="s">
        <v>413</v>
      </c>
    </row>
    <row r="794" spans="1:6" ht="75" customHeight="1">
      <c r="A794" t="s">
        <v>334</v>
      </c>
      <c r="B794" t="s">
        <v>414</v>
      </c>
      <c r="C794" t="s">
        <v>336</v>
      </c>
      <c r="D794" t="s">
        <v>165</v>
      </c>
      <c r="E794" s="4">
        <f>IF(AND(Responses!$AN$1="",COUNTA(Responses!$AN$2:$AN$8000)&gt;0),"Column AN on Responses has answers but no header in row 1, so nobody (and Themefinder) knows what this column is.","")</f>
        <v>0</v>
      </c>
      <c r="F794" s="4" t="s">
        <v>415</v>
      </c>
    </row>
    <row r="795" spans="1:6" ht="75" customHeight="1">
      <c r="A795" t="s">
        <v>334</v>
      </c>
      <c r="B795" t="s">
        <v>416</v>
      </c>
      <c r="C795" t="s">
        <v>336</v>
      </c>
      <c r="D795" t="s">
        <v>165</v>
      </c>
      <c r="E795" s="4">
        <f>IF(AND(Responses!$AO$1="",COUNTA(Responses!$AO$2:$AO$8000)&gt;0),"Column AO on Responses has answers but no header in row 1, so nobody (and Themefinder) knows what this column is.","")</f>
        <v>0</v>
      </c>
      <c r="F795" s="4" t="s">
        <v>417</v>
      </c>
    </row>
    <row r="796" spans="1:6" ht="75" customHeight="1">
      <c r="A796" t="s">
        <v>334</v>
      </c>
      <c r="B796" t="s">
        <v>418</v>
      </c>
      <c r="C796" t="s">
        <v>336</v>
      </c>
      <c r="D796" t="s">
        <v>165</v>
      </c>
      <c r="E796" s="4">
        <f>IF(AND(Responses!$AP$1="",COUNTA(Responses!$AP$2:$AP$8000)&gt;0),"Column AP on Responses has answers but no header in row 1, so nobody (and Themefinder) knows what this column is.","")</f>
        <v>0</v>
      </c>
      <c r="F796" s="4" t="s">
        <v>419</v>
      </c>
    </row>
    <row r="797" spans="1:6" ht="75" customHeight="1">
      <c r="A797" t="s">
        <v>334</v>
      </c>
      <c r="B797" t="s">
        <v>420</v>
      </c>
      <c r="C797" t="s">
        <v>336</v>
      </c>
      <c r="D797" t="s">
        <v>165</v>
      </c>
      <c r="E797" s="4">
        <f>IF(AND(Responses!$AQ$1="",COUNTA(Responses!$AQ$2:$AQ$8000)&gt;0),"Column AQ on Responses has answers but no header in row 1, so nobody (and Themefinder) knows what this column is.","")</f>
        <v>0</v>
      </c>
      <c r="F797" s="4" t="s">
        <v>421</v>
      </c>
    </row>
    <row r="798" spans="1:6" ht="75" customHeight="1">
      <c r="A798" t="s">
        <v>334</v>
      </c>
      <c r="B798" t="s">
        <v>422</v>
      </c>
      <c r="C798" t="s">
        <v>336</v>
      </c>
      <c r="D798" t="s">
        <v>165</v>
      </c>
      <c r="E798" s="4">
        <f>IF(AND(Responses!$AR$1="",COUNTA(Responses!$AR$2:$AR$8000)&gt;0),"Column AR on Responses has answers but no header in row 1, so nobody (and Themefinder) knows what this column is.","")</f>
        <v>0</v>
      </c>
      <c r="F798" s="4" t="s">
        <v>423</v>
      </c>
    </row>
    <row r="799" spans="1:6" ht="75" customHeight="1">
      <c r="A799" t="s">
        <v>334</v>
      </c>
      <c r="B799" t="s">
        <v>424</v>
      </c>
      <c r="C799" t="s">
        <v>336</v>
      </c>
      <c r="D799" t="s">
        <v>165</v>
      </c>
      <c r="E799" s="4">
        <f>IF(AND(Responses!$AS$1="",COUNTA(Responses!$AS$2:$AS$8000)&gt;0),"Column AS on Responses has answers but no header in row 1, so nobody (and Themefinder) knows what this column is.","")</f>
        <v>0</v>
      </c>
      <c r="F799" s="4" t="s">
        <v>425</v>
      </c>
    </row>
    <row r="800" spans="1:6" ht="75" customHeight="1">
      <c r="A800" t="s">
        <v>334</v>
      </c>
      <c r="B800" t="s">
        <v>426</v>
      </c>
      <c r="C800" t="s">
        <v>336</v>
      </c>
      <c r="D800" t="s">
        <v>165</v>
      </c>
      <c r="E800" s="4">
        <f>IF(AND(Responses!$AT$1="",COUNTA(Responses!$AT$2:$AT$8000)&gt;0),"Column AT on Responses has answers but no header in row 1, so nobody (and Themefinder) knows what this column is.","")</f>
        <v>0</v>
      </c>
      <c r="F800" s="4" t="s">
        <v>427</v>
      </c>
    </row>
    <row r="801" spans="1:6" ht="75" customHeight="1">
      <c r="A801" t="s">
        <v>334</v>
      </c>
      <c r="B801" t="s">
        <v>428</v>
      </c>
      <c r="C801" t="s">
        <v>336</v>
      </c>
      <c r="D801" t="s">
        <v>165</v>
      </c>
      <c r="E801" s="4">
        <f>IF(AND(Responses!$AU$1="",COUNTA(Responses!$AU$2:$AU$8000)&gt;0),"Column AU on Responses has answers but no header in row 1, so nobody (and Themefinder) knows what this column is.","")</f>
        <v>0</v>
      </c>
      <c r="F801" s="4" t="s">
        <v>429</v>
      </c>
    </row>
    <row r="802" spans="1:6" ht="75" customHeight="1">
      <c r="A802" t="s">
        <v>334</v>
      </c>
      <c r="B802" t="s">
        <v>430</v>
      </c>
      <c r="C802" t="s">
        <v>336</v>
      </c>
      <c r="D802" t="s">
        <v>165</v>
      </c>
      <c r="E802" s="4">
        <f>IF(AND(Responses!$AV$1="",COUNTA(Responses!$AV$2:$AV$8000)&gt;0),"Column AV on Responses has answers but no header in row 1, so nobody (and Themefinder) knows what this column is.","")</f>
        <v>0</v>
      </c>
      <c r="F802" s="4" t="s">
        <v>431</v>
      </c>
    </row>
    <row r="803" spans="1:6" ht="75" customHeight="1">
      <c r="A803" t="s">
        <v>334</v>
      </c>
      <c r="B803" t="s">
        <v>432</v>
      </c>
      <c r="C803" t="s">
        <v>336</v>
      </c>
      <c r="D803" t="s">
        <v>165</v>
      </c>
      <c r="E803" s="4">
        <f>IF(AND(Responses!$AW$1="",COUNTA(Responses!$AW$2:$AW$8000)&gt;0),"Column AW on Responses has answers but no header in row 1, so nobody (and Themefinder) knows what this column is.","")</f>
        <v>0</v>
      </c>
      <c r="F803" s="4" t="s">
        <v>433</v>
      </c>
    </row>
    <row r="804" spans="1:6" ht="75" customHeight="1">
      <c r="A804" t="s">
        <v>334</v>
      </c>
      <c r="B804" t="s">
        <v>434</v>
      </c>
      <c r="C804" t="s">
        <v>336</v>
      </c>
      <c r="D804" t="s">
        <v>165</v>
      </c>
      <c r="E804" s="4">
        <f>IF(AND(Responses!$AX$1="",COUNTA(Responses!$AX$2:$AX$8000)&gt;0),"Column AX on Responses has answers but no header in row 1, so nobody (and Themefinder) knows what this column is.","")</f>
        <v>0</v>
      </c>
      <c r="F804" s="4" t="s">
        <v>435</v>
      </c>
    </row>
    <row r="805" spans="1:6" ht="75" customHeight="1">
      <c r="A805" t="s">
        <v>334</v>
      </c>
      <c r="B805" t="s">
        <v>436</v>
      </c>
      <c r="C805" t="s">
        <v>336</v>
      </c>
      <c r="D805" t="s">
        <v>165</v>
      </c>
      <c r="E805" s="4">
        <f>IF(AND(Responses!$AY$1="",COUNTA(Responses!$AY$2:$AY$8000)&gt;0),"Column AY on Responses has answers but no header in row 1, so nobody (and Themefinder) knows what this column is.","")</f>
        <v>0</v>
      </c>
      <c r="F805" s="4" t="s">
        <v>437</v>
      </c>
    </row>
    <row r="806" spans="1:6" ht="75" customHeight="1">
      <c r="A806" t="s">
        <v>334</v>
      </c>
      <c r="B806" t="s">
        <v>438</v>
      </c>
      <c r="C806" t="s">
        <v>336</v>
      </c>
      <c r="D806" t="s">
        <v>165</v>
      </c>
      <c r="E806" s="4">
        <f>IF(AND(Responses!$AZ$1="",COUNTA(Responses!$AZ$2:$AZ$8000)&gt;0),"Column AZ on Responses has answers but no header in row 1, so nobody (and Themefinder) knows what this column is.","")</f>
        <v>0</v>
      </c>
      <c r="F806" s="4" t="s">
        <v>439</v>
      </c>
    </row>
    <row r="807" spans="1:6" ht="75" customHeight="1">
      <c r="A807" t="s">
        <v>334</v>
      </c>
      <c r="B807" t="s">
        <v>440</v>
      </c>
      <c r="C807" t="s">
        <v>336</v>
      </c>
      <c r="D807" t="s">
        <v>165</v>
      </c>
      <c r="E807" s="4">
        <f>IF(AND(Responses!$BA$1="",COUNTA(Responses!$BA$2:$BA$8000)&gt;0),"Column BA on Responses has answers but no header in row 1, so nobody (and Themefinder) knows what this column is.","")</f>
        <v>0</v>
      </c>
      <c r="F807" s="4" t="s">
        <v>441</v>
      </c>
    </row>
    <row r="808" spans="1:6" ht="75" customHeight="1">
      <c r="A808" t="s">
        <v>334</v>
      </c>
      <c r="B808" t="s">
        <v>442</v>
      </c>
      <c r="C808" t="s">
        <v>336</v>
      </c>
      <c r="D808" t="s">
        <v>165</v>
      </c>
      <c r="E808" s="4">
        <f>IF(AND(Responses!$BB$1="",COUNTA(Responses!$BB$2:$BB$8000)&gt;0),"Column BB on Responses has answers but no header in row 1, so nobody (and Themefinder) knows what this column is.","")</f>
        <v>0</v>
      </c>
      <c r="F808" s="4" t="s">
        <v>443</v>
      </c>
    </row>
    <row r="809" spans="1:6" ht="75" customHeight="1">
      <c r="A809" t="s">
        <v>334</v>
      </c>
      <c r="B809" t="s">
        <v>444</v>
      </c>
      <c r="C809" t="s">
        <v>336</v>
      </c>
      <c r="D809" t="s">
        <v>165</v>
      </c>
      <c r="E809" s="4">
        <f>IF(AND(Responses!$BC$1="",COUNTA(Responses!$BC$2:$BC$8000)&gt;0),"Column BC on Responses has answers but no header in row 1, so nobody (and Themefinder) knows what this column is.","")</f>
        <v>0</v>
      </c>
      <c r="F809" s="4" t="s">
        <v>445</v>
      </c>
    </row>
    <row r="810" spans="1:6" ht="75" customHeight="1">
      <c r="A810" t="s">
        <v>334</v>
      </c>
      <c r="B810" t="s">
        <v>446</v>
      </c>
      <c r="C810" t="s">
        <v>336</v>
      </c>
      <c r="D810" t="s">
        <v>165</v>
      </c>
      <c r="E810" s="4">
        <f>IF(AND(Responses!$BD$1="",COUNTA(Responses!$BD$2:$BD$8000)&gt;0),"Column BD on Responses has answers but no header in row 1, so nobody (and Themefinder) knows what this column is.","")</f>
        <v>0</v>
      </c>
      <c r="F810" s="4" t="s">
        <v>447</v>
      </c>
    </row>
    <row r="811" spans="1:6" ht="75" customHeight="1">
      <c r="A811" t="s">
        <v>334</v>
      </c>
      <c r="B811" t="s">
        <v>448</v>
      </c>
      <c r="C811" t="s">
        <v>336</v>
      </c>
      <c r="D811" t="s">
        <v>165</v>
      </c>
      <c r="E811" s="4">
        <f>IF(AND(Responses!$BE$1="",COUNTA(Responses!$BE$2:$BE$8000)&gt;0),"Column BE on Responses has answers but no header in row 1, so nobody (and Themefinder) knows what this column is.","")</f>
        <v>0</v>
      </c>
      <c r="F811" s="4" t="s">
        <v>449</v>
      </c>
    </row>
    <row r="812" spans="1:6" ht="75" customHeight="1">
      <c r="A812" t="s">
        <v>334</v>
      </c>
      <c r="B812" t="s">
        <v>450</v>
      </c>
      <c r="C812" t="s">
        <v>336</v>
      </c>
      <c r="D812" t="s">
        <v>165</v>
      </c>
      <c r="E812" s="4">
        <f>IF(AND(Responses!$BF$1="",COUNTA(Responses!$BF$2:$BF$8000)&gt;0),"Column BF on Responses has answers but no header in row 1, so nobody (and Themefinder) knows what this column is.","")</f>
        <v>0</v>
      </c>
      <c r="F812" s="4" t="s">
        <v>451</v>
      </c>
    </row>
    <row r="813" spans="1:6" ht="75" customHeight="1">
      <c r="A813" t="s">
        <v>334</v>
      </c>
      <c r="B813" t="s">
        <v>452</v>
      </c>
      <c r="C813" t="s">
        <v>336</v>
      </c>
      <c r="D813" t="s">
        <v>165</v>
      </c>
      <c r="E813" s="4">
        <f>IF(AND(Responses!$BG$1="",COUNTA(Responses!$BG$2:$BG$8000)&gt;0),"Column BG on Responses has answers but no header in row 1, so nobody (and Themefinder) knows what this column is.","")</f>
        <v>0</v>
      </c>
      <c r="F813" s="4" t="s">
        <v>453</v>
      </c>
    </row>
    <row r="814" spans="1:6" ht="75" customHeight="1">
      <c r="A814" t="s">
        <v>334</v>
      </c>
      <c r="B814" t="s">
        <v>454</v>
      </c>
      <c r="C814" t="s">
        <v>336</v>
      </c>
      <c r="D814" t="s">
        <v>165</v>
      </c>
      <c r="E814" s="4">
        <f>IF(AND(Responses!$BH$1="",COUNTA(Responses!$BH$2:$BH$8000)&gt;0),"Column BH on Responses has answers but no header in row 1, so nobody (and Themefinder) knows what this column is.","")</f>
        <v>0</v>
      </c>
      <c r="F814" s="4" t="s">
        <v>455</v>
      </c>
    </row>
    <row r="815" spans="1:6" ht="75" customHeight="1">
      <c r="A815" t="s">
        <v>334</v>
      </c>
      <c r="B815" t="s">
        <v>456</v>
      </c>
      <c r="C815" t="s">
        <v>336</v>
      </c>
      <c r="D815" t="s">
        <v>165</v>
      </c>
      <c r="E815" s="4">
        <f>IF(AND(Responses!$BI$1="",COUNTA(Responses!$BI$2:$BI$8000)&gt;0),"Column BI on Responses has answers but no header in row 1, so nobody (and Themefinder) knows what this column is.","")</f>
        <v>0</v>
      </c>
      <c r="F815" s="4" t="s">
        <v>457</v>
      </c>
    </row>
    <row r="816" spans="1:6" ht="75" customHeight="1">
      <c r="A816" t="s">
        <v>334</v>
      </c>
      <c r="B816" t="s">
        <v>458</v>
      </c>
      <c r="C816" t="s">
        <v>336</v>
      </c>
      <c r="D816" t="s">
        <v>165</v>
      </c>
      <c r="E816" s="4">
        <f>IF(AND(Responses!$BJ$1="",COUNTA(Responses!$BJ$2:$BJ$8000)&gt;0),"Column BJ on Responses has answers but no header in row 1, so nobody (and Themefinder) knows what this column is.","")</f>
        <v>0</v>
      </c>
      <c r="F816" s="4" t="s">
        <v>459</v>
      </c>
    </row>
    <row r="817" spans="1:6" ht="75" customHeight="1">
      <c r="A817" t="s">
        <v>334</v>
      </c>
      <c r="B817" t="s">
        <v>460</v>
      </c>
      <c r="C817" t="s">
        <v>336</v>
      </c>
      <c r="D817" t="s">
        <v>165</v>
      </c>
      <c r="E817" s="4">
        <f>IF(AND(Responses!$BK$1="",COUNTA(Responses!$BK$2:$BK$8000)&gt;0),"Column BK on Responses has answers but no header in row 1, so nobody (and Themefinder) knows what this column is.","")</f>
        <v>0</v>
      </c>
      <c r="F817" s="4" t="s">
        <v>461</v>
      </c>
    </row>
    <row r="818" spans="1:6" ht="75" customHeight="1">
      <c r="A818" t="s">
        <v>334</v>
      </c>
      <c r="B818" t="s">
        <v>462</v>
      </c>
      <c r="C818" t="s">
        <v>336</v>
      </c>
      <c r="D818" t="s">
        <v>165</v>
      </c>
      <c r="E818" s="4">
        <f>IF(AND(Responses!$BL$1="",COUNTA(Responses!$BL$2:$BL$8000)&gt;0),"Column BL on Responses has answers but no header in row 1, so nobody (and Themefinder) knows what this column is.","")</f>
        <v>0</v>
      </c>
      <c r="F818" s="4" t="s">
        <v>463</v>
      </c>
    </row>
    <row r="819" spans="1:6" ht="75" customHeight="1">
      <c r="A819" t="s">
        <v>334</v>
      </c>
      <c r="B819" t="s">
        <v>464</v>
      </c>
      <c r="C819" t="s">
        <v>336</v>
      </c>
      <c r="D819" t="s">
        <v>165</v>
      </c>
      <c r="E819" s="4">
        <f>IF(AND(Responses!$BM$1="",COUNTA(Responses!$BM$2:$BM$8000)&gt;0),"Column BM on Responses has answers but no header in row 1, so nobody (and Themefinder) knows what this column is.","")</f>
        <v>0</v>
      </c>
      <c r="F819" s="4" t="s">
        <v>465</v>
      </c>
    </row>
    <row r="820" spans="1:6" ht="75" customHeight="1">
      <c r="A820" t="s">
        <v>334</v>
      </c>
      <c r="B820" t="s">
        <v>466</v>
      </c>
      <c r="C820" t="s">
        <v>336</v>
      </c>
      <c r="D820" t="s">
        <v>165</v>
      </c>
      <c r="E820" s="4">
        <f>IF(AND(Responses!$BN$1="",COUNTA(Responses!$BN$2:$BN$8000)&gt;0),"Column BN on Responses has answers but no header in row 1, so nobody (and Themefinder) knows what this column is.","")</f>
        <v>0</v>
      </c>
      <c r="F820" s="4" t="s">
        <v>467</v>
      </c>
    </row>
    <row r="821" spans="1:6" ht="75" customHeight="1">
      <c r="A821" t="s">
        <v>334</v>
      </c>
      <c r="B821" t="s">
        <v>468</v>
      </c>
      <c r="C821" t="s">
        <v>336</v>
      </c>
      <c r="D821" t="s">
        <v>165</v>
      </c>
      <c r="E821" s="4">
        <f>IF(AND(Responses!$BO$1="",COUNTA(Responses!$BO$2:$BO$8000)&gt;0),"Column BO on Responses has answers but no header in row 1, so nobody (and Themefinder) knows what this column is.","")</f>
        <v>0</v>
      </c>
      <c r="F821" s="4" t="s">
        <v>469</v>
      </c>
    </row>
    <row r="822" spans="1:6" ht="75" customHeight="1">
      <c r="A822" t="s">
        <v>334</v>
      </c>
      <c r="B822" t="s">
        <v>470</v>
      </c>
      <c r="C822" t="s">
        <v>336</v>
      </c>
      <c r="D822" t="s">
        <v>165</v>
      </c>
      <c r="E822" s="4">
        <f>IF(AND(Responses!$BP$1="",COUNTA(Responses!$BP$2:$BP$8000)&gt;0),"Column BP on Responses has answers but no header in row 1, so nobody (and Themefinder) knows what this column is.","")</f>
        <v>0</v>
      </c>
      <c r="F822" s="4" t="s">
        <v>471</v>
      </c>
    </row>
    <row r="823" spans="1:6" ht="75" customHeight="1">
      <c r="A823" t="s">
        <v>334</v>
      </c>
      <c r="B823" t="s">
        <v>472</v>
      </c>
      <c r="C823" t="s">
        <v>336</v>
      </c>
      <c r="D823" t="s">
        <v>165</v>
      </c>
      <c r="E823" s="4">
        <f>IF(AND(Responses!$BQ$1="",COUNTA(Responses!$BQ$2:$BQ$8000)&gt;0),"Column BQ on Responses has answers but no header in row 1, so nobody (and Themefinder) knows what this column is.","")</f>
        <v>0</v>
      </c>
      <c r="F823" s="4" t="s">
        <v>473</v>
      </c>
    </row>
    <row r="824" spans="1:6" ht="75" customHeight="1">
      <c r="A824" t="s">
        <v>334</v>
      </c>
      <c r="B824" t="s">
        <v>474</v>
      </c>
      <c r="C824" t="s">
        <v>336</v>
      </c>
      <c r="D824" t="s">
        <v>165</v>
      </c>
      <c r="E824" s="4">
        <f>IF(AND(Responses!$BR$1="",COUNTA(Responses!$BR$2:$BR$8000)&gt;0),"Column BR on Responses has answers but no header in row 1, so nobody (and Themefinder) knows what this column is.","")</f>
        <v>0</v>
      </c>
      <c r="F824" s="4" t="s">
        <v>475</v>
      </c>
    </row>
    <row r="825" spans="1:6" ht="75" customHeight="1">
      <c r="A825" t="s">
        <v>334</v>
      </c>
      <c r="B825" t="s">
        <v>476</v>
      </c>
      <c r="C825" t="s">
        <v>336</v>
      </c>
      <c r="D825" t="s">
        <v>165</v>
      </c>
      <c r="E825" s="4">
        <f>IF(AND(Responses!$BS$1="",COUNTA(Responses!$BS$2:$BS$8000)&gt;0),"Column BS on Responses has answers but no header in row 1, so nobody (and Themefinder) knows what this column is.","")</f>
        <v>0</v>
      </c>
      <c r="F825" s="4" t="s">
        <v>477</v>
      </c>
    </row>
    <row r="826" spans="1:6" ht="75" customHeight="1">
      <c r="A826" t="s">
        <v>334</v>
      </c>
      <c r="B826" t="s">
        <v>478</v>
      </c>
      <c r="C826" t="s">
        <v>336</v>
      </c>
      <c r="D826" t="s">
        <v>165</v>
      </c>
      <c r="E826" s="4">
        <f>IF(AND(Responses!$BT$1="",COUNTA(Responses!$BT$2:$BT$8000)&gt;0),"Column BT on Responses has answers but no header in row 1, so nobody (and Themefinder) knows what this column is.","")</f>
        <v>0</v>
      </c>
      <c r="F826" s="4" t="s">
        <v>479</v>
      </c>
    </row>
    <row r="827" spans="1:6" ht="75" customHeight="1">
      <c r="A827" t="s">
        <v>334</v>
      </c>
      <c r="B827" t="s">
        <v>480</v>
      </c>
      <c r="C827" t="s">
        <v>336</v>
      </c>
      <c r="D827" t="s">
        <v>165</v>
      </c>
      <c r="E827" s="4">
        <f>IF(AND(Responses!$BU$1="",COUNTA(Responses!$BU$2:$BU$8000)&gt;0),"Column BU on Responses has answers but no header in row 1, so nobody (and Themefinder) knows what this column is.","")</f>
        <v>0</v>
      </c>
      <c r="F827" s="4" t="s">
        <v>481</v>
      </c>
    </row>
    <row r="828" spans="1:6" ht="75" customHeight="1">
      <c r="A828" t="s">
        <v>334</v>
      </c>
      <c r="B828" t="s">
        <v>482</v>
      </c>
      <c r="C828" t="s">
        <v>336</v>
      </c>
      <c r="D828" t="s">
        <v>165</v>
      </c>
      <c r="E828" s="4">
        <f>IF(AND(Responses!$BV$1="",COUNTA(Responses!$BV$2:$BV$8000)&gt;0),"Column BV on Responses has answers but no header in row 1, so nobody (and Themefinder) knows what this column is.","")</f>
        <v>0</v>
      </c>
      <c r="F828" s="4" t="s">
        <v>483</v>
      </c>
    </row>
    <row r="829" spans="1:6" ht="75" customHeight="1">
      <c r="A829" t="s">
        <v>334</v>
      </c>
      <c r="B829" t="s">
        <v>484</v>
      </c>
      <c r="C829" t="s">
        <v>336</v>
      </c>
      <c r="D829" t="s">
        <v>165</v>
      </c>
      <c r="E829" s="4">
        <f>IF(AND(Responses!$BW$1="",COUNTA(Responses!$BW$2:$BW$8000)&gt;0),"Column BW on Responses has answers but no header in row 1, so nobody (and Themefinder) knows what this column is.","")</f>
        <v>0</v>
      </c>
      <c r="F829" s="4" t="s">
        <v>485</v>
      </c>
    </row>
    <row r="830" spans="1:6" ht="75" customHeight="1">
      <c r="A830" t="s">
        <v>334</v>
      </c>
      <c r="B830" t="s">
        <v>486</v>
      </c>
      <c r="C830" t="s">
        <v>336</v>
      </c>
      <c r="D830" t="s">
        <v>165</v>
      </c>
      <c r="E830" s="4">
        <f>IF(AND(Responses!$BX$1="",COUNTA(Responses!$BX$2:$BX$8000)&gt;0),"Column BX on Responses has answers but no header in row 1, so nobody (and Themefinder) knows what this column is.","")</f>
        <v>0</v>
      </c>
      <c r="F830" s="4" t="s">
        <v>487</v>
      </c>
    </row>
    <row r="831" spans="1:6" ht="75" customHeight="1">
      <c r="A831" t="s">
        <v>334</v>
      </c>
      <c r="B831" t="s">
        <v>488</v>
      </c>
      <c r="C831" t="s">
        <v>336</v>
      </c>
      <c r="D831" t="s">
        <v>165</v>
      </c>
      <c r="E831" s="4">
        <f>IF(AND(Responses!$BY$1="",COUNTA(Responses!$BY$2:$BY$8000)&gt;0),"Column BY on Responses has answers but no header in row 1, so nobody (and Themefinder) knows what this column is.","")</f>
        <v>0</v>
      </c>
      <c r="F831" s="4" t="s">
        <v>489</v>
      </c>
    </row>
    <row r="832" spans="1:6" ht="75" customHeight="1">
      <c r="A832" t="s">
        <v>334</v>
      </c>
      <c r="B832" t="s">
        <v>490</v>
      </c>
      <c r="C832" t="s">
        <v>336</v>
      </c>
      <c r="D832" t="s">
        <v>165</v>
      </c>
      <c r="E832" s="4">
        <f>IF(AND(Responses!$BZ$1="",COUNTA(Responses!$BZ$2:$BZ$8000)&gt;0),"Column BZ on Responses has answers but no header in row 1, so nobody (and Themefinder) knows what this column is.","")</f>
        <v>0</v>
      </c>
      <c r="F832" s="4" t="s">
        <v>491</v>
      </c>
    </row>
    <row r="833" spans="1:6" ht="75" customHeight="1">
      <c r="A833" t="s">
        <v>334</v>
      </c>
      <c r="B833" t="s">
        <v>492</v>
      </c>
      <c r="C833" t="s">
        <v>336</v>
      </c>
      <c r="D833" t="s">
        <v>165</v>
      </c>
      <c r="E833" s="4">
        <f>IF(AND(Responses!$CA$1="",COUNTA(Responses!$CA$2:$CA$8000)&gt;0),"Column CA on Responses has answers but no header in row 1, so nobody (and Themefinder) knows what this column is.","")</f>
        <v>0</v>
      </c>
      <c r="F833" s="4" t="s">
        <v>493</v>
      </c>
    </row>
    <row r="834" spans="1:6" ht="75" customHeight="1">
      <c r="A834" t="s">
        <v>334</v>
      </c>
      <c r="B834" t="s">
        <v>494</v>
      </c>
      <c r="C834" t="s">
        <v>336</v>
      </c>
      <c r="D834" t="s">
        <v>165</v>
      </c>
      <c r="E834" s="4">
        <f>IF(AND(Responses!$CB$1="",COUNTA(Responses!$CB$2:$CB$8000)&gt;0),"Column CB on Responses has answers but no header in row 1, so nobody (and Themefinder) knows what this column is.","")</f>
        <v>0</v>
      </c>
      <c r="F834" s="4" t="s">
        <v>495</v>
      </c>
    </row>
    <row r="835" spans="1:6" ht="75" customHeight="1">
      <c r="A835" t="s">
        <v>334</v>
      </c>
      <c r="B835" t="s">
        <v>496</v>
      </c>
      <c r="C835" t="s">
        <v>336</v>
      </c>
      <c r="D835" t="s">
        <v>165</v>
      </c>
      <c r="E835" s="4">
        <f>IF(AND(Responses!$CC$1="",COUNTA(Responses!$CC$2:$CC$8000)&gt;0),"Column CC on Responses has answers but no header in row 1, so nobody (and Themefinder) knows what this column is.","")</f>
        <v>0</v>
      </c>
      <c r="F835" s="4" t="s">
        <v>497</v>
      </c>
    </row>
    <row r="836" spans="1:6" ht="75" customHeight="1">
      <c r="A836" t="s">
        <v>334</v>
      </c>
      <c r="B836" t="s">
        <v>498</v>
      </c>
      <c r="C836" t="s">
        <v>336</v>
      </c>
      <c r="D836" t="s">
        <v>165</v>
      </c>
      <c r="E836" s="4">
        <f>IF(AND(Responses!$CD$1="",COUNTA(Responses!$CD$2:$CD$8000)&gt;0),"Column CD on Responses has answers but no header in row 1, so nobody (and Themefinder) knows what this column is.","")</f>
        <v>0</v>
      </c>
      <c r="F836" s="4" t="s">
        <v>499</v>
      </c>
    </row>
    <row r="837" spans="1:6" ht="75" customHeight="1">
      <c r="A837" t="s">
        <v>334</v>
      </c>
      <c r="B837" t="s">
        <v>500</v>
      </c>
      <c r="C837" t="s">
        <v>336</v>
      </c>
      <c r="D837" t="s">
        <v>165</v>
      </c>
      <c r="E837" s="4">
        <f>IF(AND(Responses!$CE$1="",COUNTA(Responses!$CE$2:$CE$8000)&gt;0),"Column CE on Responses has answers but no header in row 1, so nobody (and Themefinder) knows what this column is.","")</f>
        <v>0</v>
      </c>
      <c r="F837" s="4" t="s">
        <v>501</v>
      </c>
    </row>
    <row r="838" spans="1:6" ht="75" customHeight="1">
      <c r="A838" t="s">
        <v>334</v>
      </c>
      <c r="B838" t="s">
        <v>502</v>
      </c>
      <c r="C838" t="s">
        <v>336</v>
      </c>
      <c r="D838" t="s">
        <v>165</v>
      </c>
      <c r="E838" s="4">
        <f>IF(AND(Responses!$CF$1="",COUNTA(Responses!$CF$2:$CF$8000)&gt;0),"Column CF on Responses has answers but no header in row 1, so nobody (and Themefinder) knows what this column is.","")</f>
        <v>0</v>
      </c>
      <c r="F838" s="4" t="s">
        <v>503</v>
      </c>
    </row>
    <row r="839" spans="1:6" ht="75" customHeight="1">
      <c r="A839" t="s">
        <v>334</v>
      </c>
      <c r="B839" t="s">
        <v>504</v>
      </c>
      <c r="C839" t="s">
        <v>336</v>
      </c>
      <c r="D839" t="s">
        <v>165</v>
      </c>
      <c r="E839" s="4">
        <f>IF(AND(Responses!$CG$1="",COUNTA(Responses!$CG$2:$CG$8000)&gt;0),"Column CG on Responses has answers but no header in row 1, so nobody (and Themefinder) knows what this column is.","")</f>
        <v>0</v>
      </c>
      <c r="F839" s="4" t="s">
        <v>505</v>
      </c>
    </row>
    <row r="840" spans="1:6" ht="75" customHeight="1">
      <c r="A840" t="s">
        <v>334</v>
      </c>
      <c r="B840" t="s">
        <v>506</v>
      </c>
      <c r="C840" t="s">
        <v>336</v>
      </c>
      <c r="D840" t="s">
        <v>165</v>
      </c>
      <c r="E840" s="4">
        <f>IF(AND(Responses!$CH$1="",COUNTA(Responses!$CH$2:$CH$8000)&gt;0),"Column CH on Responses has answers but no header in row 1, so nobody (and Themefinder) knows what this column is.","")</f>
        <v>0</v>
      </c>
      <c r="F840" s="4" t="s">
        <v>507</v>
      </c>
    </row>
    <row r="841" spans="1:6" ht="75" customHeight="1">
      <c r="A841" t="s">
        <v>334</v>
      </c>
      <c r="B841" t="s">
        <v>508</v>
      </c>
      <c r="C841" t="s">
        <v>336</v>
      </c>
      <c r="D841" t="s">
        <v>165</v>
      </c>
      <c r="E841" s="4">
        <f>IF(AND(Responses!$CI$1="",COUNTA(Responses!$CI$2:$CI$8000)&gt;0),"Column CI on Responses has answers but no header in row 1, so nobody (and Themefinder) knows what this column is.","")</f>
        <v>0</v>
      </c>
      <c r="F841" s="4" t="s">
        <v>509</v>
      </c>
    </row>
    <row r="842" spans="1:6" ht="75" customHeight="1">
      <c r="A842" t="s">
        <v>334</v>
      </c>
      <c r="B842" t="s">
        <v>510</v>
      </c>
      <c r="C842" t="s">
        <v>336</v>
      </c>
      <c r="D842" t="s">
        <v>165</v>
      </c>
      <c r="E842" s="4">
        <f>IF(AND(Responses!$CJ$1="",COUNTA(Responses!$CJ$2:$CJ$8000)&gt;0),"Column CJ on Responses has answers but no header in row 1, so nobody (and Themefinder) knows what this column is.","")</f>
        <v>0</v>
      </c>
      <c r="F842" s="4" t="s">
        <v>511</v>
      </c>
    </row>
    <row r="843" spans="1:6" ht="75" customHeight="1">
      <c r="A843" t="s">
        <v>334</v>
      </c>
      <c r="B843" t="s">
        <v>512</v>
      </c>
      <c r="C843" t="s">
        <v>336</v>
      </c>
      <c r="D843" t="s">
        <v>165</v>
      </c>
      <c r="E843" s="4">
        <f>IF(AND(Responses!$CK$1="",COUNTA(Responses!$CK$2:$CK$8000)&gt;0),"Column CK on Responses has answers but no header in row 1, so nobody (and Themefinder) knows what this column is.","")</f>
        <v>0</v>
      </c>
      <c r="F843" s="4" t="s">
        <v>513</v>
      </c>
    </row>
    <row r="844" spans="1:6" ht="75" customHeight="1">
      <c r="A844" t="s">
        <v>334</v>
      </c>
      <c r="B844" t="s">
        <v>514</v>
      </c>
      <c r="C844" t="s">
        <v>336</v>
      </c>
      <c r="D844" t="s">
        <v>165</v>
      </c>
      <c r="E844" s="4">
        <f>IF(AND(Responses!$CL$1="",COUNTA(Responses!$CL$2:$CL$8000)&gt;0),"Column CL on Responses has answers but no header in row 1, so nobody (and Themefinder) knows what this column is.","")</f>
        <v>0</v>
      </c>
      <c r="F844" s="4" t="s">
        <v>515</v>
      </c>
    </row>
    <row r="845" spans="1:6" ht="75" customHeight="1">
      <c r="A845" t="s">
        <v>334</v>
      </c>
      <c r="B845" t="s">
        <v>516</v>
      </c>
      <c r="C845" t="s">
        <v>336</v>
      </c>
      <c r="D845" t="s">
        <v>165</v>
      </c>
      <c r="E845" s="4">
        <f>IF(AND(Responses!$CM$1="",COUNTA(Responses!$CM$2:$CM$8000)&gt;0),"Column CM on Responses has answers but no header in row 1, so nobody (and Themefinder) knows what this column is.","")</f>
        <v>0</v>
      </c>
      <c r="F845" s="4" t="s">
        <v>517</v>
      </c>
    </row>
    <row r="846" spans="1:6" ht="75" customHeight="1">
      <c r="A846" t="s">
        <v>334</v>
      </c>
      <c r="B846" t="s">
        <v>518</v>
      </c>
      <c r="C846" t="s">
        <v>336</v>
      </c>
      <c r="D846" t="s">
        <v>165</v>
      </c>
      <c r="E846" s="4">
        <f>IF(AND(Responses!$CN$1="",COUNTA(Responses!$CN$2:$CN$8000)&gt;0),"Column CN on Responses has answers but no header in row 1, so nobody (and Themefinder) knows what this column is.","")</f>
        <v>0</v>
      </c>
      <c r="F846" s="4" t="s">
        <v>519</v>
      </c>
    </row>
    <row r="847" spans="1:6" ht="75" customHeight="1">
      <c r="A847" t="s">
        <v>334</v>
      </c>
      <c r="B847" t="s">
        <v>520</v>
      </c>
      <c r="C847" t="s">
        <v>336</v>
      </c>
      <c r="D847" t="s">
        <v>165</v>
      </c>
      <c r="E847" s="4">
        <f>IF(AND(Responses!$CO$1="",COUNTA(Responses!$CO$2:$CO$8000)&gt;0),"Column CO on Responses has answers but no header in row 1, so nobody (and Themefinder) knows what this column is.","")</f>
        <v>0</v>
      </c>
      <c r="F847" s="4" t="s">
        <v>521</v>
      </c>
    </row>
    <row r="848" spans="1:6" ht="75" customHeight="1">
      <c r="A848" t="s">
        <v>334</v>
      </c>
      <c r="B848" t="s">
        <v>522</v>
      </c>
      <c r="C848" t="s">
        <v>336</v>
      </c>
      <c r="D848" t="s">
        <v>165</v>
      </c>
      <c r="E848" s="4">
        <f>IF(AND(Responses!$CP$1="",COUNTA(Responses!$CP$2:$CP$8000)&gt;0),"Column CP on Responses has answers but no header in row 1, so nobody (and Themefinder) knows what this column is.","")</f>
        <v>0</v>
      </c>
      <c r="F848" s="4" t="s">
        <v>523</v>
      </c>
    </row>
    <row r="849" spans="1:6" ht="75" customHeight="1">
      <c r="A849" t="s">
        <v>334</v>
      </c>
      <c r="B849" t="s">
        <v>524</v>
      </c>
      <c r="C849" t="s">
        <v>336</v>
      </c>
      <c r="D849" t="s">
        <v>165</v>
      </c>
      <c r="E849" s="4">
        <f>IF(AND(Responses!$CQ$1="",COUNTA(Responses!$CQ$2:$CQ$8000)&gt;0),"Column CQ on Responses has answers but no header in row 1, so nobody (and Themefinder) knows what this column is.","")</f>
        <v>0</v>
      </c>
      <c r="F849" s="4" t="s">
        <v>525</v>
      </c>
    </row>
    <row r="850" spans="1:6" ht="75" customHeight="1">
      <c r="A850" t="s">
        <v>334</v>
      </c>
      <c r="B850" t="s">
        <v>526</v>
      </c>
      <c r="C850" t="s">
        <v>336</v>
      </c>
      <c r="D850" t="s">
        <v>165</v>
      </c>
      <c r="E850" s="4">
        <f>IF(AND(Responses!$CR$1="",COUNTA(Responses!$CR$2:$CR$8000)&gt;0),"Column CR on Responses has answers but no header in row 1, so nobody (and Themefinder) knows what this column is.","")</f>
        <v>0</v>
      </c>
      <c r="F850" s="4" t="s">
        <v>527</v>
      </c>
    </row>
    <row r="851" spans="1:6" ht="75" customHeight="1">
      <c r="A851" t="s">
        <v>334</v>
      </c>
      <c r="B851" t="s">
        <v>528</v>
      </c>
      <c r="C851" t="s">
        <v>336</v>
      </c>
      <c r="D851" t="s">
        <v>165</v>
      </c>
      <c r="E851" s="4">
        <f>IF(AND(Responses!$CS$1="",COUNTA(Responses!$CS$2:$CS$8000)&gt;0),"Column CS on Responses has answers but no header in row 1, so nobody (and Themefinder) knows what this column is.","")</f>
        <v>0</v>
      </c>
      <c r="F851" s="4" t="s">
        <v>529</v>
      </c>
    </row>
    <row r="852" spans="1:6" ht="75" customHeight="1">
      <c r="A852" t="s">
        <v>334</v>
      </c>
      <c r="B852" t="s">
        <v>530</v>
      </c>
      <c r="C852" t="s">
        <v>336</v>
      </c>
      <c r="D852" t="s">
        <v>165</v>
      </c>
      <c r="E852" s="4">
        <f>IF(AND(Responses!$CT$1="",COUNTA(Responses!$CT$2:$CT$8000)&gt;0),"Column CT on Responses has answers but no header in row 1, so nobody (and Themefinder) knows what this column is.","")</f>
        <v>0</v>
      </c>
      <c r="F852" s="4" t="s">
        <v>531</v>
      </c>
    </row>
    <row r="853" spans="1:6" ht="75" customHeight="1">
      <c r="A853" t="s">
        <v>334</v>
      </c>
      <c r="B853" t="s">
        <v>532</v>
      </c>
      <c r="C853" t="s">
        <v>336</v>
      </c>
      <c r="D853" t="s">
        <v>165</v>
      </c>
      <c r="E853" s="4">
        <f>IF(AND(Responses!$CU$1="",COUNTA(Responses!$CU$2:$CU$8000)&gt;0),"Column CU on Responses has answers but no header in row 1, so nobody (and Themefinder) knows what this column is.","")</f>
        <v>0</v>
      </c>
      <c r="F853" s="4" t="s">
        <v>533</v>
      </c>
    </row>
    <row r="854" spans="1:6" ht="75" customHeight="1">
      <c r="A854" t="s">
        <v>334</v>
      </c>
      <c r="B854" t="s">
        <v>534</v>
      </c>
      <c r="C854" t="s">
        <v>336</v>
      </c>
      <c r="D854" t="s">
        <v>165</v>
      </c>
      <c r="E854" s="4">
        <f>IF(AND(Responses!$CV$1="",COUNTA(Responses!$CV$2:$CV$8000)&gt;0),"Column CV on Responses has answers but no header in row 1, so nobody (and Themefinder) knows what this column is.","")</f>
        <v>0</v>
      </c>
      <c r="F854" s="4" t="s">
        <v>535</v>
      </c>
    </row>
    <row r="855" spans="1:6" ht="75" customHeight="1">
      <c r="A855" t="s">
        <v>334</v>
      </c>
      <c r="B855" t="s">
        <v>536</v>
      </c>
      <c r="C855" t="s">
        <v>336</v>
      </c>
      <c r="D855" t="s">
        <v>165</v>
      </c>
      <c r="E855" s="4">
        <f>IF(AND(Responses!$CW$1="",COUNTA(Responses!$CW$2:$CW$8000)&gt;0),"Column CW on Responses has answers but no header in row 1, so nobody (and Themefinder) knows what this column is.","")</f>
        <v>0</v>
      </c>
      <c r="F855" s="4" t="s">
        <v>537</v>
      </c>
    </row>
    <row r="856" spans="1:6" ht="75" customHeight="1">
      <c r="A856" t="s">
        <v>334</v>
      </c>
      <c r="B856" t="s">
        <v>538</v>
      </c>
      <c r="C856" t="s">
        <v>336</v>
      </c>
      <c r="D856" t="s">
        <v>165</v>
      </c>
      <c r="E856" s="4">
        <f>IF(AND(Responses!$CX$1="",COUNTA(Responses!$CX$2:$CX$8000)&gt;0),"Column CX on Responses has answers but no header in row 1, so nobody (and Themefinder) knows what this column is.","")</f>
        <v>0</v>
      </c>
      <c r="F856" s="4" t="s">
        <v>539</v>
      </c>
    </row>
    <row r="857" spans="1:6" ht="75" customHeight="1">
      <c r="A857" t="s">
        <v>334</v>
      </c>
      <c r="B857" t="s">
        <v>540</v>
      </c>
      <c r="C857" t="s">
        <v>336</v>
      </c>
      <c r="D857" t="s">
        <v>165</v>
      </c>
      <c r="E857" s="4">
        <f>IF(AND(Responses!$CY$1="",COUNTA(Responses!$CY$2:$CY$8000)&gt;0),"Column CY on Responses has answers but no header in row 1, so nobody (and Themefinder) knows what this column is.","")</f>
        <v>0</v>
      </c>
      <c r="F857" s="4" t="s">
        <v>541</v>
      </c>
    </row>
    <row r="858" spans="1:6" ht="75" customHeight="1">
      <c r="A858" t="s">
        <v>334</v>
      </c>
      <c r="B858" t="s">
        <v>542</v>
      </c>
      <c r="C858" t="s">
        <v>336</v>
      </c>
      <c r="D858" t="s">
        <v>165</v>
      </c>
      <c r="E858" s="4">
        <f>IF(AND(Responses!$CZ$1="",COUNTA(Responses!$CZ$2:$CZ$8000)&gt;0),"Column CZ on Responses has answers but no header in row 1, so nobody (and Themefinder) knows what this column is.","")</f>
        <v>0</v>
      </c>
      <c r="F858" s="4" t="s">
        <v>543</v>
      </c>
    </row>
    <row r="859" spans="1:6" ht="75" customHeight="1">
      <c r="A859" t="s">
        <v>334</v>
      </c>
      <c r="B859" t="s">
        <v>544</v>
      </c>
      <c r="C859" t="s">
        <v>336</v>
      </c>
      <c r="D859" t="s">
        <v>165</v>
      </c>
      <c r="E859" s="4">
        <f>IF(AND(Responses!$DA$1="",COUNTA(Responses!$DA$2:$DA$8000)&gt;0),"Column DA on Responses has answers but no header in row 1, so nobody (and Themefinder) knows what this column is.","")</f>
        <v>0</v>
      </c>
      <c r="F859" s="4" t="s">
        <v>545</v>
      </c>
    </row>
    <row r="860" spans="1:6" ht="75" customHeight="1">
      <c r="A860" t="s">
        <v>334</v>
      </c>
      <c r="B860" t="s">
        <v>546</v>
      </c>
      <c r="C860" t="s">
        <v>336</v>
      </c>
      <c r="D860" t="s">
        <v>165</v>
      </c>
      <c r="E860" s="4">
        <f>IF(AND(Responses!$DB$1="",COUNTA(Responses!$DB$2:$DB$8000)&gt;0),"Column DB on Responses has answers but no header in row 1, so nobody (and Themefinder) knows what this column is.","")</f>
        <v>0</v>
      </c>
      <c r="F860" s="4" t="s">
        <v>547</v>
      </c>
    </row>
    <row r="861" spans="1:6" ht="75" customHeight="1">
      <c r="A861" t="s">
        <v>334</v>
      </c>
      <c r="B861" t="s">
        <v>548</v>
      </c>
      <c r="C861" t="s">
        <v>336</v>
      </c>
      <c r="D861" t="s">
        <v>165</v>
      </c>
      <c r="E861" s="4">
        <f>IF(AND(Responses!$DC$1="",COUNTA(Responses!$DC$2:$DC$8000)&gt;0),"Column DC on Responses has answers but no header in row 1, so nobody (and Themefinder) knows what this column is.","")</f>
        <v>0</v>
      </c>
      <c r="F861" s="4" t="s">
        <v>549</v>
      </c>
    </row>
    <row r="862" spans="1:6" ht="75" customHeight="1">
      <c r="A862" t="s">
        <v>334</v>
      </c>
      <c r="B862" t="s">
        <v>550</v>
      </c>
      <c r="C862" t="s">
        <v>336</v>
      </c>
      <c r="D862" t="s">
        <v>165</v>
      </c>
      <c r="E862" s="4">
        <f>IF(AND(Responses!$DD$1="",COUNTA(Responses!$DD$2:$DD$8000)&gt;0),"Column DD on Responses has answers but no header in row 1, so nobody (and Themefinder) knows what this column is.","")</f>
        <v>0</v>
      </c>
      <c r="F862" s="4" t="s">
        <v>551</v>
      </c>
    </row>
    <row r="863" spans="1:6" ht="75" customHeight="1">
      <c r="A863" t="s">
        <v>334</v>
      </c>
      <c r="B863" t="s">
        <v>552</v>
      </c>
      <c r="C863" t="s">
        <v>336</v>
      </c>
      <c r="D863" t="s">
        <v>165</v>
      </c>
      <c r="E863" s="4">
        <f>IF(AND(Responses!$DE$1="",COUNTA(Responses!$DE$2:$DE$8000)&gt;0),"Column DE on Responses has answers but no header in row 1, so nobody (and Themefinder) knows what this column is.","")</f>
        <v>0</v>
      </c>
      <c r="F863" s="4" t="s">
        <v>553</v>
      </c>
    </row>
    <row r="864" spans="1:6" ht="75" customHeight="1">
      <c r="A864" t="s">
        <v>334</v>
      </c>
      <c r="B864" t="s">
        <v>554</v>
      </c>
      <c r="C864" t="s">
        <v>336</v>
      </c>
      <c r="D864" t="s">
        <v>165</v>
      </c>
      <c r="E864" s="4">
        <f>IF(AND(Responses!$DF$1="",COUNTA(Responses!$DF$2:$DF$8000)&gt;0),"Column DF on Responses has answers but no header in row 1, so nobody (and Themefinder) knows what this column is.","")</f>
        <v>0</v>
      </c>
      <c r="F864" s="4" t="s">
        <v>555</v>
      </c>
    </row>
    <row r="865" spans="1:6" ht="75" customHeight="1">
      <c r="A865" t="s">
        <v>334</v>
      </c>
      <c r="B865" t="s">
        <v>556</v>
      </c>
      <c r="C865" t="s">
        <v>336</v>
      </c>
      <c r="D865" t="s">
        <v>165</v>
      </c>
      <c r="E865" s="4">
        <f>IF(AND(Responses!$DG$1="",COUNTA(Responses!$DG$2:$DG$8000)&gt;0),"Column DG on Responses has answers but no header in row 1, so nobody (and Themefinder) knows what this column is.","")</f>
        <v>0</v>
      </c>
      <c r="F865" s="4" t="s">
        <v>557</v>
      </c>
    </row>
    <row r="866" spans="1:6" ht="75" customHeight="1">
      <c r="A866" t="s">
        <v>334</v>
      </c>
      <c r="B866" t="s">
        <v>558</v>
      </c>
      <c r="C866" t="s">
        <v>336</v>
      </c>
      <c r="D866" t="s">
        <v>165</v>
      </c>
      <c r="E866" s="4">
        <f>IF(AND(Responses!$DH$1="",COUNTA(Responses!$DH$2:$DH$8000)&gt;0),"Column DH on Responses has answers but no header in row 1, so nobody (and Themefinder) knows what this column is.","")</f>
        <v>0</v>
      </c>
      <c r="F866" s="4" t="s">
        <v>559</v>
      </c>
    </row>
    <row r="867" spans="1:6" ht="75" customHeight="1">
      <c r="A867" t="s">
        <v>334</v>
      </c>
      <c r="B867" t="s">
        <v>560</v>
      </c>
      <c r="C867" t="s">
        <v>336</v>
      </c>
      <c r="D867" t="s">
        <v>165</v>
      </c>
      <c r="E867" s="4">
        <f>IF(AND(Responses!$DI$1="",COUNTA(Responses!$DI$2:$DI$8000)&gt;0),"Column DI on Responses has answers but no header in row 1, so nobody (and Themefinder) knows what this column is.","")</f>
        <v>0</v>
      </c>
      <c r="F867" s="4" t="s">
        <v>561</v>
      </c>
    </row>
    <row r="868" spans="1:6" ht="75" customHeight="1">
      <c r="A868" t="s">
        <v>334</v>
      </c>
      <c r="B868" t="s">
        <v>562</v>
      </c>
      <c r="C868" t="s">
        <v>336</v>
      </c>
      <c r="D868" t="s">
        <v>165</v>
      </c>
      <c r="E868" s="4">
        <f>IF(AND(Responses!$DJ$1="",COUNTA(Responses!$DJ$2:$DJ$8000)&gt;0),"Column DJ on Responses has answers but no header in row 1, so nobody (and Themefinder) knows what this column is.","")</f>
        <v>0</v>
      </c>
      <c r="F868" s="4" t="s">
        <v>563</v>
      </c>
    </row>
    <row r="869" spans="1:6" ht="75" customHeight="1">
      <c r="A869" t="s">
        <v>334</v>
      </c>
      <c r="B869" t="s">
        <v>564</v>
      </c>
      <c r="C869" t="s">
        <v>336</v>
      </c>
      <c r="D869" t="s">
        <v>165</v>
      </c>
      <c r="E869" s="4">
        <f>IF(AND(Responses!$DK$1="",COUNTA(Responses!$DK$2:$DK$8000)&gt;0),"Column DK on Responses has answers but no header in row 1, so nobody (and Themefinder) knows what this column is.","")</f>
        <v>0</v>
      </c>
      <c r="F869" s="4" t="s">
        <v>565</v>
      </c>
    </row>
    <row r="870" spans="1:6" ht="75" customHeight="1">
      <c r="A870" t="s">
        <v>334</v>
      </c>
      <c r="B870" t="s">
        <v>566</v>
      </c>
      <c r="C870" t="s">
        <v>336</v>
      </c>
      <c r="D870" t="s">
        <v>165</v>
      </c>
      <c r="E870" s="4">
        <f>IF(AND(Responses!$DL$1="",COUNTA(Responses!$DL$2:$DL$8000)&gt;0),"Column DL on Responses has answers but no header in row 1, so nobody (and Themefinder) knows what this column is.","")</f>
        <v>0</v>
      </c>
      <c r="F870" s="4" t="s">
        <v>567</v>
      </c>
    </row>
    <row r="871" spans="1:6" ht="75" customHeight="1">
      <c r="A871" t="s">
        <v>334</v>
      </c>
      <c r="B871" t="s">
        <v>568</v>
      </c>
      <c r="C871" t="s">
        <v>336</v>
      </c>
      <c r="D871" t="s">
        <v>165</v>
      </c>
      <c r="E871" s="4">
        <f>IF(AND(Responses!$DM$1="",COUNTA(Responses!$DM$2:$DM$8000)&gt;0),"Column DM on Responses has answers but no header in row 1, so nobody (and Themefinder) knows what this column is.","")</f>
        <v>0</v>
      </c>
      <c r="F871" s="4" t="s">
        <v>569</v>
      </c>
    </row>
    <row r="872" spans="1:6" ht="75" customHeight="1">
      <c r="A872" t="s">
        <v>334</v>
      </c>
      <c r="B872" t="s">
        <v>570</v>
      </c>
      <c r="C872" t="s">
        <v>336</v>
      </c>
      <c r="D872" t="s">
        <v>165</v>
      </c>
      <c r="E872" s="4">
        <f>IF(AND(Responses!$DN$1="",COUNTA(Responses!$DN$2:$DN$8000)&gt;0),"Column DN on Responses has answers but no header in row 1, so nobody (and Themefinder) knows what this column is.","")</f>
        <v>0</v>
      </c>
      <c r="F872" s="4" t="s">
        <v>571</v>
      </c>
    </row>
    <row r="873" spans="1:6" ht="75" customHeight="1">
      <c r="A873" t="s">
        <v>334</v>
      </c>
      <c r="B873" t="s">
        <v>572</v>
      </c>
      <c r="C873" t="s">
        <v>336</v>
      </c>
      <c r="D873" t="s">
        <v>165</v>
      </c>
      <c r="E873" s="4">
        <f>IF(AND(Responses!$DO$1="",COUNTA(Responses!$DO$2:$DO$8000)&gt;0),"Column DO on Responses has answers but no header in row 1, so nobody (and Themefinder) knows what this column is.","")</f>
        <v>0</v>
      </c>
      <c r="F873" s="4" t="s">
        <v>573</v>
      </c>
    </row>
    <row r="874" spans="1:6" ht="75" customHeight="1">
      <c r="A874" t="s">
        <v>334</v>
      </c>
      <c r="B874" t="s">
        <v>574</v>
      </c>
      <c r="C874" t="s">
        <v>336</v>
      </c>
      <c r="D874" t="s">
        <v>165</v>
      </c>
      <c r="E874" s="4">
        <f>IF(AND(Responses!$DP$1="",COUNTA(Responses!$DP$2:$DP$8000)&gt;0),"Column DP on Responses has answers but no header in row 1, so nobody (and Themefinder) knows what this column is.","")</f>
        <v>0</v>
      </c>
      <c r="F874" s="4" t="s">
        <v>575</v>
      </c>
    </row>
    <row r="875" spans="1:6" ht="75" customHeight="1">
      <c r="A875" t="s">
        <v>334</v>
      </c>
      <c r="B875" t="s">
        <v>576</v>
      </c>
      <c r="C875" t="s">
        <v>336</v>
      </c>
      <c r="D875" t="s">
        <v>165</v>
      </c>
      <c r="E875" s="4">
        <f>IF(AND(Responses!$DQ$1="",COUNTA(Responses!$DQ$2:$DQ$8000)&gt;0),"Column DQ on Responses has answers but no header in row 1, so nobody (and Themefinder) knows what this column is.","")</f>
        <v>0</v>
      </c>
      <c r="F875" s="4" t="s">
        <v>577</v>
      </c>
    </row>
    <row r="876" spans="1:6" ht="75" customHeight="1">
      <c r="A876" t="s">
        <v>334</v>
      </c>
      <c r="B876" t="s">
        <v>578</v>
      </c>
      <c r="C876" t="s">
        <v>336</v>
      </c>
      <c r="D876" t="s">
        <v>165</v>
      </c>
      <c r="E876" s="4">
        <f>IF(AND(Responses!$DR$1="",COUNTA(Responses!$DR$2:$DR$8000)&gt;0),"Column DR on Responses has answers but no header in row 1, so nobody (and Themefinder) knows what this column is.","")</f>
        <v>0</v>
      </c>
      <c r="F876" s="4" t="s">
        <v>579</v>
      </c>
    </row>
    <row r="877" spans="1:6" ht="75" customHeight="1">
      <c r="A877" t="s">
        <v>334</v>
      </c>
      <c r="B877" t="s">
        <v>580</v>
      </c>
      <c r="C877" t="s">
        <v>336</v>
      </c>
      <c r="D877" t="s">
        <v>165</v>
      </c>
      <c r="E877" s="4">
        <f>IF(AND(Responses!$DS$1="",COUNTA(Responses!$DS$2:$DS$8000)&gt;0),"Column DS on Responses has answers but no header in row 1, so nobody (and Themefinder) knows what this column is.","")</f>
        <v>0</v>
      </c>
      <c r="F877" s="4" t="s">
        <v>581</v>
      </c>
    </row>
    <row r="878" spans="1:6" ht="75" customHeight="1">
      <c r="A878" t="s">
        <v>334</v>
      </c>
      <c r="B878" t="s">
        <v>582</v>
      </c>
      <c r="C878" t="s">
        <v>336</v>
      </c>
      <c r="D878" t="s">
        <v>165</v>
      </c>
      <c r="E878" s="4">
        <f>IF(AND(Responses!$DT$1="",COUNTA(Responses!$DT$2:$DT$8000)&gt;0),"Column DT on Responses has answers but no header in row 1, so nobody (and Themefinder) knows what this column is.","")</f>
        <v>0</v>
      </c>
      <c r="F878" s="4" t="s">
        <v>583</v>
      </c>
    </row>
    <row r="879" spans="1:6" ht="75" customHeight="1">
      <c r="A879" t="s">
        <v>334</v>
      </c>
      <c r="B879" t="s">
        <v>584</v>
      </c>
      <c r="C879" t="s">
        <v>336</v>
      </c>
      <c r="D879" t="s">
        <v>165</v>
      </c>
      <c r="E879" s="4">
        <f>IF(AND(Responses!$DU$1="",COUNTA(Responses!$DU$2:$DU$8000)&gt;0),"Column DU on Responses has answers but no header in row 1, so nobody (and Themefinder) knows what this column is.","")</f>
        <v>0</v>
      </c>
      <c r="F879" s="4" t="s">
        <v>585</v>
      </c>
    </row>
    <row r="880" spans="1:6" ht="75" customHeight="1">
      <c r="A880" t="s">
        <v>334</v>
      </c>
      <c r="B880" t="s">
        <v>586</v>
      </c>
      <c r="C880" t="s">
        <v>336</v>
      </c>
      <c r="D880" t="s">
        <v>165</v>
      </c>
      <c r="E880" s="4">
        <f>IF(AND(Responses!$DV$1="",COUNTA(Responses!$DV$2:$DV$8000)&gt;0),"Column DV on Responses has answers but no header in row 1, so nobody (and Themefinder) knows what this column is.","")</f>
        <v>0</v>
      </c>
      <c r="F880" s="4" t="s">
        <v>587</v>
      </c>
    </row>
    <row r="881" spans="1:6" ht="75" customHeight="1">
      <c r="A881" t="s">
        <v>334</v>
      </c>
      <c r="B881" t="s">
        <v>588</v>
      </c>
      <c r="C881" t="s">
        <v>336</v>
      </c>
      <c r="D881" t="s">
        <v>165</v>
      </c>
      <c r="E881" s="4">
        <f>IF(AND(Responses!$DW$1="",COUNTA(Responses!$DW$2:$DW$8000)&gt;0),"Column DW on Responses has answers but no header in row 1, so nobody (and Themefinder) knows what this column is.","")</f>
        <v>0</v>
      </c>
      <c r="F881" s="4" t="s">
        <v>589</v>
      </c>
    </row>
    <row r="882" spans="1:6" ht="75" customHeight="1">
      <c r="A882" t="s">
        <v>334</v>
      </c>
      <c r="B882" t="s">
        <v>590</v>
      </c>
      <c r="C882" t="s">
        <v>336</v>
      </c>
      <c r="D882" t="s">
        <v>165</v>
      </c>
      <c r="E882" s="4">
        <f>IF(AND(Responses!$DX$1="",COUNTA(Responses!$DX$2:$DX$8000)&gt;0),"Column DX on Responses has answers but no header in row 1, so nobody (and Themefinder) knows what this column is.","")</f>
        <v>0</v>
      </c>
      <c r="F882" s="4" t="s">
        <v>591</v>
      </c>
    </row>
    <row r="883" spans="1:6" ht="75" customHeight="1">
      <c r="A883" t="s">
        <v>334</v>
      </c>
      <c r="B883" t="s">
        <v>592</v>
      </c>
      <c r="C883" t="s">
        <v>336</v>
      </c>
      <c r="D883" t="s">
        <v>165</v>
      </c>
      <c r="E883" s="4">
        <f>IF(AND(Responses!$DY$1="",COUNTA(Responses!$DY$2:$DY$8000)&gt;0),"Column DY on Responses has answers but no header in row 1, so nobody (and Themefinder) knows what this column is.","")</f>
        <v>0</v>
      </c>
      <c r="F883" s="4" t="s">
        <v>593</v>
      </c>
    </row>
    <row r="884" spans="1:6" ht="75" customHeight="1">
      <c r="A884" t="s">
        <v>334</v>
      </c>
      <c r="B884" t="s">
        <v>594</v>
      </c>
      <c r="C884" t="s">
        <v>336</v>
      </c>
      <c r="D884" t="s">
        <v>165</v>
      </c>
      <c r="E884" s="4">
        <f>IF(AND(Responses!$DZ$1="",COUNTA(Responses!$DZ$2:$DZ$8000)&gt;0),"Column DZ on Responses has answers but no header in row 1, so nobody (and Themefinder) knows what this column is.","")</f>
        <v>0</v>
      </c>
      <c r="F884" s="4" t="s">
        <v>595</v>
      </c>
    </row>
    <row r="885" spans="1:6" ht="75" customHeight="1">
      <c r="A885" t="s">
        <v>334</v>
      </c>
      <c r="B885" t="s">
        <v>596</v>
      </c>
      <c r="C885" t="s">
        <v>336</v>
      </c>
      <c r="D885" t="s">
        <v>165</v>
      </c>
      <c r="E885" s="4">
        <f>IF(AND(Responses!$EA$1="",COUNTA(Responses!$EA$2:$EA$8000)&gt;0),"Column EA on Responses has answers but no header in row 1, so nobody (and Themefinder) knows what this column is.","")</f>
        <v>0</v>
      </c>
      <c r="F885" s="4" t="s">
        <v>597</v>
      </c>
    </row>
    <row r="886" spans="1:6" ht="75" customHeight="1">
      <c r="A886" t="s">
        <v>334</v>
      </c>
      <c r="B886" t="s">
        <v>598</v>
      </c>
      <c r="C886" t="s">
        <v>336</v>
      </c>
      <c r="D886" t="s">
        <v>165</v>
      </c>
      <c r="E886" s="4">
        <f>IF(AND(Responses!$EB$1="",COUNTA(Responses!$EB$2:$EB$8000)&gt;0),"Column EB on Responses has answers but no header in row 1, so nobody (and Themefinder) knows what this column is.","")</f>
        <v>0</v>
      </c>
      <c r="F886" s="4" t="s">
        <v>599</v>
      </c>
    </row>
    <row r="887" spans="1:6" ht="75" customHeight="1">
      <c r="A887" t="s">
        <v>334</v>
      </c>
      <c r="B887" t="s">
        <v>600</v>
      </c>
      <c r="C887" t="s">
        <v>336</v>
      </c>
      <c r="D887" t="s">
        <v>165</v>
      </c>
      <c r="E887" s="4">
        <f>IF(AND(Responses!$EC$1="",COUNTA(Responses!$EC$2:$EC$8000)&gt;0),"Column EC on Responses has answers but no header in row 1, so nobody (and Themefinder) knows what this column is.","")</f>
        <v>0</v>
      </c>
      <c r="F887" s="4" t="s">
        <v>601</v>
      </c>
    </row>
    <row r="888" spans="1:6" ht="75" customHeight="1">
      <c r="A888" t="s">
        <v>334</v>
      </c>
      <c r="B888" t="s">
        <v>602</v>
      </c>
      <c r="C888" t="s">
        <v>336</v>
      </c>
      <c r="D888" t="s">
        <v>165</v>
      </c>
      <c r="E888" s="4">
        <f>IF(AND(Responses!$ED$1="",COUNTA(Responses!$ED$2:$ED$8000)&gt;0),"Column ED on Responses has answers but no header in row 1, so nobody (and Themefinder) knows what this column is.","")</f>
        <v>0</v>
      </c>
      <c r="F888" s="4" t="s">
        <v>603</v>
      </c>
    </row>
    <row r="889" spans="1:6" ht="75" customHeight="1">
      <c r="A889" t="s">
        <v>334</v>
      </c>
      <c r="B889" t="s">
        <v>604</v>
      </c>
      <c r="C889" t="s">
        <v>336</v>
      </c>
      <c r="D889" t="s">
        <v>165</v>
      </c>
      <c r="E889" s="4">
        <f>IF(AND(Responses!$EE$1="",COUNTA(Responses!$EE$2:$EE$8000)&gt;0),"Column EE on Responses has answers but no header in row 1, so nobody (and Themefinder) knows what this column is.","")</f>
        <v>0</v>
      </c>
      <c r="F889" s="4" t="s">
        <v>605</v>
      </c>
    </row>
    <row r="890" spans="1:6" ht="75" customHeight="1">
      <c r="A890" t="s">
        <v>334</v>
      </c>
      <c r="B890" t="s">
        <v>606</v>
      </c>
      <c r="C890" t="s">
        <v>336</v>
      </c>
      <c r="D890" t="s">
        <v>165</v>
      </c>
      <c r="E890" s="4">
        <f>IF(AND(Responses!$EF$1="",COUNTA(Responses!$EF$2:$EF$8000)&gt;0),"Column EF on Responses has answers but no header in row 1, so nobody (and Themefinder) knows what this column is.","")</f>
        <v>0</v>
      </c>
      <c r="F890" s="4" t="s">
        <v>607</v>
      </c>
    </row>
    <row r="891" spans="1:6" ht="75" customHeight="1">
      <c r="A891" t="s">
        <v>334</v>
      </c>
      <c r="B891" t="s">
        <v>608</v>
      </c>
      <c r="C891" t="s">
        <v>336</v>
      </c>
      <c r="D891" t="s">
        <v>165</v>
      </c>
      <c r="E891" s="4">
        <f>IF(AND(Responses!$EG$1="",COUNTA(Responses!$EG$2:$EG$8000)&gt;0),"Column EG on Responses has answers but no header in row 1, so nobody (and Themefinder) knows what this column is.","")</f>
        <v>0</v>
      </c>
      <c r="F891" s="4" t="s">
        <v>609</v>
      </c>
    </row>
    <row r="892" spans="1:6" ht="75" customHeight="1">
      <c r="A892" t="s">
        <v>334</v>
      </c>
      <c r="B892" t="s">
        <v>610</v>
      </c>
      <c r="C892" t="s">
        <v>336</v>
      </c>
      <c r="D892" t="s">
        <v>165</v>
      </c>
      <c r="E892" s="4">
        <f>IF(AND(Responses!$EH$1="",COUNTA(Responses!$EH$2:$EH$8000)&gt;0),"Column EH on Responses has answers but no header in row 1, so nobody (and Themefinder) knows what this column is.","")</f>
        <v>0</v>
      </c>
      <c r="F892" s="4" t="s">
        <v>611</v>
      </c>
    </row>
    <row r="893" spans="1:6" ht="75" customHeight="1">
      <c r="A893" t="s">
        <v>334</v>
      </c>
      <c r="B893" t="s">
        <v>612</v>
      </c>
      <c r="C893" t="s">
        <v>336</v>
      </c>
      <c r="D893" t="s">
        <v>165</v>
      </c>
      <c r="E893" s="4">
        <f>IF(AND(Responses!$EI$1="",COUNTA(Responses!$EI$2:$EI$8000)&gt;0),"Column EI on Responses has answers but no header in row 1, so nobody (and Themefinder) knows what this column is.","")</f>
        <v>0</v>
      </c>
      <c r="F893" s="4" t="s">
        <v>613</v>
      </c>
    </row>
    <row r="894" spans="1:6" ht="75" customHeight="1">
      <c r="A894" t="s">
        <v>334</v>
      </c>
      <c r="B894" t="s">
        <v>614</v>
      </c>
      <c r="C894" t="s">
        <v>336</v>
      </c>
      <c r="D894" t="s">
        <v>165</v>
      </c>
      <c r="E894" s="4">
        <f>IF(AND(Responses!$EJ$1="",COUNTA(Responses!$EJ$2:$EJ$8000)&gt;0),"Column EJ on Responses has answers but no header in row 1, so nobody (and Themefinder) knows what this column is.","")</f>
        <v>0</v>
      </c>
      <c r="F894" s="4" t="s">
        <v>615</v>
      </c>
    </row>
    <row r="895" spans="1:6" ht="75" customHeight="1">
      <c r="A895" t="s">
        <v>334</v>
      </c>
      <c r="B895" t="s">
        <v>616</v>
      </c>
      <c r="C895" t="s">
        <v>336</v>
      </c>
      <c r="D895" t="s">
        <v>165</v>
      </c>
      <c r="E895" s="4">
        <f>IF(AND(Responses!$EK$1="",COUNTA(Responses!$EK$2:$EK$8000)&gt;0),"Column EK on Responses has answers but no header in row 1, so nobody (and Themefinder) knows what this column is.","")</f>
        <v>0</v>
      </c>
      <c r="F895" s="4" t="s">
        <v>617</v>
      </c>
    </row>
    <row r="896" spans="1:6" ht="75" customHeight="1">
      <c r="A896" t="s">
        <v>334</v>
      </c>
      <c r="B896" t="s">
        <v>618</v>
      </c>
      <c r="C896" t="s">
        <v>336</v>
      </c>
      <c r="D896" t="s">
        <v>165</v>
      </c>
      <c r="E896" s="4">
        <f>IF(AND(Responses!$EL$1="",COUNTA(Responses!$EL$2:$EL$8000)&gt;0),"Column EL on Responses has answers but no header in row 1, so nobody (and Themefinder) knows what this column is.","")</f>
        <v>0</v>
      </c>
      <c r="F896" s="4" t="s">
        <v>619</v>
      </c>
    </row>
    <row r="897" spans="1:6" ht="75" customHeight="1">
      <c r="A897" t="s">
        <v>334</v>
      </c>
      <c r="B897" t="s">
        <v>620</v>
      </c>
      <c r="C897" t="s">
        <v>336</v>
      </c>
      <c r="D897" t="s">
        <v>165</v>
      </c>
      <c r="E897" s="4">
        <f>IF(AND(Responses!$EM$1="",COUNTA(Responses!$EM$2:$EM$8000)&gt;0),"Column EM on Responses has answers but no header in row 1, so nobody (and Themefinder) knows what this column is.","")</f>
        <v>0</v>
      </c>
      <c r="F897" s="4" t="s">
        <v>621</v>
      </c>
    </row>
    <row r="898" spans="1:6" ht="75" customHeight="1">
      <c r="A898" t="s">
        <v>334</v>
      </c>
      <c r="B898" t="s">
        <v>622</v>
      </c>
      <c r="C898" t="s">
        <v>336</v>
      </c>
      <c r="D898" t="s">
        <v>165</v>
      </c>
      <c r="E898" s="4">
        <f>IF(AND(Responses!$EN$1="",COUNTA(Responses!$EN$2:$EN$8000)&gt;0),"Column EN on Responses has answers but no header in row 1, so nobody (and Themefinder) knows what this column is.","")</f>
        <v>0</v>
      </c>
      <c r="F898" s="4" t="s">
        <v>623</v>
      </c>
    </row>
    <row r="899" spans="1:6" ht="75" customHeight="1">
      <c r="A899" t="s">
        <v>334</v>
      </c>
      <c r="B899" t="s">
        <v>624</v>
      </c>
      <c r="C899" t="s">
        <v>336</v>
      </c>
      <c r="D899" t="s">
        <v>165</v>
      </c>
      <c r="E899" s="4">
        <f>IF(AND(Responses!$EO$1="",COUNTA(Responses!$EO$2:$EO$8000)&gt;0),"Column EO on Responses has answers but no header in row 1, so nobody (and Themefinder) knows what this column is.","")</f>
        <v>0</v>
      </c>
      <c r="F899" s="4" t="s">
        <v>625</v>
      </c>
    </row>
    <row r="900" spans="1:6" ht="75" customHeight="1">
      <c r="A900" t="s">
        <v>334</v>
      </c>
      <c r="B900" t="s">
        <v>626</v>
      </c>
      <c r="C900" t="s">
        <v>336</v>
      </c>
      <c r="D900" t="s">
        <v>165</v>
      </c>
      <c r="E900" s="4">
        <f>IF(AND(Responses!$EP$1="",COUNTA(Responses!$EP$2:$EP$8000)&gt;0),"Column EP on Responses has answers but no header in row 1, so nobody (and Themefinder) knows what this column is.","")</f>
        <v>0</v>
      </c>
      <c r="F900" s="4" t="s">
        <v>627</v>
      </c>
    </row>
    <row r="901" spans="1:6" ht="75" customHeight="1">
      <c r="A901" t="s">
        <v>334</v>
      </c>
      <c r="B901" t="s">
        <v>628</v>
      </c>
      <c r="C901" t="s">
        <v>336</v>
      </c>
      <c r="D901" t="s">
        <v>165</v>
      </c>
      <c r="E901" s="4">
        <f>IF(AND(Responses!$EQ$1="",COUNTA(Responses!$EQ$2:$EQ$8000)&gt;0),"Column EQ on Responses has answers but no header in row 1, so nobody (and Themefinder) knows what this column is.","")</f>
        <v>0</v>
      </c>
      <c r="F901" s="4" t="s">
        <v>629</v>
      </c>
    </row>
    <row r="902" spans="1:6" ht="75" customHeight="1">
      <c r="A902" t="s">
        <v>334</v>
      </c>
      <c r="B902" t="s">
        <v>630</v>
      </c>
      <c r="C902" t="s">
        <v>336</v>
      </c>
      <c r="D902" t="s">
        <v>165</v>
      </c>
      <c r="E902" s="4">
        <f>IF(AND(Responses!$ER$1="",COUNTA(Responses!$ER$2:$ER$8000)&gt;0),"Column ER on Responses has answers but no header in row 1, so nobody (and Themefinder) knows what this column is.","")</f>
        <v>0</v>
      </c>
      <c r="F902" s="4" t="s">
        <v>631</v>
      </c>
    </row>
    <row r="903" spans="1:6" ht="75" customHeight="1">
      <c r="A903" t="s">
        <v>334</v>
      </c>
      <c r="B903" t="s">
        <v>632</v>
      </c>
      <c r="C903" t="s">
        <v>336</v>
      </c>
      <c r="D903" t="s">
        <v>165</v>
      </c>
      <c r="E903" s="4">
        <f>IF(AND(Responses!$ES$1="",COUNTA(Responses!$ES$2:$ES$8000)&gt;0),"Column ES on Responses has answers but no header in row 1, so nobody (and Themefinder) knows what this column is.","")</f>
        <v>0</v>
      </c>
      <c r="F903" s="4" t="s">
        <v>633</v>
      </c>
    </row>
    <row r="904" spans="1:6" ht="75" customHeight="1">
      <c r="A904" t="s">
        <v>334</v>
      </c>
      <c r="B904" t="s">
        <v>634</v>
      </c>
      <c r="C904" t="s">
        <v>336</v>
      </c>
      <c r="D904" t="s">
        <v>165</v>
      </c>
      <c r="E904" s="4">
        <f>IF(AND(Responses!$ET$1="",COUNTA(Responses!$ET$2:$ET$8000)&gt;0),"Column ET on Responses has answers but no header in row 1, so nobody (and Themefinder) knows what this column is.","")</f>
        <v>0</v>
      </c>
      <c r="F904" s="4" t="s">
        <v>635</v>
      </c>
    </row>
    <row r="905" spans="1:6" ht="75" customHeight="1">
      <c r="A905" t="s">
        <v>334</v>
      </c>
      <c r="B905" t="s">
        <v>636</v>
      </c>
      <c r="C905" t="s">
        <v>336</v>
      </c>
      <c r="D905" t="s">
        <v>165</v>
      </c>
      <c r="E905" s="4">
        <f>IF(AND(Responses!$EU$1="",COUNTA(Responses!$EU$2:$EU$8000)&gt;0),"Column EU on Responses has answers but no header in row 1, so nobody (and Themefinder) knows what this column is.","")</f>
        <v>0</v>
      </c>
      <c r="F905" s="4" t="s">
        <v>637</v>
      </c>
    </row>
    <row r="906" spans="1:6" ht="75" customHeight="1">
      <c r="A906" t="s">
        <v>334</v>
      </c>
      <c r="B906" t="s">
        <v>638</v>
      </c>
      <c r="C906" t="s">
        <v>336</v>
      </c>
      <c r="D906" t="s">
        <v>165</v>
      </c>
      <c r="E906" s="4">
        <f>IF(AND(Responses!$EV$1="",COUNTA(Responses!$EV$2:$EV$8000)&gt;0),"Column EV on Responses has answers but no header in row 1, so nobody (and Themefinder) knows what this column is.","")</f>
        <v>0</v>
      </c>
      <c r="F906" s="4" t="s">
        <v>639</v>
      </c>
    </row>
    <row r="907" spans="1:6" ht="75" customHeight="1">
      <c r="A907" t="s">
        <v>334</v>
      </c>
      <c r="B907" t="s">
        <v>640</v>
      </c>
      <c r="C907" t="s">
        <v>336</v>
      </c>
      <c r="D907" t="s">
        <v>165</v>
      </c>
      <c r="E907" s="4">
        <f>IF(AND(Responses!$EW$1="",COUNTA(Responses!$EW$2:$EW$8000)&gt;0),"Column EW on Responses has answers but no header in row 1, so nobody (and Themefinder) knows what this column is.","")</f>
        <v>0</v>
      </c>
      <c r="F907" s="4" t="s">
        <v>641</v>
      </c>
    </row>
    <row r="908" spans="1:6" ht="75" customHeight="1">
      <c r="A908" t="s">
        <v>334</v>
      </c>
      <c r="B908" t="s">
        <v>642</v>
      </c>
      <c r="C908" t="s">
        <v>336</v>
      </c>
      <c r="D908" t="s">
        <v>165</v>
      </c>
      <c r="E908" s="4">
        <f>IF(AND(Responses!$EX$1="",COUNTA(Responses!$EX$2:$EX$8000)&gt;0),"Column EX on Responses has answers but no header in row 1, so nobody (and Themefinder) knows what this column is.","")</f>
        <v>0</v>
      </c>
      <c r="F908" s="4" t="s">
        <v>643</v>
      </c>
    </row>
    <row r="909" spans="1:6" ht="75" customHeight="1">
      <c r="A909" t="s">
        <v>334</v>
      </c>
      <c r="B909" t="s">
        <v>644</v>
      </c>
      <c r="C909" t="s">
        <v>336</v>
      </c>
      <c r="D909" t="s">
        <v>165</v>
      </c>
      <c r="E909" s="4">
        <f>IF(AND(Responses!$EY$1="",COUNTA(Responses!$EY$2:$EY$8000)&gt;0),"Column EY on Responses has answers but no header in row 1, so nobody (and Themefinder) knows what this column is.","")</f>
        <v>0</v>
      </c>
      <c r="F909" s="4" t="s">
        <v>645</v>
      </c>
    </row>
    <row r="910" spans="1:6" ht="75" customHeight="1">
      <c r="A910" t="s">
        <v>334</v>
      </c>
      <c r="B910" t="s">
        <v>646</v>
      </c>
      <c r="C910" t="s">
        <v>336</v>
      </c>
      <c r="D910" t="s">
        <v>165</v>
      </c>
      <c r="E910" s="4">
        <f>IF(AND(Responses!$EZ$1="",COUNTA(Responses!$EZ$2:$EZ$8000)&gt;0),"Column EZ on Responses has answers but no header in row 1, so nobody (and Themefinder) knows what this column is.","")</f>
        <v>0</v>
      </c>
      <c r="F910" s="4" t="s">
        <v>647</v>
      </c>
    </row>
    <row r="911" spans="1:6" ht="75" customHeight="1">
      <c r="A911" t="s">
        <v>334</v>
      </c>
      <c r="B911" t="s">
        <v>648</v>
      </c>
      <c r="C911" t="s">
        <v>336</v>
      </c>
      <c r="D911" t="s">
        <v>165</v>
      </c>
      <c r="E911" s="4">
        <f>IF(AND(Responses!$FA$1="",COUNTA(Responses!$FA$2:$FA$8000)&gt;0),"Column FA on Responses has answers but no header in row 1, so nobody (and Themefinder) knows what this column is.","")</f>
        <v>0</v>
      </c>
      <c r="F911" s="4" t="s">
        <v>649</v>
      </c>
    </row>
    <row r="912" spans="1:6" ht="75" customHeight="1">
      <c r="A912" t="s">
        <v>334</v>
      </c>
      <c r="B912" t="s">
        <v>650</v>
      </c>
      <c r="C912" t="s">
        <v>336</v>
      </c>
      <c r="D912" t="s">
        <v>165</v>
      </c>
      <c r="E912" s="4">
        <f>IF(AND(Responses!$FB$1="",COUNTA(Responses!$FB$2:$FB$8000)&gt;0),"Column FB on Responses has answers but no header in row 1, so nobody (and Themefinder) knows what this column is.","")</f>
        <v>0</v>
      </c>
      <c r="F912" s="4" t="s">
        <v>651</v>
      </c>
    </row>
    <row r="913" spans="1:6" ht="75" customHeight="1">
      <c r="A913" t="s">
        <v>334</v>
      </c>
      <c r="B913" t="s">
        <v>652</v>
      </c>
      <c r="C913" t="s">
        <v>336</v>
      </c>
      <c r="D913" t="s">
        <v>165</v>
      </c>
      <c r="E913" s="4">
        <f>IF(AND(Responses!$FC$1="",COUNTA(Responses!$FC$2:$FC$8000)&gt;0),"Column FC on Responses has answers but no header in row 1, so nobody (and Themefinder) knows what this column is.","")</f>
        <v>0</v>
      </c>
      <c r="F913" s="4" t="s">
        <v>653</v>
      </c>
    </row>
    <row r="914" spans="1:6" ht="75" customHeight="1">
      <c r="A914" t="s">
        <v>334</v>
      </c>
      <c r="B914" t="s">
        <v>654</v>
      </c>
      <c r="C914" t="s">
        <v>336</v>
      </c>
      <c r="D914" t="s">
        <v>165</v>
      </c>
      <c r="E914" s="4">
        <f>IF(AND(Responses!$FD$1="",COUNTA(Responses!$FD$2:$FD$8000)&gt;0),"Column FD on Responses has answers but no header in row 1, so nobody (and Themefinder) knows what this column is.","")</f>
        <v>0</v>
      </c>
      <c r="F914" s="4" t="s">
        <v>655</v>
      </c>
    </row>
    <row r="915" spans="1:6" ht="75" customHeight="1">
      <c r="A915" t="s">
        <v>334</v>
      </c>
      <c r="B915" t="s">
        <v>656</v>
      </c>
      <c r="C915" t="s">
        <v>336</v>
      </c>
      <c r="D915" t="s">
        <v>165</v>
      </c>
      <c r="E915" s="4">
        <f>IF(AND(Responses!$FE$1="",COUNTA(Responses!$FE$2:$FE$8000)&gt;0),"Column FE on Responses has answers but no header in row 1, so nobody (and Themefinder) knows what this column is.","")</f>
        <v>0</v>
      </c>
      <c r="F915" s="4" t="s">
        <v>657</v>
      </c>
    </row>
    <row r="916" spans="1:6" ht="75" customHeight="1">
      <c r="A916" t="s">
        <v>334</v>
      </c>
      <c r="B916" t="s">
        <v>658</v>
      </c>
      <c r="C916" t="s">
        <v>336</v>
      </c>
      <c r="D916" t="s">
        <v>165</v>
      </c>
      <c r="E916" s="4">
        <f>IF(AND(Responses!$FF$1="",COUNTA(Responses!$FF$2:$FF$8000)&gt;0),"Column FF on Responses has answers but no header in row 1, so nobody (and Themefinder) knows what this column is.","")</f>
        <v>0</v>
      </c>
      <c r="F916" s="4" t="s">
        <v>659</v>
      </c>
    </row>
    <row r="917" spans="1:6" ht="75" customHeight="1">
      <c r="A917" t="s">
        <v>334</v>
      </c>
      <c r="B917" t="s">
        <v>660</v>
      </c>
      <c r="C917" t="s">
        <v>336</v>
      </c>
      <c r="D917" t="s">
        <v>165</v>
      </c>
      <c r="E917" s="4">
        <f>IF(AND(Responses!$FG$1="",COUNTA(Responses!$FG$2:$FG$8000)&gt;0),"Column FG on Responses has answers but no header in row 1, so nobody (and Themefinder) knows what this column is.","")</f>
        <v>0</v>
      </c>
      <c r="F917" s="4" t="s">
        <v>661</v>
      </c>
    </row>
    <row r="918" spans="1:6" ht="75" customHeight="1">
      <c r="A918" t="s">
        <v>334</v>
      </c>
      <c r="B918" t="s">
        <v>662</v>
      </c>
      <c r="C918" t="s">
        <v>336</v>
      </c>
      <c r="D918" t="s">
        <v>165</v>
      </c>
      <c r="E918" s="4">
        <f>IF(AND(Responses!$FH$1="",COUNTA(Responses!$FH$2:$FH$8000)&gt;0),"Column FH on Responses has answers but no header in row 1, so nobody (and Themefinder) knows what this column is.","")</f>
        <v>0</v>
      </c>
      <c r="F918" s="4" t="s">
        <v>663</v>
      </c>
    </row>
    <row r="919" spans="1:6" ht="75" customHeight="1">
      <c r="A919" t="s">
        <v>334</v>
      </c>
      <c r="B919" t="s">
        <v>664</v>
      </c>
      <c r="C919" t="s">
        <v>336</v>
      </c>
      <c r="D919" t="s">
        <v>165</v>
      </c>
      <c r="E919" s="4">
        <f>IF(AND(Responses!$FI$1="",COUNTA(Responses!$FI$2:$FI$8000)&gt;0),"Column FI on Responses has answers but no header in row 1, so nobody (and Themefinder) knows what this column is.","")</f>
        <v>0</v>
      </c>
      <c r="F919" s="4" t="s">
        <v>665</v>
      </c>
    </row>
    <row r="920" spans="1:6" ht="75" customHeight="1">
      <c r="A920" t="s">
        <v>334</v>
      </c>
      <c r="B920" t="s">
        <v>666</v>
      </c>
      <c r="C920" t="s">
        <v>336</v>
      </c>
      <c r="D920" t="s">
        <v>165</v>
      </c>
      <c r="E920" s="4">
        <f>IF(AND(Responses!$FJ$1="",COUNTA(Responses!$FJ$2:$FJ$8000)&gt;0),"Column FJ on Responses has answers but no header in row 1, so nobody (and Themefinder) knows what this column is.","")</f>
        <v>0</v>
      </c>
      <c r="F920" s="4" t="s">
        <v>667</v>
      </c>
    </row>
    <row r="921" spans="1:6" ht="75" customHeight="1">
      <c r="A921" t="s">
        <v>334</v>
      </c>
      <c r="B921" t="s">
        <v>668</v>
      </c>
      <c r="C921" t="s">
        <v>336</v>
      </c>
      <c r="D921" t="s">
        <v>165</v>
      </c>
      <c r="E921" s="4">
        <f>IF(AND(Responses!$FK$1="",COUNTA(Responses!$FK$2:$FK$8000)&gt;0),"Column FK on Responses has answers but no header in row 1, so nobody (and Themefinder) knows what this column is.","")</f>
        <v>0</v>
      </c>
      <c r="F921" s="4" t="s">
        <v>669</v>
      </c>
    </row>
    <row r="922" spans="1:6" ht="75" customHeight="1">
      <c r="A922" t="s">
        <v>334</v>
      </c>
      <c r="B922" t="s">
        <v>670</v>
      </c>
      <c r="C922" t="s">
        <v>336</v>
      </c>
      <c r="D922" t="s">
        <v>165</v>
      </c>
      <c r="E922" s="4">
        <f>IF(AND(Responses!$FL$1="",COUNTA(Responses!$FL$2:$FL$8000)&gt;0),"Column FL on Responses has answers but no header in row 1, so nobody (and Themefinder) knows what this column is.","")</f>
        <v>0</v>
      </c>
      <c r="F922" s="4" t="s">
        <v>671</v>
      </c>
    </row>
    <row r="923" spans="1:6" ht="75" customHeight="1">
      <c r="A923" t="s">
        <v>334</v>
      </c>
      <c r="B923" t="s">
        <v>672</v>
      </c>
      <c r="C923" t="s">
        <v>336</v>
      </c>
      <c r="D923" t="s">
        <v>165</v>
      </c>
      <c r="E923" s="4">
        <f>IF(AND(Responses!$FM$1="",COUNTA(Responses!$FM$2:$FM$8000)&gt;0),"Column FM on Responses has answers but no header in row 1, so nobody (and Themefinder) knows what this column is.","")</f>
        <v>0</v>
      </c>
      <c r="F923" s="4" t="s">
        <v>673</v>
      </c>
    </row>
    <row r="924" spans="1:6" ht="75" customHeight="1">
      <c r="A924" t="s">
        <v>334</v>
      </c>
      <c r="B924" t="s">
        <v>674</v>
      </c>
      <c r="C924" t="s">
        <v>336</v>
      </c>
      <c r="D924" t="s">
        <v>165</v>
      </c>
      <c r="E924" s="4">
        <f>IF(AND(Responses!$FN$1="",COUNTA(Responses!$FN$2:$FN$8000)&gt;0),"Column FN on Responses has answers but no header in row 1, so nobody (and Themefinder) knows what this column is.","")</f>
        <v>0</v>
      </c>
      <c r="F924" s="4" t="s">
        <v>675</v>
      </c>
    </row>
    <row r="925" spans="1:6" ht="75" customHeight="1">
      <c r="A925" t="s">
        <v>334</v>
      </c>
      <c r="B925" t="s">
        <v>676</v>
      </c>
      <c r="C925" t="s">
        <v>336</v>
      </c>
      <c r="D925" t="s">
        <v>165</v>
      </c>
      <c r="E925" s="4">
        <f>IF(AND(Responses!$FO$1="",COUNTA(Responses!$FO$2:$FO$8000)&gt;0),"Column FO on Responses has answers but no header in row 1, so nobody (and Themefinder) knows what this column is.","")</f>
        <v>0</v>
      </c>
      <c r="F925" s="4" t="s">
        <v>677</v>
      </c>
    </row>
    <row r="926" spans="1:6" ht="75" customHeight="1">
      <c r="A926" t="s">
        <v>334</v>
      </c>
      <c r="B926" t="s">
        <v>678</v>
      </c>
      <c r="C926" t="s">
        <v>336</v>
      </c>
      <c r="D926" t="s">
        <v>165</v>
      </c>
      <c r="E926" s="4">
        <f>IF(AND(Responses!$FP$1="",COUNTA(Responses!$FP$2:$FP$8000)&gt;0),"Column FP on Responses has answers but no header in row 1, so nobody (and Themefinder) knows what this column is.","")</f>
        <v>0</v>
      </c>
      <c r="F926" s="4" t="s">
        <v>679</v>
      </c>
    </row>
    <row r="927" spans="1:6" ht="75" customHeight="1">
      <c r="A927" t="s">
        <v>334</v>
      </c>
      <c r="B927" t="s">
        <v>680</v>
      </c>
      <c r="C927" t="s">
        <v>336</v>
      </c>
      <c r="D927" t="s">
        <v>165</v>
      </c>
      <c r="E927" s="4">
        <f>IF(AND(Responses!$FQ$1="",COUNTA(Responses!$FQ$2:$FQ$8000)&gt;0),"Column FQ on Responses has answers but no header in row 1, so nobody (and Themefinder) knows what this column is.","")</f>
        <v>0</v>
      </c>
      <c r="F927" s="4" t="s">
        <v>681</v>
      </c>
    </row>
    <row r="928" spans="1:6" ht="75" customHeight="1">
      <c r="A928" t="s">
        <v>334</v>
      </c>
      <c r="B928" t="s">
        <v>682</v>
      </c>
      <c r="C928" t="s">
        <v>336</v>
      </c>
      <c r="D928" t="s">
        <v>165</v>
      </c>
      <c r="E928" s="4">
        <f>IF(AND(Responses!$FR$1="",COUNTA(Responses!$FR$2:$FR$8000)&gt;0),"Column FR on Responses has answers but no header in row 1, so nobody (and Themefinder) knows what this column is.","")</f>
        <v>0</v>
      </c>
      <c r="F928" s="4" t="s">
        <v>683</v>
      </c>
    </row>
    <row r="929" spans="1:6" ht="75" customHeight="1">
      <c r="A929" t="s">
        <v>334</v>
      </c>
      <c r="B929" t="s">
        <v>684</v>
      </c>
      <c r="C929" t="s">
        <v>336</v>
      </c>
      <c r="D929" t="s">
        <v>165</v>
      </c>
      <c r="E929" s="4">
        <f>IF(AND(Responses!$FS$1="",COUNTA(Responses!$FS$2:$FS$8000)&gt;0),"Column FS on Responses has answers but no header in row 1, so nobody (and Themefinder) knows what this column is.","")</f>
        <v>0</v>
      </c>
      <c r="F929" s="4" t="s">
        <v>685</v>
      </c>
    </row>
    <row r="930" spans="1:6" ht="75" customHeight="1">
      <c r="A930" t="s">
        <v>334</v>
      </c>
      <c r="B930" t="s">
        <v>686</v>
      </c>
      <c r="C930" t="s">
        <v>336</v>
      </c>
      <c r="D930" t="s">
        <v>165</v>
      </c>
      <c r="E930" s="4">
        <f>IF(AND(Responses!$FT$1="",COUNTA(Responses!$FT$2:$FT$8000)&gt;0),"Column FT on Responses has answers but no header in row 1, so nobody (and Themefinder) knows what this column is.","")</f>
        <v>0</v>
      </c>
      <c r="F930" s="4" t="s">
        <v>687</v>
      </c>
    </row>
    <row r="931" spans="1:6" ht="75" customHeight="1">
      <c r="A931" t="s">
        <v>334</v>
      </c>
      <c r="B931" t="s">
        <v>688</v>
      </c>
      <c r="C931" t="s">
        <v>336</v>
      </c>
      <c r="D931" t="s">
        <v>165</v>
      </c>
      <c r="E931" s="4">
        <f>IF(AND(Responses!$FU$1="",COUNTA(Responses!$FU$2:$FU$8000)&gt;0),"Column FU on Responses has answers but no header in row 1, so nobody (and Themefinder) knows what this column is.","")</f>
        <v>0</v>
      </c>
      <c r="F931" s="4" t="s">
        <v>689</v>
      </c>
    </row>
    <row r="932" spans="1:6" ht="75" customHeight="1">
      <c r="A932" t="s">
        <v>334</v>
      </c>
      <c r="B932" t="s">
        <v>690</v>
      </c>
      <c r="C932" t="s">
        <v>336</v>
      </c>
      <c r="D932" t="s">
        <v>165</v>
      </c>
      <c r="E932" s="4">
        <f>IF(AND(Responses!$FV$1="",COUNTA(Responses!$FV$2:$FV$8000)&gt;0),"Column FV on Responses has answers but no header in row 1, so nobody (and Themefinder) knows what this column is.","")</f>
        <v>0</v>
      </c>
      <c r="F932" s="4" t="s">
        <v>691</v>
      </c>
    </row>
    <row r="933" spans="1:6" ht="75" customHeight="1">
      <c r="A933" t="s">
        <v>334</v>
      </c>
      <c r="B933" t="s">
        <v>692</v>
      </c>
      <c r="C933" t="s">
        <v>336</v>
      </c>
      <c r="D933" t="s">
        <v>165</v>
      </c>
      <c r="E933" s="4">
        <f>IF(AND(Responses!$FW$1="",COUNTA(Responses!$FW$2:$FW$8000)&gt;0),"Column FW on Responses has answers but no header in row 1, so nobody (and Themefinder) knows what this column is.","")</f>
        <v>0</v>
      </c>
      <c r="F933" s="4" t="s">
        <v>693</v>
      </c>
    </row>
    <row r="934" spans="1:6" ht="75" customHeight="1">
      <c r="A934" t="s">
        <v>334</v>
      </c>
      <c r="B934" t="s">
        <v>694</v>
      </c>
      <c r="C934" t="s">
        <v>336</v>
      </c>
      <c r="D934" t="s">
        <v>165</v>
      </c>
      <c r="E934" s="4">
        <f>IF(AND(Responses!$FX$1="",COUNTA(Responses!$FX$2:$FX$8000)&gt;0),"Column FX on Responses has answers but no header in row 1, so nobody (and Themefinder) knows what this column is.","")</f>
        <v>0</v>
      </c>
      <c r="F934" s="4" t="s">
        <v>695</v>
      </c>
    </row>
    <row r="935" spans="1:6" ht="75" customHeight="1">
      <c r="A935" t="s">
        <v>334</v>
      </c>
      <c r="B935" t="s">
        <v>696</v>
      </c>
      <c r="C935" t="s">
        <v>336</v>
      </c>
      <c r="D935" t="s">
        <v>165</v>
      </c>
      <c r="E935" s="4">
        <f>IF(AND(Responses!$FY$1="",COUNTA(Responses!$FY$2:$FY$8000)&gt;0),"Column FY on Responses has answers but no header in row 1, so nobody (and Themefinder) knows what this column is.","")</f>
        <v>0</v>
      </c>
      <c r="F935" s="4" t="s">
        <v>697</v>
      </c>
    </row>
    <row r="936" spans="1:6" ht="75" customHeight="1">
      <c r="A936" t="s">
        <v>334</v>
      </c>
      <c r="B936" t="s">
        <v>698</v>
      </c>
      <c r="C936" t="s">
        <v>336</v>
      </c>
      <c r="D936" t="s">
        <v>165</v>
      </c>
      <c r="E936" s="4">
        <f>IF(AND(Responses!$FZ$1="",COUNTA(Responses!$FZ$2:$FZ$8000)&gt;0),"Column FZ on Responses has answers but no header in row 1, so nobody (and Themefinder) knows what this column is.","")</f>
        <v>0</v>
      </c>
      <c r="F936" s="4" t="s">
        <v>699</v>
      </c>
    </row>
    <row r="937" spans="1:6" ht="75" customHeight="1">
      <c r="A937" t="s">
        <v>334</v>
      </c>
      <c r="B937" t="s">
        <v>700</v>
      </c>
      <c r="C937" t="s">
        <v>336</v>
      </c>
      <c r="D937" t="s">
        <v>165</v>
      </c>
      <c r="E937" s="4">
        <f>IF(AND(Responses!$GA$1="",COUNTA(Responses!$GA$2:$GA$8000)&gt;0),"Column GA on Responses has answers but no header in row 1, so nobody (and Themefinder) knows what this column is.","")</f>
        <v>0</v>
      </c>
      <c r="F937" s="4" t="s">
        <v>701</v>
      </c>
    </row>
    <row r="938" spans="1:6" ht="75" customHeight="1">
      <c r="A938" t="s">
        <v>334</v>
      </c>
      <c r="B938" t="s">
        <v>702</v>
      </c>
      <c r="C938" t="s">
        <v>336</v>
      </c>
      <c r="D938" t="s">
        <v>165</v>
      </c>
      <c r="E938" s="4">
        <f>IF(AND(Responses!$GB$1="",COUNTA(Responses!$GB$2:$GB$8000)&gt;0),"Column GB on Responses has answers but no header in row 1, so nobody (and Themefinder) knows what this column is.","")</f>
        <v>0</v>
      </c>
      <c r="F938" s="4" t="s">
        <v>703</v>
      </c>
    </row>
    <row r="939" spans="1:6" ht="75" customHeight="1">
      <c r="A939" t="s">
        <v>334</v>
      </c>
      <c r="B939" t="s">
        <v>704</v>
      </c>
      <c r="C939" t="s">
        <v>336</v>
      </c>
      <c r="D939" t="s">
        <v>165</v>
      </c>
      <c r="E939" s="4">
        <f>IF(AND(Responses!$GC$1="",COUNTA(Responses!$GC$2:$GC$8000)&gt;0),"Column GC on Responses has answers but no header in row 1, so nobody (and Themefinder) knows what this column is.","")</f>
        <v>0</v>
      </c>
      <c r="F939" s="4" t="s">
        <v>705</v>
      </c>
    </row>
    <row r="940" spans="1:6" ht="75" customHeight="1">
      <c r="A940" t="s">
        <v>334</v>
      </c>
      <c r="B940" t="s">
        <v>706</v>
      </c>
      <c r="C940" t="s">
        <v>336</v>
      </c>
      <c r="D940" t="s">
        <v>165</v>
      </c>
      <c r="E940" s="4">
        <f>IF(AND(Responses!$GD$1="",COUNTA(Responses!$GD$2:$GD$8000)&gt;0),"Column GD on Responses has answers but no header in row 1, so nobody (and Themefinder) knows what this column is.","")</f>
        <v>0</v>
      </c>
      <c r="F940" s="4" t="s">
        <v>707</v>
      </c>
    </row>
    <row r="941" spans="1:6" ht="75" customHeight="1">
      <c r="A941" t="s">
        <v>334</v>
      </c>
      <c r="B941" t="s">
        <v>708</v>
      </c>
      <c r="C941" t="s">
        <v>336</v>
      </c>
      <c r="D941" t="s">
        <v>165</v>
      </c>
      <c r="E941" s="4">
        <f>IF(AND(Responses!$GE$1="",COUNTA(Responses!$GE$2:$GE$8000)&gt;0),"Column GE on Responses has answers but no header in row 1, so nobody (and Themefinder) knows what this column is.","")</f>
        <v>0</v>
      </c>
      <c r="F941" s="4" t="s">
        <v>709</v>
      </c>
    </row>
    <row r="942" spans="1:6" ht="75" customHeight="1">
      <c r="A942" t="s">
        <v>334</v>
      </c>
      <c r="B942" t="s">
        <v>710</v>
      </c>
      <c r="C942" t="s">
        <v>336</v>
      </c>
      <c r="D942" t="s">
        <v>165</v>
      </c>
      <c r="E942" s="4">
        <f>IF(AND(Responses!$GF$1="",COUNTA(Responses!$GF$2:$GF$8000)&gt;0),"Column GF on Responses has answers but no header in row 1, so nobody (and Themefinder) knows what this column is.","")</f>
        <v>0</v>
      </c>
      <c r="F942" s="4" t="s">
        <v>711</v>
      </c>
    </row>
    <row r="943" spans="1:6" ht="75" customHeight="1">
      <c r="A943" t="s">
        <v>334</v>
      </c>
      <c r="B943" t="s">
        <v>712</v>
      </c>
      <c r="C943" t="s">
        <v>336</v>
      </c>
      <c r="D943" t="s">
        <v>165</v>
      </c>
      <c r="E943" s="4">
        <f>IF(AND(Responses!$GG$1="",COUNTA(Responses!$GG$2:$GG$8000)&gt;0),"Column GG on Responses has answers but no header in row 1, so nobody (and Themefinder) knows what this column is.","")</f>
        <v>0</v>
      </c>
      <c r="F943" s="4" t="s">
        <v>713</v>
      </c>
    </row>
    <row r="944" spans="1:6" ht="75" customHeight="1">
      <c r="A944" t="s">
        <v>334</v>
      </c>
      <c r="B944" t="s">
        <v>714</v>
      </c>
      <c r="C944" t="s">
        <v>336</v>
      </c>
      <c r="D944" t="s">
        <v>165</v>
      </c>
      <c r="E944" s="4">
        <f>IF(AND(Responses!$GH$1="",COUNTA(Responses!$GH$2:$GH$8000)&gt;0),"Column GH on Responses has answers but no header in row 1, so nobody (and Themefinder) knows what this column is.","")</f>
        <v>0</v>
      </c>
      <c r="F944" s="4" t="s">
        <v>715</v>
      </c>
    </row>
    <row r="945" spans="1:6" ht="75" customHeight="1">
      <c r="A945" t="s">
        <v>334</v>
      </c>
      <c r="B945" t="s">
        <v>716</v>
      </c>
      <c r="C945" t="s">
        <v>336</v>
      </c>
      <c r="D945" t="s">
        <v>165</v>
      </c>
      <c r="E945" s="4">
        <f>IF(AND(Responses!$GI$1="",COUNTA(Responses!$GI$2:$GI$8000)&gt;0),"Column GI on Responses has answers but no header in row 1, so nobody (and Themefinder) knows what this column is.","")</f>
        <v>0</v>
      </c>
      <c r="F945" s="4" t="s">
        <v>717</v>
      </c>
    </row>
    <row r="946" spans="1:6" ht="75" customHeight="1">
      <c r="A946" t="s">
        <v>334</v>
      </c>
      <c r="B946" t="s">
        <v>718</v>
      </c>
      <c r="C946" t="s">
        <v>336</v>
      </c>
      <c r="D946" t="s">
        <v>165</v>
      </c>
      <c r="E946" s="4">
        <f>IF(AND(Responses!$GJ$1="",COUNTA(Responses!$GJ$2:$GJ$8000)&gt;0),"Column GJ on Responses has answers but no header in row 1, so nobody (and Themefinder) knows what this column is.","")</f>
        <v>0</v>
      </c>
      <c r="F946" s="4" t="s">
        <v>719</v>
      </c>
    </row>
    <row r="947" spans="1:6" ht="75" customHeight="1">
      <c r="A947" t="s">
        <v>334</v>
      </c>
      <c r="B947" t="s">
        <v>720</v>
      </c>
      <c r="C947" t="s">
        <v>336</v>
      </c>
      <c r="D947" t="s">
        <v>165</v>
      </c>
      <c r="E947" s="4">
        <f>IF(AND(Responses!$GK$1="",COUNTA(Responses!$GK$2:$GK$8000)&gt;0),"Column GK on Responses has answers but no header in row 1, so nobody (and Themefinder) knows what this column is.","")</f>
        <v>0</v>
      </c>
      <c r="F947" s="4" t="s">
        <v>721</v>
      </c>
    </row>
    <row r="948" spans="1:6" ht="75" customHeight="1">
      <c r="A948" t="s">
        <v>334</v>
      </c>
      <c r="B948" t="s">
        <v>722</v>
      </c>
      <c r="C948" t="s">
        <v>336</v>
      </c>
      <c r="D948" t="s">
        <v>165</v>
      </c>
      <c r="E948" s="4">
        <f>IF(AND(Responses!$GL$1="",COUNTA(Responses!$GL$2:$GL$8000)&gt;0),"Column GL on Responses has answers but no header in row 1, so nobody (and Themefinder) knows what this column is.","")</f>
        <v>0</v>
      </c>
      <c r="F948" s="4" t="s">
        <v>723</v>
      </c>
    </row>
    <row r="949" spans="1:6" ht="75" customHeight="1">
      <c r="A949" t="s">
        <v>334</v>
      </c>
      <c r="B949" t="s">
        <v>724</v>
      </c>
      <c r="C949" t="s">
        <v>336</v>
      </c>
      <c r="D949" t="s">
        <v>165</v>
      </c>
      <c r="E949" s="4">
        <f>IF(AND(Responses!$GM$1="",COUNTA(Responses!$GM$2:$GM$8000)&gt;0),"Column GM on Responses has answers but no header in row 1, so nobody (and Themefinder) knows what this column is.","")</f>
        <v>0</v>
      </c>
      <c r="F949" s="4" t="s">
        <v>725</v>
      </c>
    </row>
    <row r="950" spans="1:6" ht="75" customHeight="1">
      <c r="A950" t="s">
        <v>334</v>
      </c>
      <c r="B950" t="s">
        <v>726</v>
      </c>
      <c r="C950" t="s">
        <v>336</v>
      </c>
      <c r="D950" t="s">
        <v>165</v>
      </c>
      <c r="E950" s="4">
        <f>IF(AND(Responses!$GN$1="",COUNTA(Responses!$GN$2:$GN$8000)&gt;0),"Column GN on Responses has answers but no header in row 1, so nobody (and Themefinder) knows what this column is.","")</f>
        <v>0</v>
      </c>
      <c r="F950" s="4" t="s">
        <v>727</v>
      </c>
    </row>
    <row r="951" spans="1:6" ht="75" customHeight="1">
      <c r="A951" t="s">
        <v>334</v>
      </c>
      <c r="B951" t="s">
        <v>728</v>
      </c>
      <c r="C951" t="s">
        <v>336</v>
      </c>
      <c r="D951" t="s">
        <v>165</v>
      </c>
      <c r="E951" s="4">
        <f>IF(AND(Responses!$GO$1="",COUNTA(Responses!$GO$2:$GO$8000)&gt;0),"Column GO on Responses has answers but no header in row 1, so nobody (and Themefinder) knows what this column is.","")</f>
        <v>0</v>
      </c>
      <c r="F951" s="4" t="s">
        <v>729</v>
      </c>
    </row>
    <row r="952" spans="1:6" ht="75" customHeight="1">
      <c r="A952" t="s">
        <v>334</v>
      </c>
      <c r="B952" t="s">
        <v>730</v>
      </c>
      <c r="C952" t="s">
        <v>336</v>
      </c>
      <c r="D952" t="s">
        <v>165</v>
      </c>
      <c r="E952" s="4">
        <f>IF(AND(Responses!$GP$1="",COUNTA(Responses!$GP$2:$GP$8000)&gt;0),"Column GP on Responses has answers but no header in row 1, so nobody (and Themefinder) knows what this column is.","")</f>
        <v>0</v>
      </c>
      <c r="F952" s="4" t="s">
        <v>731</v>
      </c>
    </row>
    <row r="953" spans="1:6" ht="75" customHeight="1">
      <c r="A953" t="s">
        <v>334</v>
      </c>
      <c r="B953" t="s">
        <v>732</v>
      </c>
      <c r="C953" t="s">
        <v>336</v>
      </c>
      <c r="D953" t="s">
        <v>165</v>
      </c>
      <c r="E953" s="4">
        <f>IF(AND(Responses!$GQ$1="",COUNTA(Responses!$GQ$2:$GQ$8000)&gt;0),"Column GQ on Responses has answers but no header in row 1, so nobody (and Themefinder) knows what this column is.","")</f>
        <v>0</v>
      </c>
      <c r="F953" s="4" t="s">
        <v>733</v>
      </c>
    </row>
    <row r="954" spans="1:6" ht="75" customHeight="1">
      <c r="A954" t="s">
        <v>334</v>
      </c>
      <c r="B954" t="s">
        <v>734</v>
      </c>
      <c r="C954" t="s">
        <v>336</v>
      </c>
      <c r="D954" t="s">
        <v>165</v>
      </c>
      <c r="E954" s="4">
        <f>IF(AND(Responses!$GR$1="",COUNTA(Responses!$GR$2:$GR$8000)&gt;0),"Column GR on Responses has answers but no header in row 1, so nobody (and Themefinder) knows what this column is.","")</f>
        <v>0</v>
      </c>
      <c r="F954" s="4" t="s">
        <v>735</v>
      </c>
    </row>
    <row r="955" spans="1:6" ht="75" customHeight="1">
      <c r="A955" t="s">
        <v>334</v>
      </c>
      <c r="B955" t="s">
        <v>736</v>
      </c>
      <c r="C955" t="s">
        <v>336</v>
      </c>
      <c r="D955" t="s">
        <v>165</v>
      </c>
      <c r="E955" s="4">
        <f>IF(AND(Responses!$GS$1="",COUNTA(Responses!$GS$2:$GS$8000)&gt;0),"Column GS on Responses has answers but no header in row 1, so nobody (and Themefinder) knows what this column is.","")</f>
        <v>0</v>
      </c>
      <c r="F955" s="4" t="s">
        <v>737</v>
      </c>
    </row>
    <row r="956" spans="1:6" ht="75" customHeight="1">
      <c r="A956" t="s">
        <v>334</v>
      </c>
      <c r="B956" t="s">
        <v>738</v>
      </c>
      <c r="C956" t="s">
        <v>336</v>
      </c>
      <c r="D956" t="s">
        <v>165</v>
      </c>
      <c r="E956" s="4">
        <f>IF(AND(Responses!$GT$1="",COUNTA(Responses!$GT$2:$GT$8000)&gt;0),"Column GT on Responses has answers but no header in row 1, so nobody (and Themefinder) knows what this column is.","")</f>
        <v>0</v>
      </c>
      <c r="F956" s="4" t="s">
        <v>739</v>
      </c>
    </row>
    <row r="957" spans="1:6" ht="75" customHeight="1">
      <c r="A957" t="s">
        <v>334</v>
      </c>
      <c r="B957" t="s">
        <v>740</v>
      </c>
      <c r="C957" t="s">
        <v>336</v>
      </c>
      <c r="D957" t="s">
        <v>165</v>
      </c>
      <c r="E957" s="4">
        <f>IF(AND(Responses!$GU$1="",COUNTA(Responses!$GU$2:$GU$8000)&gt;0),"Column GU on Responses has answers but no header in row 1, so nobody (and Themefinder) knows what this column is.","")</f>
        <v>0</v>
      </c>
      <c r="F957" s="4" t="s">
        <v>741</v>
      </c>
    </row>
    <row r="958" spans="1:6" ht="75" customHeight="1">
      <c r="A958" t="s">
        <v>334</v>
      </c>
      <c r="B958" t="s">
        <v>742</v>
      </c>
      <c r="C958" t="s">
        <v>336</v>
      </c>
      <c r="D958" t="s">
        <v>165</v>
      </c>
      <c r="E958" s="4">
        <f>IF(AND(Responses!$GV$1="",COUNTA(Responses!$GV$2:$GV$8000)&gt;0),"Column GV on Responses has answers but no header in row 1, so nobody (and Themefinder) knows what this column is.","")</f>
        <v>0</v>
      </c>
      <c r="F958" s="4" t="s">
        <v>743</v>
      </c>
    </row>
    <row r="959" spans="1:6" ht="75" customHeight="1">
      <c r="A959" t="s">
        <v>334</v>
      </c>
      <c r="B959" t="s">
        <v>744</v>
      </c>
      <c r="C959" t="s">
        <v>336</v>
      </c>
      <c r="D959" t="s">
        <v>165</v>
      </c>
      <c r="E959" s="4">
        <f>IF(AND(Responses!$GW$1="",COUNTA(Responses!$GW$2:$GW$8000)&gt;0),"Column GW on Responses has answers but no header in row 1, so nobody (and Themefinder) knows what this column is.","")</f>
        <v>0</v>
      </c>
      <c r="F959" s="4" t="s">
        <v>745</v>
      </c>
    </row>
    <row r="960" spans="1:6" ht="75" customHeight="1">
      <c r="A960" t="s">
        <v>334</v>
      </c>
      <c r="B960" t="s">
        <v>746</v>
      </c>
      <c r="C960" t="s">
        <v>336</v>
      </c>
      <c r="D960" t="s">
        <v>165</v>
      </c>
      <c r="E960" s="4">
        <f>IF(AND(Responses!$GX$1="",COUNTA(Responses!$GX$2:$GX$8000)&gt;0),"Column GX on Responses has answers but no header in row 1, so nobody (and Themefinder) knows what this column is.","")</f>
        <v>0</v>
      </c>
      <c r="F960" s="4" t="s">
        <v>747</v>
      </c>
    </row>
    <row r="961" spans="1:6" ht="75" customHeight="1">
      <c r="A961" t="s">
        <v>334</v>
      </c>
      <c r="B961" t="s">
        <v>748</v>
      </c>
      <c r="C961" t="s">
        <v>336</v>
      </c>
      <c r="D961" t="s">
        <v>165</v>
      </c>
      <c r="E961" s="4">
        <f>IF(AND(Responses!$GY$1="",COUNTA(Responses!$GY$2:$GY$8000)&gt;0),"Column GY on Responses has answers but no header in row 1, so nobody (and Themefinder) knows what this column is.","")</f>
        <v>0</v>
      </c>
      <c r="F961" s="4" t="s">
        <v>749</v>
      </c>
    </row>
    <row r="962" spans="1:6" ht="75" customHeight="1">
      <c r="A962" t="s">
        <v>334</v>
      </c>
      <c r="B962" t="s">
        <v>750</v>
      </c>
      <c r="C962" t="s">
        <v>336</v>
      </c>
      <c r="D962" t="s">
        <v>165</v>
      </c>
      <c r="E962" s="4">
        <f>IF(AND(Responses!$GZ$1="",COUNTA(Responses!$GZ$2:$GZ$8000)&gt;0),"Column GZ on Responses has answers but no header in row 1, so nobody (and Themefinder) knows what this column is.","")</f>
        <v>0</v>
      </c>
      <c r="F962" s="4" t="s">
        <v>751</v>
      </c>
    </row>
    <row r="963" spans="1:6" ht="75" customHeight="1">
      <c r="A963" t="s">
        <v>334</v>
      </c>
      <c r="B963" t="s">
        <v>752</v>
      </c>
      <c r="C963" t="s">
        <v>336</v>
      </c>
      <c r="D963" t="s">
        <v>165</v>
      </c>
      <c r="E963" s="4">
        <f>IF(AND(Responses!$HA$1="",COUNTA(Responses!$HA$2:$HA$8000)&gt;0),"Column HA on Responses has answers but no header in row 1, so nobody (and Themefinder) knows what this column is.","")</f>
        <v>0</v>
      </c>
      <c r="F963" s="4" t="s">
        <v>753</v>
      </c>
    </row>
    <row r="964" spans="1:6" ht="75" customHeight="1">
      <c r="A964" t="s">
        <v>334</v>
      </c>
      <c r="B964" t="s">
        <v>754</v>
      </c>
      <c r="C964" t="s">
        <v>336</v>
      </c>
      <c r="D964" t="s">
        <v>165</v>
      </c>
      <c r="E964" s="4">
        <f>IF(AND(Responses!$HB$1="",COUNTA(Responses!$HB$2:$HB$8000)&gt;0),"Column HB on Responses has answers but no header in row 1, so nobody (and Themefinder) knows what this column is.","")</f>
        <v>0</v>
      </c>
      <c r="F964" s="4" t="s">
        <v>755</v>
      </c>
    </row>
    <row r="965" spans="1:6" ht="75" customHeight="1">
      <c r="A965" t="s">
        <v>334</v>
      </c>
      <c r="B965" t="s">
        <v>756</v>
      </c>
      <c r="C965" t="s">
        <v>336</v>
      </c>
      <c r="D965" t="s">
        <v>165</v>
      </c>
      <c r="E965" s="4">
        <f>IF(AND(Responses!$HC$1="",COUNTA(Responses!$HC$2:$HC$8000)&gt;0),"Column HC on Responses has answers but no header in row 1, so nobody (and Themefinder) knows what this column is.","")</f>
        <v>0</v>
      </c>
      <c r="F965" s="4" t="s">
        <v>757</v>
      </c>
    </row>
    <row r="966" spans="1:6" ht="75" customHeight="1">
      <c r="A966" t="s">
        <v>334</v>
      </c>
      <c r="B966" t="s">
        <v>758</v>
      </c>
      <c r="C966" t="s">
        <v>336</v>
      </c>
      <c r="D966" t="s">
        <v>165</v>
      </c>
      <c r="E966" s="4">
        <f>IF(AND(Responses!$HD$1="",COUNTA(Responses!$HD$2:$HD$8000)&gt;0),"Column HD on Responses has answers but no header in row 1, so nobody (and Themefinder) knows what this column is.","")</f>
        <v>0</v>
      </c>
      <c r="F966" s="4" t="s">
        <v>759</v>
      </c>
    </row>
    <row r="967" spans="1:6" ht="75" customHeight="1">
      <c r="A967" t="s">
        <v>334</v>
      </c>
      <c r="B967" t="s">
        <v>760</v>
      </c>
      <c r="C967" t="s">
        <v>336</v>
      </c>
      <c r="D967" t="s">
        <v>165</v>
      </c>
      <c r="E967" s="4">
        <f>IF(AND(Responses!$HE$1="",COUNTA(Responses!$HE$2:$HE$8000)&gt;0),"Column HE on Responses has answers but no header in row 1, so nobody (and Themefinder) knows what this column is.","")</f>
        <v>0</v>
      </c>
      <c r="F967" s="4" t="s">
        <v>761</v>
      </c>
    </row>
    <row r="968" spans="1:6" ht="75" customHeight="1">
      <c r="A968" t="s">
        <v>334</v>
      </c>
      <c r="B968" t="s">
        <v>762</v>
      </c>
      <c r="C968" t="s">
        <v>336</v>
      </c>
      <c r="D968" t="s">
        <v>165</v>
      </c>
      <c r="E968" s="4">
        <f>IF(AND(Responses!$HF$1="",COUNTA(Responses!$HF$2:$HF$8000)&gt;0),"Column HF on Responses has answers but no header in row 1, so nobody (and Themefinder) knows what this column is.","")</f>
        <v>0</v>
      </c>
      <c r="F968" s="4" t="s">
        <v>763</v>
      </c>
    </row>
    <row r="969" spans="1:6" ht="75" customHeight="1">
      <c r="A969" t="s">
        <v>334</v>
      </c>
      <c r="B969" t="s">
        <v>764</v>
      </c>
      <c r="C969" t="s">
        <v>336</v>
      </c>
      <c r="D969" t="s">
        <v>165</v>
      </c>
      <c r="E969" s="4">
        <f>IF(AND(Responses!$HG$1="",COUNTA(Responses!$HG$2:$HG$8000)&gt;0),"Column HG on Responses has answers but no header in row 1, so nobody (and Themefinder) knows what this column is.","")</f>
        <v>0</v>
      </c>
      <c r="F969" s="4" t="s">
        <v>765</v>
      </c>
    </row>
    <row r="970" spans="1:6" ht="75" customHeight="1">
      <c r="A970" t="s">
        <v>334</v>
      </c>
      <c r="B970" t="s">
        <v>766</v>
      </c>
      <c r="C970" t="s">
        <v>336</v>
      </c>
      <c r="D970" t="s">
        <v>165</v>
      </c>
      <c r="E970" s="4">
        <f>IF(AND(Responses!$HH$1="",COUNTA(Responses!$HH$2:$HH$8000)&gt;0),"Column HH on Responses has answers but no header in row 1, so nobody (and Themefinder) knows what this column is.","")</f>
        <v>0</v>
      </c>
      <c r="F970" s="4" t="s">
        <v>767</v>
      </c>
    </row>
    <row r="971" spans="1:6" ht="75" customHeight="1">
      <c r="A971" t="s">
        <v>334</v>
      </c>
      <c r="B971" t="s">
        <v>768</v>
      </c>
      <c r="C971" t="s">
        <v>336</v>
      </c>
      <c r="D971" t="s">
        <v>165</v>
      </c>
      <c r="E971" s="4">
        <f>IF(AND(Responses!$HI$1="",COUNTA(Responses!$HI$2:$HI$8000)&gt;0),"Column HI on Responses has answers but no header in row 1, so nobody (and Themefinder) knows what this column is.","")</f>
        <v>0</v>
      </c>
      <c r="F971" s="4" t="s">
        <v>769</v>
      </c>
    </row>
    <row r="972" spans="1:6" ht="75" customHeight="1">
      <c r="A972" t="s">
        <v>334</v>
      </c>
      <c r="B972" t="s">
        <v>770</v>
      </c>
      <c r="C972" t="s">
        <v>336</v>
      </c>
      <c r="D972" t="s">
        <v>165</v>
      </c>
      <c r="E972" s="4">
        <f>IF(AND(Responses!$HJ$1="",COUNTA(Responses!$HJ$2:$HJ$8000)&gt;0),"Column HJ on Responses has answers but no header in row 1, so nobody (and Themefinder) knows what this column is.","")</f>
        <v>0</v>
      </c>
      <c r="F972" s="4" t="s">
        <v>771</v>
      </c>
    </row>
    <row r="973" spans="1:6" ht="75" customHeight="1">
      <c r="A973" t="s">
        <v>334</v>
      </c>
      <c r="B973" t="s">
        <v>772</v>
      </c>
      <c r="C973" t="s">
        <v>336</v>
      </c>
      <c r="D973" t="s">
        <v>165</v>
      </c>
      <c r="E973" s="4">
        <f>IF(AND(Responses!$HK$1="",COUNTA(Responses!$HK$2:$HK$8000)&gt;0),"Column HK on Responses has answers but no header in row 1, so nobody (and Themefinder) knows what this column is.","")</f>
        <v>0</v>
      </c>
      <c r="F973" s="4" t="s">
        <v>773</v>
      </c>
    </row>
    <row r="974" spans="1:6" ht="75" customHeight="1">
      <c r="A974" t="s">
        <v>334</v>
      </c>
      <c r="B974" t="s">
        <v>774</v>
      </c>
      <c r="C974" t="s">
        <v>336</v>
      </c>
      <c r="D974" t="s">
        <v>165</v>
      </c>
      <c r="E974" s="4">
        <f>IF(AND(Responses!$HL$1="",COUNTA(Responses!$HL$2:$HL$8000)&gt;0),"Column HL on Responses has answers but no header in row 1, so nobody (and Themefinder) knows what this column is.","")</f>
        <v>0</v>
      </c>
      <c r="F974" s="4" t="s">
        <v>775</v>
      </c>
    </row>
    <row r="975" spans="1:6" ht="75" customHeight="1">
      <c r="A975" t="s">
        <v>334</v>
      </c>
      <c r="B975" t="s">
        <v>776</v>
      </c>
      <c r="C975" t="s">
        <v>336</v>
      </c>
      <c r="D975" t="s">
        <v>165</v>
      </c>
      <c r="E975" s="4">
        <f>IF(AND(Responses!$HM$1="",COUNTA(Responses!$HM$2:$HM$8000)&gt;0),"Column HM on Responses has answers but no header in row 1, so nobody (and Themefinder) knows what this column is.","")</f>
        <v>0</v>
      </c>
      <c r="F975" s="4" t="s">
        <v>777</v>
      </c>
    </row>
    <row r="976" spans="1:6" ht="75" customHeight="1">
      <c r="A976" t="s">
        <v>334</v>
      </c>
      <c r="B976" t="s">
        <v>778</v>
      </c>
      <c r="C976" t="s">
        <v>336</v>
      </c>
      <c r="D976" t="s">
        <v>165</v>
      </c>
      <c r="E976" s="4">
        <f>IF(AND(Responses!$HN$1="",COUNTA(Responses!$HN$2:$HN$8000)&gt;0),"Column HN on Responses has answers but no header in row 1, so nobody (and Themefinder) knows what this column is.","")</f>
        <v>0</v>
      </c>
      <c r="F976" s="4" t="s">
        <v>779</v>
      </c>
    </row>
    <row r="977" spans="1:6" ht="75" customHeight="1">
      <c r="A977" t="s">
        <v>334</v>
      </c>
      <c r="B977" t="s">
        <v>780</v>
      </c>
      <c r="C977" t="s">
        <v>336</v>
      </c>
      <c r="D977" t="s">
        <v>165</v>
      </c>
      <c r="E977" s="4">
        <f>IF(AND(Responses!$HO$1="",COUNTA(Responses!$HO$2:$HO$8000)&gt;0),"Column HO on Responses has answers but no header in row 1, so nobody (and Themefinder) knows what this column is.","")</f>
        <v>0</v>
      </c>
      <c r="F977" s="4" t="s">
        <v>781</v>
      </c>
    </row>
    <row r="978" spans="1:6" ht="75" customHeight="1">
      <c r="A978" t="s">
        <v>334</v>
      </c>
      <c r="B978" t="s">
        <v>782</v>
      </c>
      <c r="C978" t="s">
        <v>336</v>
      </c>
      <c r="D978" t="s">
        <v>165</v>
      </c>
      <c r="E978" s="4">
        <f>IF(AND(Responses!$HP$1="",COUNTA(Responses!$HP$2:$HP$8000)&gt;0),"Column HP on Responses has answers but no header in row 1, so nobody (and Themefinder) knows what this column is.","")</f>
        <v>0</v>
      </c>
      <c r="F978" s="4" t="s">
        <v>783</v>
      </c>
    </row>
    <row r="979" spans="1:6" ht="75" customHeight="1">
      <c r="A979" t="s">
        <v>334</v>
      </c>
      <c r="B979" t="s">
        <v>784</v>
      </c>
      <c r="C979" t="s">
        <v>336</v>
      </c>
      <c r="D979" t="s">
        <v>165</v>
      </c>
      <c r="E979" s="4">
        <f>IF(AND(Responses!$HQ$1="",COUNTA(Responses!$HQ$2:$HQ$8000)&gt;0),"Column HQ on Responses has answers but no header in row 1, so nobody (and Themefinder) knows what this column is.","")</f>
        <v>0</v>
      </c>
      <c r="F979" s="4" t="s">
        <v>785</v>
      </c>
    </row>
    <row r="980" spans="1:6" ht="75" customHeight="1">
      <c r="A980" t="s">
        <v>334</v>
      </c>
      <c r="B980" t="s">
        <v>786</v>
      </c>
      <c r="C980" t="s">
        <v>336</v>
      </c>
      <c r="D980" t="s">
        <v>165</v>
      </c>
      <c r="E980" s="4">
        <f>IF(AND(Responses!$HR$1="",COUNTA(Responses!$HR$2:$HR$8000)&gt;0),"Column HR on Responses has answers but no header in row 1, so nobody (and Themefinder) knows what this column is.","")</f>
        <v>0</v>
      </c>
      <c r="F980" s="4" t="s">
        <v>787</v>
      </c>
    </row>
    <row r="981" spans="1:6" ht="75" customHeight="1">
      <c r="A981" t="s">
        <v>334</v>
      </c>
      <c r="B981" t="s">
        <v>788</v>
      </c>
      <c r="C981" t="s">
        <v>336</v>
      </c>
      <c r="D981" t="s">
        <v>165</v>
      </c>
      <c r="E981" s="4">
        <f>IF(AND(Responses!$HS$1="",COUNTA(Responses!$HS$2:$HS$8000)&gt;0),"Column HS on Responses has answers but no header in row 1, so nobody (and Themefinder) knows what this column is.","")</f>
        <v>0</v>
      </c>
      <c r="F981" s="4" t="s">
        <v>789</v>
      </c>
    </row>
    <row r="982" spans="1:6" ht="75" customHeight="1">
      <c r="A982" t="s">
        <v>334</v>
      </c>
      <c r="B982" t="s">
        <v>790</v>
      </c>
      <c r="C982" t="s">
        <v>336</v>
      </c>
      <c r="D982" t="s">
        <v>165</v>
      </c>
      <c r="E982" s="4">
        <f>IF(AND(Responses!$HT$1="",COUNTA(Responses!$HT$2:$HT$8000)&gt;0),"Column HT on Responses has answers but no header in row 1, so nobody (and Themefinder) knows what this column is.","")</f>
        <v>0</v>
      </c>
      <c r="F982" s="4" t="s">
        <v>791</v>
      </c>
    </row>
    <row r="983" spans="1:6" ht="75" customHeight="1">
      <c r="A983" t="s">
        <v>334</v>
      </c>
      <c r="B983" t="s">
        <v>792</v>
      </c>
      <c r="C983" t="s">
        <v>336</v>
      </c>
      <c r="D983" t="s">
        <v>165</v>
      </c>
      <c r="E983" s="4">
        <f>IF(AND(Responses!$HU$1="",COUNTA(Responses!$HU$2:$HU$8000)&gt;0),"Column HU on Responses has answers but no header in row 1, so nobody (and Themefinder) knows what this column is.","")</f>
        <v>0</v>
      </c>
      <c r="F983" s="4" t="s">
        <v>793</v>
      </c>
    </row>
    <row r="984" spans="1:6" ht="75" customHeight="1">
      <c r="A984" t="s">
        <v>334</v>
      </c>
      <c r="B984" t="s">
        <v>794</v>
      </c>
      <c r="C984" t="s">
        <v>336</v>
      </c>
      <c r="D984" t="s">
        <v>165</v>
      </c>
      <c r="E984" s="4">
        <f>IF(AND(Responses!$HV$1="",COUNTA(Responses!$HV$2:$HV$8000)&gt;0),"Column HV on Responses has answers but no header in row 1, so nobody (and Themefinder) knows what this column is.","")</f>
        <v>0</v>
      </c>
      <c r="F984" s="4" t="s">
        <v>795</v>
      </c>
    </row>
    <row r="985" spans="1:6" ht="75" customHeight="1">
      <c r="A985" t="s">
        <v>334</v>
      </c>
      <c r="B985" t="s">
        <v>796</v>
      </c>
      <c r="C985" t="s">
        <v>336</v>
      </c>
      <c r="D985" t="s">
        <v>165</v>
      </c>
      <c r="E985" s="4">
        <f>IF(AND(Responses!$HW$1="",COUNTA(Responses!$HW$2:$HW$8000)&gt;0),"Column HW on Responses has answers but no header in row 1, so nobody (and Themefinder) knows what this column is.","")</f>
        <v>0</v>
      </c>
      <c r="F985" s="4" t="s">
        <v>797</v>
      </c>
    </row>
    <row r="986" spans="1:6" ht="75" customHeight="1">
      <c r="A986" t="s">
        <v>334</v>
      </c>
      <c r="B986" t="s">
        <v>798</v>
      </c>
      <c r="C986" t="s">
        <v>336</v>
      </c>
      <c r="D986" t="s">
        <v>165</v>
      </c>
      <c r="E986" s="4">
        <f>IF(AND(Responses!$HX$1="",COUNTA(Responses!$HX$2:$HX$8000)&gt;0),"Column HX on Responses has answers but no header in row 1, so nobody (and Themefinder) knows what this column is.","")</f>
        <v>0</v>
      </c>
      <c r="F986" s="4" t="s">
        <v>799</v>
      </c>
    </row>
    <row r="987" spans="1:6" ht="75" customHeight="1">
      <c r="A987" t="s">
        <v>334</v>
      </c>
      <c r="B987" t="s">
        <v>800</v>
      </c>
      <c r="C987" t="s">
        <v>336</v>
      </c>
      <c r="D987" t="s">
        <v>165</v>
      </c>
      <c r="E987" s="4">
        <f>IF(AND(Responses!$HY$1="",COUNTA(Responses!$HY$2:$HY$8000)&gt;0),"Column HY on Responses has answers but no header in row 1, so nobody (and Themefinder) knows what this column is.","")</f>
        <v>0</v>
      </c>
      <c r="F987" s="4" t="s">
        <v>801</v>
      </c>
    </row>
    <row r="988" spans="1:6" ht="75" customHeight="1">
      <c r="A988" t="s">
        <v>334</v>
      </c>
      <c r="B988" t="s">
        <v>802</v>
      </c>
      <c r="C988" t="s">
        <v>336</v>
      </c>
      <c r="D988" t="s">
        <v>165</v>
      </c>
      <c r="E988" s="4">
        <f>IF(AND(Responses!$HZ$1="",COUNTA(Responses!$HZ$2:$HZ$8000)&gt;0),"Column HZ on Responses has answers but no header in row 1, so nobody (and Themefinder) knows what this column is.","")</f>
        <v>0</v>
      </c>
      <c r="F988" s="4" t="s">
        <v>803</v>
      </c>
    </row>
    <row r="989" spans="1:6" ht="75" customHeight="1">
      <c r="A989" t="s">
        <v>334</v>
      </c>
      <c r="B989" t="s">
        <v>804</v>
      </c>
      <c r="C989" t="s">
        <v>336</v>
      </c>
      <c r="D989" t="s">
        <v>165</v>
      </c>
      <c r="E989" s="4">
        <f>IF(AND(Responses!$IA$1="",COUNTA(Responses!$IA$2:$IA$8000)&gt;0),"Column IA on Responses has answers but no header in row 1, so nobody (and Themefinder) knows what this column is.","")</f>
        <v>0</v>
      </c>
      <c r="F989" s="4" t="s">
        <v>805</v>
      </c>
    </row>
    <row r="990" spans="1:6" ht="75" customHeight="1">
      <c r="A990" t="s">
        <v>334</v>
      </c>
      <c r="B990" t="s">
        <v>806</v>
      </c>
      <c r="C990" t="s">
        <v>336</v>
      </c>
      <c r="D990" t="s">
        <v>165</v>
      </c>
      <c r="E990" s="4">
        <f>IF(AND(Responses!$IB$1="",COUNTA(Responses!$IB$2:$IB$8000)&gt;0),"Column IB on Responses has answers but no header in row 1, so nobody (and Themefinder) knows what this column is.","")</f>
        <v>0</v>
      </c>
      <c r="F990" s="4" t="s">
        <v>807</v>
      </c>
    </row>
    <row r="991" spans="1:6" ht="75" customHeight="1">
      <c r="A991" t="s">
        <v>334</v>
      </c>
      <c r="B991" t="s">
        <v>808</v>
      </c>
      <c r="C991" t="s">
        <v>336</v>
      </c>
      <c r="D991" t="s">
        <v>165</v>
      </c>
      <c r="E991" s="4">
        <f>IF(AND(Responses!$IC$1="",COUNTA(Responses!$IC$2:$IC$8000)&gt;0),"Column IC on Responses has answers but no header in row 1, so nobody (and Themefinder) knows what this column is.","")</f>
        <v>0</v>
      </c>
      <c r="F991" s="4" t="s">
        <v>809</v>
      </c>
    </row>
    <row r="992" spans="1:6" ht="75" customHeight="1">
      <c r="A992" t="s">
        <v>334</v>
      </c>
      <c r="B992" t="s">
        <v>810</v>
      </c>
      <c r="C992" t="s">
        <v>336</v>
      </c>
      <c r="D992" t="s">
        <v>165</v>
      </c>
      <c r="E992" s="4">
        <f>IF(AND(Responses!$ID$1="",COUNTA(Responses!$ID$2:$ID$8000)&gt;0),"Column ID on Responses has answers but no header in row 1, so nobody (and Themefinder) knows what this column is.","")</f>
        <v>0</v>
      </c>
      <c r="F992" s="4" t="s">
        <v>811</v>
      </c>
    </row>
    <row r="993" spans="1:6" ht="75" customHeight="1">
      <c r="A993" t="s">
        <v>334</v>
      </c>
      <c r="B993" t="s">
        <v>812</v>
      </c>
      <c r="C993" t="s">
        <v>336</v>
      </c>
      <c r="D993" t="s">
        <v>165</v>
      </c>
      <c r="E993" s="4">
        <f>IF(AND(Responses!$IE$1="",COUNTA(Responses!$IE$2:$IE$8000)&gt;0),"Column IE on Responses has answers but no header in row 1, so nobody (and Themefinder) knows what this column is.","")</f>
        <v>0</v>
      </c>
      <c r="F993" s="4" t="s">
        <v>813</v>
      </c>
    </row>
    <row r="994" spans="1:6" ht="75" customHeight="1">
      <c r="A994" t="s">
        <v>334</v>
      </c>
      <c r="B994" t="s">
        <v>814</v>
      </c>
      <c r="C994" t="s">
        <v>336</v>
      </c>
      <c r="D994" t="s">
        <v>165</v>
      </c>
      <c r="E994" s="4">
        <f>IF(AND(Responses!$IF$1="",COUNTA(Responses!$IF$2:$IF$8000)&gt;0),"Column IF on Responses has answers but no header in row 1, so nobody (and Themefinder) knows what this column is.","")</f>
        <v>0</v>
      </c>
      <c r="F994" s="4" t="s">
        <v>815</v>
      </c>
    </row>
    <row r="995" spans="1:6" ht="75" customHeight="1">
      <c r="A995" t="s">
        <v>334</v>
      </c>
      <c r="B995" t="s">
        <v>816</v>
      </c>
      <c r="C995" t="s">
        <v>336</v>
      </c>
      <c r="D995" t="s">
        <v>165</v>
      </c>
      <c r="E995" s="4">
        <f>IF(AND(Responses!$IG$1="",COUNTA(Responses!$IG$2:$IG$8000)&gt;0),"Column IG on Responses has answers but no header in row 1, so nobody (and Themefinder) knows what this column is.","")</f>
        <v>0</v>
      </c>
      <c r="F995" s="4" t="s">
        <v>817</v>
      </c>
    </row>
    <row r="996" spans="1:6" ht="75" customHeight="1">
      <c r="A996" t="s">
        <v>334</v>
      </c>
      <c r="B996" t="s">
        <v>818</v>
      </c>
      <c r="C996" t="s">
        <v>336</v>
      </c>
      <c r="D996" t="s">
        <v>165</v>
      </c>
      <c r="E996" s="4">
        <f>IF(AND(Responses!$IH$1="",COUNTA(Responses!$IH$2:$IH$8000)&gt;0),"Column IH on Responses has answers but no header in row 1, so nobody (and Themefinder) knows what this column is.","")</f>
        <v>0</v>
      </c>
      <c r="F996" s="4" t="s">
        <v>819</v>
      </c>
    </row>
    <row r="997" spans="1:6" ht="75" customHeight="1">
      <c r="A997" t="s">
        <v>334</v>
      </c>
      <c r="B997" t="s">
        <v>820</v>
      </c>
      <c r="C997" t="s">
        <v>336</v>
      </c>
      <c r="D997" t="s">
        <v>165</v>
      </c>
      <c r="E997" s="4">
        <f>IF(AND(Responses!$II$1="",COUNTA(Responses!$II$2:$II$8000)&gt;0),"Column II on Responses has answers but no header in row 1, so nobody (and Themefinder) knows what this column is.","")</f>
        <v>0</v>
      </c>
      <c r="F997" s="4" t="s">
        <v>821</v>
      </c>
    </row>
    <row r="998" spans="1:6" ht="75" customHeight="1">
      <c r="A998" t="s">
        <v>334</v>
      </c>
      <c r="B998" t="s">
        <v>822</v>
      </c>
      <c r="C998" t="s">
        <v>336</v>
      </c>
      <c r="D998" t="s">
        <v>165</v>
      </c>
      <c r="E998" s="4">
        <f>IF(AND(Responses!$IJ$1="",COUNTA(Responses!$IJ$2:$IJ$8000)&gt;0),"Column IJ on Responses has answers but no header in row 1, so nobody (and Themefinder) knows what this column is.","")</f>
        <v>0</v>
      </c>
      <c r="F998" s="4" t="s">
        <v>823</v>
      </c>
    </row>
    <row r="999" spans="1:6" ht="75" customHeight="1">
      <c r="A999" t="s">
        <v>334</v>
      </c>
      <c r="B999" t="s">
        <v>824</v>
      </c>
      <c r="C999" t="s">
        <v>336</v>
      </c>
      <c r="D999" t="s">
        <v>165</v>
      </c>
      <c r="E999" s="4">
        <f>IF(AND(Responses!$IK$1="",COUNTA(Responses!$IK$2:$IK$8000)&gt;0),"Column IK on Responses has answers but no header in row 1, so nobody (and Themefinder) knows what this column is.","")</f>
        <v>0</v>
      </c>
      <c r="F999" s="4" t="s">
        <v>825</v>
      </c>
    </row>
    <row r="1000" spans="1:6" ht="75" customHeight="1">
      <c r="A1000" t="s">
        <v>334</v>
      </c>
      <c r="B1000" t="s">
        <v>826</v>
      </c>
      <c r="C1000" t="s">
        <v>336</v>
      </c>
      <c r="D1000" t="s">
        <v>165</v>
      </c>
      <c r="E1000" s="4">
        <f>IF(AND(Responses!$IL$1="",COUNTA(Responses!$IL$2:$IL$8000)&gt;0),"Column IL on Responses has answers but no header in row 1, so nobody (and Themefinder) knows what this column is.","")</f>
        <v>0</v>
      </c>
      <c r="F1000" s="4" t="s">
        <v>827</v>
      </c>
    </row>
    <row r="1001" spans="1:6" ht="75" customHeight="1">
      <c r="A1001" t="s">
        <v>334</v>
      </c>
      <c r="B1001" t="s">
        <v>828</v>
      </c>
      <c r="C1001" t="s">
        <v>336</v>
      </c>
      <c r="D1001" t="s">
        <v>165</v>
      </c>
      <c r="E1001" s="4">
        <f>IF(AND(Responses!$IM$1="",COUNTA(Responses!$IM$2:$IM$8000)&gt;0),"Column IM on Responses has answers but no header in row 1, so nobody (and Themefinder) knows what this column is.","")</f>
        <v>0</v>
      </c>
      <c r="F1001" s="4" t="s">
        <v>829</v>
      </c>
    </row>
    <row r="1002" spans="1:6" ht="75" customHeight="1">
      <c r="A1002" t="s">
        <v>334</v>
      </c>
      <c r="B1002" t="s">
        <v>830</v>
      </c>
      <c r="C1002" t="s">
        <v>336</v>
      </c>
      <c r="D1002" t="s">
        <v>165</v>
      </c>
      <c r="E1002" s="4">
        <f>IF(AND(Responses!$IN$1="",COUNTA(Responses!$IN$2:$IN$8000)&gt;0),"Column IN on Responses has answers but no header in row 1, so nobody (and Themefinder) knows what this column is.","")</f>
        <v>0</v>
      </c>
      <c r="F1002" s="4" t="s">
        <v>831</v>
      </c>
    </row>
    <row r="1003" spans="1:6" ht="75" customHeight="1">
      <c r="A1003" t="s">
        <v>334</v>
      </c>
      <c r="B1003" t="s">
        <v>832</v>
      </c>
      <c r="C1003" t="s">
        <v>336</v>
      </c>
      <c r="D1003" t="s">
        <v>165</v>
      </c>
      <c r="E1003" s="4">
        <f>IF(AND(Responses!$IO$1="",COUNTA(Responses!$IO$2:$IO$8000)&gt;0),"Column IO on Responses has answers but no header in row 1, so nobody (and Themefinder) knows what this column is.","")</f>
        <v>0</v>
      </c>
      <c r="F1003" s="4" t="s">
        <v>833</v>
      </c>
    </row>
    <row r="1004" spans="1:6" ht="75" customHeight="1">
      <c r="A1004" t="s">
        <v>334</v>
      </c>
      <c r="B1004" t="s">
        <v>834</v>
      </c>
      <c r="C1004" t="s">
        <v>336</v>
      </c>
      <c r="D1004" t="s">
        <v>165</v>
      </c>
      <c r="E1004" s="4">
        <f>IF(AND(Responses!$IP$1="",COUNTA(Responses!$IP$2:$IP$8000)&gt;0),"Column IP on Responses has answers but no header in row 1, so nobody (and Themefinder) knows what this column is.","")</f>
        <v>0</v>
      </c>
      <c r="F1004" s="4" t="s">
        <v>835</v>
      </c>
    </row>
    <row r="1005" spans="1:6" ht="75" customHeight="1">
      <c r="A1005" t="s">
        <v>334</v>
      </c>
      <c r="B1005" t="s">
        <v>836</v>
      </c>
      <c r="C1005" t="s">
        <v>336</v>
      </c>
      <c r="D1005" t="s">
        <v>165</v>
      </c>
      <c r="E1005" s="4">
        <f>IF(AND(Responses!$IQ$1="",COUNTA(Responses!$IQ$2:$IQ$8000)&gt;0),"Column IQ on Responses has answers but no header in row 1, so nobody (and Themefinder) knows what this column is.","")</f>
        <v>0</v>
      </c>
      <c r="F1005" s="4" t="s">
        <v>837</v>
      </c>
    </row>
    <row r="1006" spans="1:6" ht="75" customHeight="1">
      <c r="A1006" t="s">
        <v>334</v>
      </c>
      <c r="B1006" t="s">
        <v>838</v>
      </c>
      <c r="C1006" t="s">
        <v>336</v>
      </c>
      <c r="D1006" t="s">
        <v>165</v>
      </c>
      <c r="E1006" s="4">
        <f>IF(AND(Responses!$IR$1="",COUNTA(Responses!$IR$2:$IR$8000)&gt;0),"Column IR on Responses has answers but no header in row 1, so nobody (and Themefinder) knows what this column is.","")</f>
        <v>0</v>
      </c>
      <c r="F1006" s="4" t="s">
        <v>839</v>
      </c>
    </row>
    <row r="1007" spans="1:6" ht="75" customHeight="1">
      <c r="A1007" t="s">
        <v>334</v>
      </c>
      <c r="B1007" t="s">
        <v>840</v>
      </c>
      <c r="C1007" t="s">
        <v>336</v>
      </c>
      <c r="D1007" t="s">
        <v>165</v>
      </c>
      <c r="E1007" s="4">
        <f>IF(AND(Responses!$IS$1="",COUNTA(Responses!$IS$2:$IS$8000)&gt;0),"Column IS on Responses has answers but no header in row 1, so nobody (and Themefinder) knows what this column is.","")</f>
        <v>0</v>
      </c>
      <c r="F1007" s="4" t="s">
        <v>841</v>
      </c>
    </row>
    <row r="1008" spans="1:6" ht="75" customHeight="1">
      <c r="A1008" t="s">
        <v>334</v>
      </c>
      <c r="B1008" t="s">
        <v>842</v>
      </c>
      <c r="C1008" t="s">
        <v>336</v>
      </c>
      <c r="D1008" t="s">
        <v>165</v>
      </c>
      <c r="E1008" s="4">
        <f>IF(AND(Responses!$IT$1="",COUNTA(Responses!$IT$2:$IT$8000)&gt;0),"Column IT on Responses has answers but no header in row 1, so nobody (and Themefinder) knows what this column is.","")</f>
        <v>0</v>
      </c>
      <c r="F1008" s="4" t="s">
        <v>843</v>
      </c>
    </row>
    <row r="1009" spans="1:6" ht="75" customHeight="1">
      <c r="A1009" t="s">
        <v>334</v>
      </c>
      <c r="B1009" t="s">
        <v>844</v>
      </c>
      <c r="C1009" t="s">
        <v>336</v>
      </c>
      <c r="D1009" t="s">
        <v>165</v>
      </c>
      <c r="E1009" s="4">
        <f>IF(AND(Responses!$IU$1="",COUNTA(Responses!$IU$2:$IU$8000)&gt;0),"Column IU on Responses has answers but no header in row 1, so nobody (and Themefinder) knows what this column is.","")</f>
        <v>0</v>
      </c>
      <c r="F1009" s="4" t="s">
        <v>845</v>
      </c>
    </row>
    <row r="1010" spans="1:6" ht="75" customHeight="1">
      <c r="A1010" t="s">
        <v>334</v>
      </c>
      <c r="B1010" t="s">
        <v>846</v>
      </c>
      <c r="C1010" t="s">
        <v>336</v>
      </c>
      <c r="D1010" t="s">
        <v>165</v>
      </c>
      <c r="E1010" s="4">
        <f>IF(AND(Responses!$IV$1="",COUNTA(Responses!$IV$2:$IV$8000)&gt;0),"Column IV on Responses has answers but no header in row 1, so nobody (and Themefinder) knows what this column is.","")</f>
        <v>0</v>
      </c>
      <c r="F1010" s="4" t="s">
        <v>847</v>
      </c>
    </row>
    <row r="1011" spans="1:6" ht="75" customHeight="1">
      <c r="A1011" t="s">
        <v>334</v>
      </c>
      <c r="B1011" t="s">
        <v>848</v>
      </c>
      <c r="C1011" t="s">
        <v>336</v>
      </c>
      <c r="D1011" t="s">
        <v>165</v>
      </c>
      <c r="E1011" s="4">
        <f>IF(AND(Responses!$IW$1="",COUNTA(Responses!$IW$2:$IW$8000)&gt;0),"Column IW on Responses has answers but no header in row 1, so nobody (and Themefinder) knows what this column is.","")</f>
        <v>0</v>
      </c>
      <c r="F1011" s="4" t="s">
        <v>849</v>
      </c>
    </row>
    <row r="1012" spans="1:6" ht="75" customHeight="1">
      <c r="A1012" t="s">
        <v>334</v>
      </c>
      <c r="B1012" t="s">
        <v>850</v>
      </c>
      <c r="C1012" t="s">
        <v>336</v>
      </c>
      <c r="D1012" t="s">
        <v>165</v>
      </c>
      <c r="E1012" s="4">
        <f>IF(AND(Responses!$IX$1="",COUNTA(Responses!$IX$2:$IX$8000)&gt;0),"Column IX on Responses has answers but no header in row 1, so nobody (and Themefinder) knows what this column is.","")</f>
        <v>0</v>
      </c>
      <c r="F1012" s="4" t="s">
        <v>851</v>
      </c>
    </row>
    <row r="1013" spans="1:6" ht="75" customHeight="1">
      <c r="A1013" t="s">
        <v>334</v>
      </c>
      <c r="B1013" t="s">
        <v>852</v>
      </c>
      <c r="C1013" t="s">
        <v>336</v>
      </c>
      <c r="D1013" t="s">
        <v>165</v>
      </c>
      <c r="E1013" s="4">
        <f>IF(AND(Responses!$IY$1="",COUNTA(Responses!$IY$2:$IY$8000)&gt;0),"Column IY on Responses has answers but no header in row 1, so nobody (and Themefinder) knows what this column is.","")</f>
        <v>0</v>
      </c>
      <c r="F1013" s="4" t="s">
        <v>853</v>
      </c>
    </row>
    <row r="1014" spans="1:6" ht="75" customHeight="1">
      <c r="A1014" t="s">
        <v>334</v>
      </c>
      <c r="B1014" t="s">
        <v>854</v>
      </c>
      <c r="C1014" t="s">
        <v>336</v>
      </c>
      <c r="D1014" t="s">
        <v>165</v>
      </c>
      <c r="E1014" s="4">
        <f>IF(AND(Responses!$IZ$1="",COUNTA(Responses!$IZ$2:$IZ$8000)&gt;0),"Column IZ on Responses has answers but no header in row 1, so nobody (and Themefinder) knows what this column is.","")</f>
        <v>0</v>
      </c>
      <c r="F1014" s="4" t="s">
        <v>855</v>
      </c>
    </row>
    <row r="1015" spans="1:6" ht="75" customHeight="1">
      <c r="A1015" t="s">
        <v>334</v>
      </c>
      <c r="B1015" t="s">
        <v>856</v>
      </c>
      <c r="C1015" t="s">
        <v>336</v>
      </c>
      <c r="D1015" t="s">
        <v>165</v>
      </c>
      <c r="E1015" s="4">
        <f>IF(AND(Responses!$JA$1="",COUNTA(Responses!$JA$2:$JA$8000)&gt;0),"Column JA on Responses has answers but no header in row 1, so nobody (and Themefinder) knows what this column is.","")</f>
        <v>0</v>
      </c>
      <c r="F1015" s="4" t="s">
        <v>857</v>
      </c>
    </row>
    <row r="1016" spans="1:6" ht="75" customHeight="1">
      <c r="A1016" t="s">
        <v>334</v>
      </c>
      <c r="B1016" t="s">
        <v>858</v>
      </c>
      <c r="C1016" t="s">
        <v>336</v>
      </c>
      <c r="D1016" t="s">
        <v>165</v>
      </c>
      <c r="E1016" s="4">
        <f>IF(AND(Responses!$JB$1="",COUNTA(Responses!$JB$2:$JB$8000)&gt;0),"Column JB on Responses has answers but no header in row 1, so nobody (and Themefinder) knows what this column is.","")</f>
        <v>0</v>
      </c>
      <c r="F1016" s="4" t="s">
        <v>859</v>
      </c>
    </row>
    <row r="1017" spans="1:6" ht="75" customHeight="1">
      <c r="A1017" t="s">
        <v>334</v>
      </c>
      <c r="B1017" t="s">
        <v>860</v>
      </c>
      <c r="C1017" t="s">
        <v>336</v>
      </c>
      <c r="D1017" t="s">
        <v>165</v>
      </c>
      <c r="E1017" s="4">
        <f>IF(AND(Responses!$JC$1="",COUNTA(Responses!$JC$2:$JC$8000)&gt;0),"Column JC on Responses has answers but no header in row 1, so nobody (and Themefinder) knows what this column is.","")</f>
        <v>0</v>
      </c>
      <c r="F1017" s="4" t="s">
        <v>861</v>
      </c>
    </row>
    <row r="1018" spans="1:6" ht="75" customHeight="1">
      <c r="A1018" t="s">
        <v>334</v>
      </c>
      <c r="B1018" t="s">
        <v>862</v>
      </c>
      <c r="C1018" t="s">
        <v>336</v>
      </c>
      <c r="D1018" t="s">
        <v>165</v>
      </c>
      <c r="E1018" s="4">
        <f>IF(AND(Responses!$JD$1="",COUNTA(Responses!$JD$2:$JD$8000)&gt;0),"Column JD on Responses has answers but no header in row 1, so nobody (and Themefinder) knows what this column is.","")</f>
        <v>0</v>
      </c>
      <c r="F1018" s="4" t="s">
        <v>863</v>
      </c>
    </row>
    <row r="1019" spans="1:6" ht="75" customHeight="1">
      <c r="A1019" t="s">
        <v>334</v>
      </c>
      <c r="B1019" t="s">
        <v>864</v>
      </c>
      <c r="C1019" t="s">
        <v>336</v>
      </c>
      <c r="D1019" t="s">
        <v>165</v>
      </c>
      <c r="E1019" s="4">
        <f>IF(AND(Responses!$JE$1="",COUNTA(Responses!$JE$2:$JE$8000)&gt;0),"Column JE on Responses has answers but no header in row 1, so nobody (and Themefinder) knows what this column is.","")</f>
        <v>0</v>
      </c>
      <c r="F1019" s="4" t="s">
        <v>865</v>
      </c>
    </row>
    <row r="1020" spans="1:6" ht="75" customHeight="1">
      <c r="A1020" t="s">
        <v>334</v>
      </c>
      <c r="B1020" t="s">
        <v>866</v>
      </c>
      <c r="C1020" t="s">
        <v>336</v>
      </c>
      <c r="D1020" t="s">
        <v>165</v>
      </c>
      <c r="E1020" s="4">
        <f>IF(AND(Responses!$JF$1="",COUNTA(Responses!$JF$2:$JF$8000)&gt;0),"Column JF on Responses has answers but no header in row 1, so nobody (and Themefinder) knows what this column is.","")</f>
        <v>0</v>
      </c>
      <c r="F1020" s="4" t="s">
        <v>867</v>
      </c>
    </row>
    <row r="1021" spans="1:6" ht="75" customHeight="1">
      <c r="A1021" t="s">
        <v>334</v>
      </c>
      <c r="B1021" t="s">
        <v>868</v>
      </c>
      <c r="C1021" t="s">
        <v>336</v>
      </c>
      <c r="D1021" t="s">
        <v>165</v>
      </c>
      <c r="E1021" s="4">
        <f>IF(AND(Responses!$JG$1="",COUNTA(Responses!$JG$2:$JG$8000)&gt;0),"Column JG on Responses has answers but no header in row 1, so nobody (and Themefinder) knows what this column is.","")</f>
        <v>0</v>
      </c>
      <c r="F1021" s="4" t="s">
        <v>869</v>
      </c>
    </row>
    <row r="1022" spans="1:6" ht="75" customHeight="1">
      <c r="A1022" t="s">
        <v>334</v>
      </c>
      <c r="B1022" t="s">
        <v>870</v>
      </c>
      <c r="C1022" t="s">
        <v>336</v>
      </c>
      <c r="D1022" t="s">
        <v>165</v>
      </c>
      <c r="E1022" s="4">
        <f>IF(AND(Responses!$JH$1="",COUNTA(Responses!$JH$2:$JH$8000)&gt;0),"Column JH on Responses has answers but no header in row 1, so nobody (and Themefinder) knows what this column is.","")</f>
        <v>0</v>
      </c>
      <c r="F1022" s="4" t="s">
        <v>871</v>
      </c>
    </row>
    <row r="1023" spans="1:6" ht="75" customHeight="1">
      <c r="A1023" t="s">
        <v>334</v>
      </c>
      <c r="B1023" t="s">
        <v>872</v>
      </c>
      <c r="C1023" t="s">
        <v>336</v>
      </c>
      <c r="D1023" t="s">
        <v>165</v>
      </c>
      <c r="E1023" s="4">
        <f>IF(AND(Responses!$JI$1="",COUNTA(Responses!$JI$2:$JI$8000)&gt;0),"Column JI on Responses has answers but no header in row 1, so nobody (and Themefinder) knows what this column is.","")</f>
        <v>0</v>
      </c>
      <c r="F1023" s="4" t="s">
        <v>873</v>
      </c>
    </row>
    <row r="1024" spans="1:6" ht="75" customHeight="1">
      <c r="A1024" t="s">
        <v>334</v>
      </c>
      <c r="B1024" t="s">
        <v>874</v>
      </c>
      <c r="C1024" t="s">
        <v>336</v>
      </c>
      <c r="D1024" t="s">
        <v>165</v>
      </c>
      <c r="E1024" s="4">
        <f>IF(AND(Responses!$JJ$1="",COUNTA(Responses!$JJ$2:$JJ$8000)&gt;0),"Column JJ on Responses has answers but no header in row 1, so nobody (and Themefinder) knows what this column is.","")</f>
        <v>0</v>
      </c>
      <c r="F1024" s="4" t="s">
        <v>875</v>
      </c>
    </row>
    <row r="1025" spans="1:6" ht="75" customHeight="1">
      <c r="A1025" t="s">
        <v>334</v>
      </c>
      <c r="B1025" t="s">
        <v>876</v>
      </c>
      <c r="C1025" t="s">
        <v>336</v>
      </c>
      <c r="D1025" t="s">
        <v>165</v>
      </c>
      <c r="E1025" s="4">
        <f>IF(AND(Responses!$JK$1="",COUNTA(Responses!$JK$2:$JK$8000)&gt;0),"Column JK on Responses has answers but no header in row 1, so nobody (and Themefinder) knows what this column is.","")</f>
        <v>0</v>
      </c>
      <c r="F1025" s="4" t="s">
        <v>877</v>
      </c>
    </row>
    <row r="1026" spans="1:6" ht="75" customHeight="1">
      <c r="A1026" t="s">
        <v>334</v>
      </c>
      <c r="B1026" t="s">
        <v>878</v>
      </c>
      <c r="C1026" t="s">
        <v>336</v>
      </c>
      <c r="D1026" t="s">
        <v>165</v>
      </c>
      <c r="E1026" s="4">
        <f>IF(AND(Responses!$JL$1="",COUNTA(Responses!$JL$2:$JL$8000)&gt;0),"Column JL on Responses has answers but no header in row 1, so nobody (and Themefinder) knows what this column is.","")</f>
        <v>0</v>
      </c>
      <c r="F1026" s="4" t="s">
        <v>879</v>
      </c>
    </row>
    <row r="1027" spans="1:6" ht="75" customHeight="1">
      <c r="A1027" t="s">
        <v>334</v>
      </c>
      <c r="B1027" t="s">
        <v>880</v>
      </c>
      <c r="C1027" t="s">
        <v>336</v>
      </c>
      <c r="D1027" t="s">
        <v>165</v>
      </c>
      <c r="E1027" s="4">
        <f>IF(AND(Responses!$JM$1="",COUNTA(Responses!$JM$2:$JM$8000)&gt;0),"Column JM on Responses has answers but no header in row 1, so nobody (and Themefinder) knows what this column is.","")</f>
        <v>0</v>
      </c>
      <c r="F1027" s="4" t="s">
        <v>881</v>
      </c>
    </row>
    <row r="1028" spans="1:6" ht="75" customHeight="1">
      <c r="A1028" t="s">
        <v>334</v>
      </c>
      <c r="B1028" t="s">
        <v>882</v>
      </c>
      <c r="C1028" t="s">
        <v>336</v>
      </c>
      <c r="D1028" t="s">
        <v>165</v>
      </c>
      <c r="E1028" s="4">
        <f>IF(AND(Responses!$JN$1="",COUNTA(Responses!$JN$2:$JN$8000)&gt;0),"Column JN on Responses has answers but no header in row 1, so nobody (and Themefinder) knows what this column is.","")</f>
        <v>0</v>
      </c>
      <c r="F1028" s="4" t="s">
        <v>883</v>
      </c>
    </row>
    <row r="1029" spans="1:6" ht="75" customHeight="1">
      <c r="A1029" t="s">
        <v>334</v>
      </c>
      <c r="B1029" t="s">
        <v>884</v>
      </c>
      <c r="C1029" t="s">
        <v>336</v>
      </c>
      <c r="D1029" t="s">
        <v>165</v>
      </c>
      <c r="E1029" s="4">
        <f>IF(AND(Responses!$JO$1="",COUNTA(Responses!$JO$2:$JO$8000)&gt;0),"Column JO on Responses has answers but no header in row 1, so nobody (and Themefinder) knows what this column is.","")</f>
        <v>0</v>
      </c>
      <c r="F1029" s="4" t="s">
        <v>885</v>
      </c>
    </row>
    <row r="1030" spans="1:6" ht="75" customHeight="1">
      <c r="A1030" t="s">
        <v>334</v>
      </c>
      <c r="B1030" t="s">
        <v>886</v>
      </c>
      <c r="C1030" t="s">
        <v>336</v>
      </c>
      <c r="D1030" t="s">
        <v>165</v>
      </c>
      <c r="E1030" s="4">
        <f>IF(AND(Responses!$JP$1="",COUNTA(Responses!$JP$2:$JP$8000)&gt;0),"Column JP on Responses has answers but no header in row 1, so nobody (and Themefinder) knows what this column is.","")</f>
        <v>0</v>
      </c>
      <c r="F1030" s="4" t="s">
        <v>887</v>
      </c>
    </row>
    <row r="1031" spans="1:6" ht="75" customHeight="1">
      <c r="A1031" t="s">
        <v>334</v>
      </c>
      <c r="B1031" t="s">
        <v>888</v>
      </c>
      <c r="C1031" t="s">
        <v>336</v>
      </c>
      <c r="D1031" t="s">
        <v>165</v>
      </c>
      <c r="E1031" s="4">
        <f>IF(AND(Responses!$JQ$1="",COUNTA(Responses!$JQ$2:$JQ$8000)&gt;0),"Column JQ on Responses has answers but no header in row 1, so nobody (and Themefinder) knows what this column is.","")</f>
        <v>0</v>
      </c>
      <c r="F1031" s="4" t="s">
        <v>889</v>
      </c>
    </row>
    <row r="1032" spans="1:6" ht="75" customHeight="1">
      <c r="A1032" t="s">
        <v>334</v>
      </c>
      <c r="B1032" t="s">
        <v>890</v>
      </c>
      <c r="C1032" t="s">
        <v>336</v>
      </c>
      <c r="D1032" t="s">
        <v>165</v>
      </c>
      <c r="E1032" s="4">
        <f>IF(AND(Responses!$JR$1="",COUNTA(Responses!$JR$2:$JR$8000)&gt;0),"Column JR on Responses has answers but no header in row 1, so nobody (and Themefinder) knows what this column is.","")</f>
        <v>0</v>
      </c>
      <c r="F1032" s="4" t="s">
        <v>891</v>
      </c>
    </row>
    <row r="1033" spans="1:6" ht="75" customHeight="1">
      <c r="A1033" t="s">
        <v>334</v>
      </c>
      <c r="B1033" t="s">
        <v>892</v>
      </c>
      <c r="C1033" t="s">
        <v>336</v>
      </c>
      <c r="D1033" t="s">
        <v>165</v>
      </c>
      <c r="E1033" s="4">
        <f>IF(AND(Responses!$JS$1="",COUNTA(Responses!$JS$2:$JS$8000)&gt;0),"Column JS on Responses has answers but no header in row 1, so nobody (and Themefinder) knows what this column is.","")</f>
        <v>0</v>
      </c>
      <c r="F1033" s="4" t="s">
        <v>893</v>
      </c>
    </row>
    <row r="1034" spans="1:6" ht="75" customHeight="1">
      <c r="A1034" t="s">
        <v>334</v>
      </c>
      <c r="B1034" t="s">
        <v>894</v>
      </c>
      <c r="C1034" t="s">
        <v>336</v>
      </c>
      <c r="D1034" t="s">
        <v>165</v>
      </c>
      <c r="E1034" s="4">
        <f>IF(AND(Responses!$JT$1="",COUNTA(Responses!$JT$2:$JT$8000)&gt;0),"Column JT on Responses has answers but no header in row 1, so nobody (and Themefinder) knows what this column is.","")</f>
        <v>0</v>
      </c>
      <c r="F1034" s="4" t="s">
        <v>895</v>
      </c>
    </row>
    <row r="1035" spans="1:6" ht="75" customHeight="1">
      <c r="A1035" t="s">
        <v>334</v>
      </c>
      <c r="B1035" t="s">
        <v>896</v>
      </c>
      <c r="C1035" t="s">
        <v>336</v>
      </c>
      <c r="D1035" t="s">
        <v>165</v>
      </c>
      <c r="E1035" s="4">
        <f>IF(AND(Responses!$JU$1="",COUNTA(Responses!$JU$2:$JU$8000)&gt;0),"Column JU on Responses has answers but no header in row 1, so nobody (and Themefinder) knows what this column is.","")</f>
        <v>0</v>
      </c>
      <c r="F1035" s="4" t="s">
        <v>897</v>
      </c>
    </row>
    <row r="1036" spans="1:6" ht="75" customHeight="1">
      <c r="A1036" t="s">
        <v>334</v>
      </c>
      <c r="B1036" t="s">
        <v>898</v>
      </c>
      <c r="C1036" t="s">
        <v>336</v>
      </c>
      <c r="D1036" t="s">
        <v>165</v>
      </c>
      <c r="E1036" s="4">
        <f>IF(AND(Responses!$JV$1="",COUNTA(Responses!$JV$2:$JV$8000)&gt;0),"Column JV on Responses has answers but no header in row 1, so nobody (and Themefinder) knows what this column is.","")</f>
        <v>0</v>
      </c>
      <c r="F1036" s="4" t="s">
        <v>899</v>
      </c>
    </row>
    <row r="1037" spans="1:6" ht="75" customHeight="1">
      <c r="A1037" t="s">
        <v>334</v>
      </c>
      <c r="B1037" t="s">
        <v>900</v>
      </c>
      <c r="C1037" t="s">
        <v>336</v>
      </c>
      <c r="D1037" t="s">
        <v>165</v>
      </c>
      <c r="E1037" s="4">
        <f>IF(AND(Responses!$JW$1="",COUNTA(Responses!$JW$2:$JW$8000)&gt;0),"Column JW on Responses has answers but no header in row 1, so nobody (and Themefinder) knows what this column is.","")</f>
        <v>0</v>
      </c>
      <c r="F1037" s="4" t="s">
        <v>901</v>
      </c>
    </row>
    <row r="1038" spans="1:6" ht="75" customHeight="1">
      <c r="A1038" t="s">
        <v>334</v>
      </c>
      <c r="B1038" t="s">
        <v>902</v>
      </c>
      <c r="C1038" t="s">
        <v>336</v>
      </c>
      <c r="D1038" t="s">
        <v>165</v>
      </c>
      <c r="E1038" s="4">
        <f>IF(AND(Responses!$JX$1="",COUNTA(Responses!$JX$2:$JX$8000)&gt;0),"Column JX on Responses has answers but no header in row 1, so nobody (and Themefinder) knows what this column is.","")</f>
        <v>0</v>
      </c>
      <c r="F1038" s="4" t="s">
        <v>903</v>
      </c>
    </row>
    <row r="1039" spans="1:6" ht="75" customHeight="1">
      <c r="A1039" t="s">
        <v>334</v>
      </c>
      <c r="B1039" t="s">
        <v>904</v>
      </c>
      <c r="C1039" t="s">
        <v>336</v>
      </c>
      <c r="D1039" t="s">
        <v>165</v>
      </c>
      <c r="E1039" s="4">
        <f>IF(AND(Responses!$JY$1="",COUNTA(Responses!$JY$2:$JY$8000)&gt;0),"Column JY on Responses has answers but no header in row 1, so nobody (and Themefinder) knows what this column is.","")</f>
        <v>0</v>
      </c>
      <c r="F1039" s="4" t="s">
        <v>905</v>
      </c>
    </row>
    <row r="1040" spans="1:6" ht="75" customHeight="1">
      <c r="A1040" t="s">
        <v>334</v>
      </c>
      <c r="B1040" t="s">
        <v>906</v>
      </c>
      <c r="C1040" t="s">
        <v>336</v>
      </c>
      <c r="D1040" t="s">
        <v>165</v>
      </c>
      <c r="E1040" s="4">
        <f>IF(AND(Responses!$JZ$1="",COUNTA(Responses!$JZ$2:$JZ$8000)&gt;0),"Column JZ on Responses has answers but no header in row 1, so nobody (and Themefinder) knows what this column is.","")</f>
        <v>0</v>
      </c>
      <c r="F1040" s="4" t="s">
        <v>907</v>
      </c>
    </row>
    <row r="1041" spans="1:6" ht="75" customHeight="1">
      <c r="A1041" t="s">
        <v>334</v>
      </c>
      <c r="B1041" t="s">
        <v>908</v>
      </c>
      <c r="C1041" t="s">
        <v>336</v>
      </c>
      <c r="D1041" t="s">
        <v>165</v>
      </c>
      <c r="E1041" s="4">
        <f>IF(AND(Responses!$KA$1="",COUNTA(Responses!$KA$2:$KA$8000)&gt;0),"Column KA on Responses has answers but no header in row 1, so nobody (and Themefinder) knows what this column is.","")</f>
        <v>0</v>
      </c>
      <c r="F1041" s="4" t="s">
        <v>909</v>
      </c>
    </row>
    <row r="1042" spans="1:6" ht="75" customHeight="1">
      <c r="A1042" t="s">
        <v>334</v>
      </c>
      <c r="B1042" t="s">
        <v>910</v>
      </c>
      <c r="C1042" t="s">
        <v>336</v>
      </c>
      <c r="D1042" t="s">
        <v>165</v>
      </c>
      <c r="E1042" s="4">
        <f>IF(AND(Responses!$KB$1="",COUNTA(Responses!$KB$2:$KB$8000)&gt;0),"Column KB on Responses has answers but no header in row 1, so nobody (and Themefinder) knows what this column is.","")</f>
        <v>0</v>
      </c>
      <c r="F1042" s="4" t="s">
        <v>911</v>
      </c>
    </row>
    <row r="1043" spans="1:6" ht="75" customHeight="1">
      <c r="A1043" t="s">
        <v>334</v>
      </c>
      <c r="B1043" t="s">
        <v>912</v>
      </c>
      <c r="C1043" t="s">
        <v>336</v>
      </c>
      <c r="D1043" t="s">
        <v>165</v>
      </c>
      <c r="E1043" s="4">
        <f>IF(AND(Responses!$KC$1="",COUNTA(Responses!$KC$2:$KC$8000)&gt;0),"Column KC on Responses has answers but no header in row 1, so nobody (and Themefinder) knows what this column is.","")</f>
        <v>0</v>
      </c>
      <c r="F1043" s="4" t="s">
        <v>913</v>
      </c>
    </row>
    <row r="1044" spans="1:6" ht="75" customHeight="1">
      <c r="A1044" t="s">
        <v>334</v>
      </c>
      <c r="B1044" t="s">
        <v>914</v>
      </c>
      <c r="C1044" t="s">
        <v>336</v>
      </c>
      <c r="D1044" t="s">
        <v>165</v>
      </c>
      <c r="E1044" s="4">
        <f>IF(AND(Responses!$KD$1="",COUNTA(Responses!$KD$2:$KD$8000)&gt;0),"Column KD on Responses has answers but no header in row 1, so nobody (and Themefinder) knows what this column is.","")</f>
        <v>0</v>
      </c>
      <c r="F1044" s="4" t="s">
        <v>915</v>
      </c>
    </row>
    <row r="1045" spans="1:6" ht="75" customHeight="1">
      <c r="A1045" t="s">
        <v>334</v>
      </c>
      <c r="B1045" t="s">
        <v>916</v>
      </c>
      <c r="C1045" t="s">
        <v>336</v>
      </c>
      <c r="D1045" t="s">
        <v>165</v>
      </c>
      <c r="E1045" s="4">
        <f>IF(AND(Responses!$KE$1="",COUNTA(Responses!$KE$2:$KE$8000)&gt;0),"Column KE on Responses has answers but no header in row 1, so nobody (and Themefinder) knows what this column is.","")</f>
        <v>0</v>
      </c>
      <c r="F1045" s="4" t="s">
        <v>917</v>
      </c>
    </row>
    <row r="1046" spans="1:6" ht="75" customHeight="1">
      <c r="A1046" t="s">
        <v>334</v>
      </c>
      <c r="B1046" t="s">
        <v>918</v>
      </c>
      <c r="C1046" t="s">
        <v>336</v>
      </c>
      <c r="D1046" t="s">
        <v>165</v>
      </c>
      <c r="E1046" s="4">
        <f>IF(AND(Responses!$KF$1="",COUNTA(Responses!$KF$2:$KF$8000)&gt;0),"Column KF on Responses has answers but no header in row 1, so nobody (and Themefinder) knows what this column is.","")</f>
        <v>0</v>
      </c>
      <c r="F1046" s="4" t="s">
        <v>919</v>
      </c>
    </row>
    <row r="1047" spans="1:6" ht="75" customHeight="1">
      <c r="A1047" t="s">
        <v>334</v>
      </c>
      <c r="B1047" t="s">
        <v>920</v>
      </c>
      <c r="C1047" t="s">
        <v>336</v>
      </c>
      <c r="D1047" t="s">
        <v>165</v>
      </c>
      <c r="E1047" s="4">
        <f>IF(AND(Responses!$KG$1="",COUNTA(Responses!$KG$2:$KG$8000)&gt;0),"Column KG on Responses has answers but no header in row 1, so nobody (and Themefinder) knows what this column is.","")</f>
        <v>0</v>
      </c>
      <c r="F1047" s="4" t="s">
        <v>921</v>
      </c>
    </row>
    <row r="1048" spans="1:6" ht="75" customHeight="1">
      <c r="A1048" t="s">
        <v>334</v>
      </c>
      <c r="B1048" t="s">
        <v>922</v>
      </c>
      <c r="C1048" t="s">
        <v>336</v>
      </c>
      <c r="D1048" t="s">
        <v>165</v>
      </c>
      <c r="E1048" s="4">
        <f>IF(AND(Responses!$KH$1="",COUNTA(Responses!$KH$2:$KH$8000)&gt;0),"Column KH on Responses has answers but no header in row 1, so nobody (and Themefinder) knows what this column is.","")</f>
        <v>0</v>
      </c>
      <c r="F1048" s="4" t="s">
        <v>923</v>
      </c>
    </row>
    <row r="1049" spans="1:6" ht="75" customHeight="1">
      <c r="A1049" t="s">
        <v>334</v>
      </c>
      <c r="B1049" t="s">
        <v>924</v>
      </c>
      <c r="C1049" t="s">
        <v>336</v>
      </c>
      <c r="D1049" t="s">
        <v>165</v>
      </c>
      <c r="E1049" s="4">
        <f>IF(AND(Responses!$KI$1="",COUNTA(Responses!$KI$2:$KI$8000)&gt;0),"Column KI on Responses has answers but no header in row 1, so nobody (and Themefinder) knows what this column is.","")</f>
        <v>0</v>
      </c>
      <c r="F1049" s="4" t="s">
        <v>925</v>
      </c>
    </row>
    <row r="1050" spans="1:6" ht="75" customHeight="1">
      <c r="A1050" t="s">
        <v>334</v>
      </c>
      <c r="B1050" t="s">
        <v>926</v>
      </c>
      <c r="C1050" t="s">
        <v>336</v>
      </c>
      <c r="D1050" t="s">
        <v>165</v>
      </c>
      <c r="E1050" s="4">
        <f>IF(AND(Responses!$KJ$1="",COUNTA(Responses!$KJ$2:$KJ$8000)&gt;0),"Column KJ on Responses has answers but no header in row 1, so nobody (and Themefinder) knows what this column is.","")</f>
        <v>0</v>
      </c>
      <c r="F1050" s="4" t="s">
        <v>927</v>
      </c>
    </row>
    <row r="1051" spans="1:6" ht="75" customHeight="1">
      <c r="A1051" t="s">
        <v>334</v>
      </c>
      <c r="B1051" t="s">
        <v>928</v>
      </c>
      <c r="C1051" t="s">
        <v>336</v>
      </c>
      <c r="D1051" t="s">
        <v>165</v>
      </c>
      <c r="E1051" s="4">
        <f>IF(AND(Responses!$KK$1="",COUNTA(Responses!$KK$2:$KK$8000)&gt;0),"Column KK on Responses has answers but no header in row 1, so nobody (and Themefinder) knows what this column is.","")</f>
        <v>0</v>
      </c>
      <c r="F1051" s="4" t="s">
        <v>929</v>
      </c>
    </row>
    <row r="1052" spans="1:6" ht="75" customHeight="1">
      <c r="A1052" t="s">
        <v>334</v>
      </c>
      <c r="B1052" t="s">
        <v>930</v>
      </c>
      <c r="C1052" t="s">
        <v>336</v>
      </c>
      <c r="D1052" t="s">
        <v>165</v>
      </c>
      <c r="E1052" s="4">
        <f>IF(AND(Responses!$KL$1="",COUNTA(Responses!$KL$2:$KL$8000)&gt;0),"Column KL on Responses has answers but no header in row 1, so nobody (and Themefinder) knows what this column is.","")</f>
        <v>0</v>
      </c>
      <c r="F1052" s="4" t="s">
        <v>931</v>
      </c>
    </row>
    <row r="1053" spans="1:6" ht="75" customHeight="1">
      <c r="A1053" t="s">
        <v>334</v>
      </c>
      <c r="B1053" t="s">
        <v>932</v>
      </c>
      <c r="C1053" t="s">
        <v>336</v>
      </c>
      <c r="D1053" t="s">
        <v>165</v>
      </c>
      <c r="E1053" s="4">
        <f>IF(AND(Responses!$KM$1="",COUNTA(Responses!$KM$2:$KM$8000)&gt;0),"Column KM on Responses has answers but no header in row 1, so nobody (and Themefinder) knows what this column is.","")</f>
        <v>0</v>
      </c>
      <c r="F1053" s="4" t="s">
        <v>933</v>
      </c>
    </row>
    <row r="1054" spans="1:6" ht="75" customHeight="1">
      <c r="A1054" t="s">
        <v>334</v>
      </c>
      <c r="B1054" t="s">
        <v>934</v>
      </c>
      <c r="C1054" t="s">
        <v>336</v>
      </c>
      <c r="D1054" t="s">
        <v>165</v>
      </c>
      <c r="E1054" s="4">
        <f>IF(AND(Responses!$KN$1="",COUNTA(Responses!$KN$2:$KN$8000)&gt;0),"Column KN on Responses has answers but no header in row 1, so nobody (and Themefinder) knows what this column is.","")</f>
        <v>0</v>
      </c>
      <c r="F1054" s="4" t="s">
        <v>935</v>
      </c>
    </row>
    <row r="1055" spans="1:6" ht="75" customHeight="1">
      <c r="A1055" t="s">
        <v>334</v>
      </c>
      <c r="B1055" t="s">
        <v>936</v>
      </c>
      <c r="C1055" t="s">
        <v>336</v>
      </c>
      <c r="D1055" t="s">
        <v>165</v>
      </c>
      <c r="E1055" s="4">
        <f>IF(AND(Responses!$KO$1="",COUNTA(Responses!$KO$2:$KO$8000)&gt;0),"Column KO on Responses has answers but no header in row 1, so nobody (and Themefinder) knows what this column is.","")</f>
        <v>0</v>
      </c>
      <c r="F1055" s="4" t="s">
        <v>937</v>
      </c>
    </row>
    <row r="1056" spans="1:6" ht="75" customHeight="1">
      <c r="A1056" t="s">
        <v>334</v>
      </c>
      <c r="B1056" t="s">
        <v>938</v>
      </c>
      <c r="C1056" t="s">
        <v>336</v>
      </c>
      <c r="D1056" t="s">
        <v>165</v>
      </c>
      <c r="E1056" s="4">
        <f>IF(AND(Responses!$KP$1="",COUNTA(Responses!$KP$2:$KP$8000)&gt;0),"Column KP on Responses has answers but no header in row 1, so nobody (and Themefinder) knows what this column is.","")</f>
        <v>0</v>
      </c>
      <c r="F1056" s="4" t="s">
        <v>939</v>
      </c>
    </row>
    <row r="1057" spans="1:6" ht="75" customHeight="1">
      <c r="A1057" t="s">
        <v>334</v>
      </c>
      <c r="B1057" t="s">
        <v>940</v>
      </c>
      <c r="C1057" t="s">
        <v>336</v>
      </c>
      <c r="D1057" t="s">
        <v>165</v>
      </c>
      <c r="E1057" s="4">
        <f>IF(AND(Responses!$KQ$1="",COUNTA(Responses!$KQ$2:$KQ$8000)&gt;0),"Column KQ on Responses has answers but no header in row 1, so nobody (and Themefinder) knows what this column is.","")</f>
        <v>0</v>
      </c>
      <c r="F1057" s="4" t="s">
        <v>941</v>
      </c>
    </row>
    <row r="1058" spans="1:6" ht="75" customHeight="1">
      <c r="A1058" t="s">
        <v>334</v>
      </c>
      <c r="B1058" t="s">
        <v>942</v>
      </c>
      <c r="C1058" t="s">
        <v>336</v>
      </c>
      <c r="D1058" t="s">
        <v>165</v>
      </c>
      <c r="E1058" s="4">
        <f>IF(AND(Responses!$KR$1="",COUNTA(Responses!$KR$2:$KR$8000)&gt;0),"Column KR on Responses has answers but no header in row 1, so nobody (and Themefinder) knows what this column is.","")</f>
        <v>0</v>
      </c>
      <c r="F1058" s="4" t="s">
        <v>943</v>
      </c>
    </row>
    <row r="1059" spans="1:6" ht="75" customHeight="1">
      <c r="A1059" t="s">
        <v>334</v>
      </c>
      <c r="B1059" t="s">
        <v>944</v>
      </c>
      <c r="C1059" t="s">
        <v>336</v>
      </c>
      <c r="D1059" t="s">
        <v>165</v>
      </c>
      <c r="E1059" s="4">
        <f>IF(AND(Responses!$KS$1="",COUNTA(Responses!$KS$2:$KS$8000)&gt;0),"Column KS on Responses has answers but no header in row 1, so nobody (and Themefinder) knows what this column is.","")</f>
        <v>0</v>
      </c>
      <c r="F1059" s="4" t="s">
        <v>945</v>
      </c>
    </row>
    <row r="1060" spans="1:6" ht="75" customHeight="1">
      <c r="A1060" t="s">
        <v>334</v>
      </c>
      <c r="B1060" t="s">
        <v>946</v>
      </c>
      <c r="C1060" t="s">
        <v>336</v>
      </c>
      <c r="D1060" t="s">
        <v>165</v>
      </c>
      <c r="E1060" s="4">
        <f>IF(AND(Responses!$KT$1="",COUNTA(Responses!$KT$2:$KT$8000)&gt;0),"Column KT on Responses has answers but no header in row 1, so nobody (and Themefinder) knows what this column is.","")</f>
        <v>0</v>
      </c>
      <c r="F1060" s="4" t="s">
        <v>947</v>
      </c>
    </row>
    <row r="1061" spans="1:6" ht="75" customHeight="1">
      <c r="A1061" t="s">
        <v>334</v>
      </c>
      <c r="B1061" t="s">
        <v>948</v>
      </c>
      <c r="C1061" t="s">
        <v>336</v>
      </c>
      <c r="D1061" t="s">
        <v>165</v>
      </c>
      <c r="E1061" s="4">
        <f>IF(AND(Responses!$KU$1="",COUNTA(Responses!$KU$2:$KU$8000)&gt;0),"Column KU on Responses has answers but no header in row 1, so nobody (and Themefinder) knows what this column is.","")</f>
        <v>0</v>
      </c>
      <c r="F1061" s="4" t="s">
        <v>949</v>
      </c>
    </row>
    <row r="1062" spans="1:6" ht="75" customHeight="1">
      <c r="A1062" t="s">
        <v>334</v>
      </c>
      <c r="B1062" t="s">
        <v>950</v>
      </c>
      <c r="C1062" t="s">
        <v>336</v>
      </c>
      <c r="D1062" t="s">
        <v>165</v>
      </c>
      <c r="E1062" s="4">
        <f>IF(AND(Responses!$KV$1="",COUNTA(Responses!$KV$2:$KV$8000)&gt;0),"Column KV on Responses has answers but no header in row 1, so nobody (and Themefinder) knows what this column is.","")</f>
        <v>0</v>
      </c>
      <c r="F1062" s="4" t="s">
        <v>951</v>
      </c>
    </row>
    <row r="1063" spans="1:6" ht="75" customHeight="1">
      <c r="A1063" t="s">
        <v>334</v>
      </c>
      <c r="B1063" t="s">
        <v>952</v>
      </c>
      <c r="C1063" t="s">
        <v>336</v>
      </c>
      <c r="D1063" t="s">
        <v>165</v>
      </c>
      <c r="E1063" s="4">
        <f>IF(AND(Responses!$KW$1="",COUNTA(Responses!$KW$2:$KW$8000)&gt;0),"Column KW on Responses has answers but no header in row 1, so nobody (and Themefinder) knows what this column is.","")</f>
        <v>0</v>
      </c>
      <c r="F1063" s="4" t="s">
        <v>953</v>
      </c>
    </row>
    <row r="1064" spans="1:6" ht="75" customHeight="1">
      <c r="A1064" t="s">
        <v>334</v>
      </c>
      <c r="B1064" t="s">
        <v>954</v>
      </c>
      <c r="C1064" t="s">
        <v>336</v>
      </c>
      <c r="D1064" t="s">
        <v>165</v>
      </c>
      <c r="E1064" s="4">
        <f>IF(AND(Responses!$KX$1="",COUNTA(Responses!$KX$2:$KX$8000)&gt;0),"Column KX on Responses has answers but no header in row 1, so nobody (and Themefinder) knows what this column is.","")</f>
        <v>0</v>
      </c>
      <c r="F1064" s="4" t="s">
        <v>955</v>
      </c>
    </row>
    <row r="1065" spans="1:6" ht="75" customHeight="1">
      <c r="A1065" t="s">
        <v>334</v>
      </c>
      <c r="B1065" t="s">
        <v>956</v>
      </c>
      <c r="C1065" t="s">
        <v>336</v>
      </c>
      <c r="D1065" t="s">
        <v>165</v>
      </c>
      <c r="E1065" s="4">
        <f>IF(AND(Responses!$KY$1="",COUNTA(Responses!$KY$2:$KY$8000)&gt;0),"Column KY on Responses has answers but no header in row 1, so nobody (and Themefinder) knows what this column is.","")</f>
        <v>0</v>
      </c>
      <c r="F1065" s="4" t="s">
        <v>957</v>
      </c>
    </row>
    <row r="1066" spans="1:6" ht="75" customHeight="1">
      <c r="A1066" t="s">
        <v>334</v>
      </c>
      <c r="B1066" t="s">
        <v>958</v>
      </c>
      <c r="C1066" t="s">
        <v>336</v>
      </c>
      <c r="D1066" t="s">
        <v>165</v>
      </c>
      <c r="E1066" s="4">
        <f>IF(AND(Responses!$KZ$1="",COUNTA(Responses!$KZ$2:$KZ$8000)&gt;0),"Column KZ on Responses has answers but no header in row 1, so nobody (and Themefinder) knows what this column is.","")</f>
        <v>0</v>
      </c>
      <c r="F1066" s="4" t="s">
        <v>959</v>
      </c>
    </row>
    <row r="1067" spans="1:6" ht="75" customHeight="1">
      <c r="A1067" t="s">
        <v>334</v>
      </c>
      <c r="B1067" t="s">
        <v>960</v>
      </c>
      <c r="C1067" t="s">
        <v>336</v>
      </c>
      <c r="D1067" t="s">
        <v>165</v>
      </c>
      <c r="E1067" s="4">
        <f>IF(AND(Responses!$LA$1="",COUNTA(Responses!$LA$2:$LA$8000)&gt;0),"Column LA on Responses has answers but no header in row 1, so nobody (and Themefinder) knows what this column is.","")</f>
        <v>0</v>
      </c>
      <c r="F1067" s="4" t="s">
        <v>961</v>
      </c>
    </row>
    <row r="1068" spans="1:6" ht="75" customHeight="1">
      <c r="A1068" t="s">
        <v>334</v>
      </c>
      <c r="B1068" t="s">
        <v>962</v>
      </c>
      <c r="C1068" t="s">
        <v>336</v>
      </c>
      <c r="D1068" t="s">
        <v>165</v>
      </c>
      <c r="E1068" s="4">
        <f>IF(AND(Responses!$LB$1="",COUNTA(Responses!$LB$2:$LB$8000)&gt;0),"Column LB on Responses has answers but no header in row 1, so nobody (and Themefinder) knows what this column is.","")</f>
        <v>0</v>
      </c>
      <c r="F1068" s="4" t="s">
        <v>963</v>
      </c>
    </row>
    <row r="1069" spans="1:6" ht="75" customHeight="1">
      <c r="A1069" t="s">
        <v>334</v>
      </c>
      <c r="B1069" t="s">
        <v>964</v>
      </c>
      <c r="C1069" t="s">
        <v>336</v>
      </c>
      <c r="D1069" t="s">
        <v>165</v>
      </c>
      <c r="E1069" s="4">
        <f>IF(AND(Responses!$LC$1="",COUNTA(Responses!$LC$2:$LC$8000)&gt;0),"Column LC on Responses has answers but no header in row 1, so nobody (and Themefinder) knows what this column is.","")</f>
        <v>0</v>
      </c>
      <c r="F1069" s="4" t="s">
        <v>965</v>
      </c>
    </row>
    <row r="1070" spans="1:6" ht="75" customHeight="1">
      <c r="A1070" t="s">
        <v>334</v>
      </c>
      <c r="B1070" t="s">
        <v>966</v>
      </c>
      <c r="C1070" t="s">
        <v>336</v>
      </c>
      <c r="D1070" t="s">
        <v>165</v>
      </c>
      <c r="E1070" s="4">
        <f>IF(AND(Responses!$LD$1="",COUNTA(Responses!$LD$2:$LD$8000)&gt;0),"Column LD on Responses has answers but no header in row 1, so nobody (and Themefinder) knows what this column is.","")</f>
        <v>0</v>
      </c>
      <c r="F1070" s="4" t="s">
        <v>967</v>
      </c>
    </row>
    <row r="1071" spans="1:6" ht="75" customHeight="1">
      <c r="A1071" t="s">
        <v>334</v>
      </c>
      <c r="B1071" t="s">
        <v>968</v>
      </c>
      <c r="C1071" t="s">
        <v>336</v>
      </c>
      <c r="D1071" t="s">
        <v>165</v>
      </c>
      <c r="E1071" s="4">
        <f>IF(AND(Responses!$LE$1="",COUNTA(Responses!$LE$2:$LE$8000)&gt;0),"Column LE on Responses has answers but no header in row 1, so nobody (and Themefinder) knows what this column is.","")</f>
        <v>0</v>
      </c>
      <c r="F1071" s="4" t="s">
        <v>969</v>
      </c>
    </row>
    <row r="1072" spans="1:6" ht="75" customHeight="1">
      <c r="A1072" t="s">
        <v>334</v>
      </c>
      <c r="B1072" t="s">
        <v>970</v>
      </c>
      <c r="C1072" t="s">
        <v>336</v>
      </c>
      <c r="D1072" t="s">
        <v>165</v>
      </c>
      <c r="E1072" s="4">
        <f>IF(AND(Responses!$LF$1="",COUNTA(Responses!$LF$2:$LF$8000)&gt;0),"Column LF on Responses has answers but no header in row 1, so nobody (and Themefinder) knows what this column is.","")</f>
        <v>0</v>
      </c>
      <c r="F1072" s="4" t="s">
        <v>971</v>
      </c>
    </row>
    <row r="1073" spans="1:6" ht="75" customHeight="1">
      <c r="A1073" t="s">
        <v>334</v>
      </c>
      <c r="B1073" t="s">
        <v>972</v>
      </c>
      <c r="C1073" t="s">
        <v>336</v>
      </c>
      <c r="D1073" t="s">
        <v>165</v>
      </c>
      <c r="E1073" s="4">
        <f>IF(AND(Responses!$LG$1="",COUNTA(Responses!$LG$2:$LG$8000)&gt;0),"Column LG on Responses has answers but no header in row 1, so nobody (and Themefinder) knows what this column is.","")</f>
        <v>0</v>
      </c>
      <c r="F1073" s="4" t="s">
        <v>973</v>
      </c>
    </row>
    <row r="1074" spans="1:6" ht="75" customHeight="1">
      <c r="A1074" t="s">
        <v>334</v>
      </c>
      <c r="B1074" t="s">
        <v>974</v>
      </c>
      <c r="C1074" t="s">
        <v>336</v>
      </c>
      <c r="D1074" t="s">
        <v>165</v>
      </c>
      <c r="E1074" s="4">
        <f>IF(AND(Responses!$LH$1="",COUNTA(Responses!$LH$2:$LH$8000)&gt;0),"Column LH on Responses has answers but no header in row 1, so nobody (and Themefinder) knows what this column is.","")</f>
        <v>0</v>
      </c>
      <c r="F1074" s="4" t="s">
        <v>975</v>
      </c>
    </row>
    <row r="1075" spans="1:6" ht="75" customHeight="1">
      <c r="A1075" t="s">
        <v>334</v>
      </c>
      <c r="B1075" t="s">
        <v>976</v>
      </c>
      <c r="C1075" t="s">
        <v>336</v>
      </c>
      <c r="D1075" t="s">
        <v>165</v>
      </c>
      <c r="E1075" s="4">
        <f>IF(AND(Responses!$LI$1="",COUNTA(Responses!$LI$2:$LI$8000)&gt;0),"Column LI on Responses has answers but no header in row 1, so nobody (and Themefinder) knows what this column is.","")</f>
        <v>0</v>
      </c>
      <c r="F1075" s="4" t="s">
        <v>977</v>
      </c>
    </row>
    <row r="1076" spans="1:6" ht="75" customHeight="1">
      <c r="A1076" t="s">
        <v>334</v>
      </c>
      <c r="B1076" t="s">
        <v>978</v>
      </c>
      <c r="C1076" t="s">
        <v>336</v>
      </c>
      <c r="D1076" t="s">
        <v>165</v>
      </c>
      <c r="E1076" s="4">
        <f>IF(AND(Responses!$LJ$1="",COUNTA(Responses!$LJ$2:$LJ$8000)&gt;0),"Column LJ on Responses has answers but no header in row 1, so nobody (and Themefinder) knows what this column is.","")</f>
        <v>0</v>
      </c>
      <c r="F1076" s="4" t="s">
        <v>979</v>
      </c>
    </row>
    <row r="1077" spans="1:6" ht="75" customHeight="1">
      <c r="A1077" t="s">
        <v>334</v>
      </c>
      <c r="B1077" t="s">
        <v>980</v>
      </c>
      <c r="C1077" t="s">
        <v>336</v>
      </c>
      <c r="D1077" t="s">
        <v>165</v>
      </c>
      <c r="E1077" s="4">
        <f>IF(AND(Responses!$LK$1="",COUNTA(Responses!$LK$2:$LK$8000)&gt;0),"Column LK on Responses has answers but no header in row 1, so nobody (and Themefinder) knows what this column is.","")</f>
        <v>0</v>
      </c>
      <c r="F1077" s="4" t="s">
        <v>981</v>
      </c>
    </row>
    <row r="1078" spans="1:6" ht="75" customHeight="1">
      <c r="A1078" t="s">
        <v>334</v>
      </c>
      <c r="B1078" t="s">
        <v>982</v>
      </c>
      <c r="C1078" t="s">
        <v>336</v>
      </c>
      <c r="D1078" t="s">
        <v>165</v>
      </c>
      <c r="E1078" s="4">
        <f>IF(AND(Responses!$LL$1="",COUNTA(Responses!$LL$2:$LL$8000)&gt;0),"Column LL on Responses has answers but no header in row 1, so nobody (and Themefinder) knows what this column is.","")</f>
        <v>0</v>
      </c>
      <c r="F1078" s="4" t="s">
        <v>983</v>
      </c>
    </row>
    <row r="1079" spans="1:6" ht="75" customHeight="1">
      <c r="A1079" t="s">
        <v>334</v>
      </c>
      <c r="B1079" t="s">
        <v>984</v>
      </c>
      <c r="C1079" t="s">
        <v>336</v>
      </c>
      <c r="D1079" t="s">
        <v>165</v>
      </c>
      <c r="E1079" s="4">
        <f>IF(AND(Responses!$LM$1="",COUNTA(Responses!$LM$2:$LM$8000)&gt;0),"Column LM on Responses has answers but no header in row 1, so nobody (and Themefinder) knows what this column is.","")</f>
        <v>0</v>
      </c>
      <c r="F1079" s="4" t="s">
        <v>985</v>
      </c>
    </row>
    <row r="1080" spans="1:6" ht="75" customHeight="1">
      <c r="A1080" t="s">
        <v>334</v>
      </c>
      <c r="B1080" t="s">
        <v>986</v>
      </c>
      <c r="C1080" t="s">
        <v>336</v>
      </c>
      <c r="D1080" t="s">
        <v>165</v>
      </c>
      <c r="E1080" s="4">
        <f>IF(AND(Responses!$LN$1="",COUNTA(Responses!$LN$2:$LN$8000)&gt;0),"Column LN on Responses has answers but no header in row 1, so nobody (and Themefinder) knows what this column is.","")</f>
        <v>0</v>
      </c>
      <c r="F1080" s="4" t="s">
        <v>987</v>
      </c>
    </row>
    <row r="1081" spans="1:6" ht="75" customHeight="1">
      <c r="A1081" t="s">
        <v>334</v>
      </c>
      <c r="B1081" t="s">
        <v>988</v>
      </c>
      <c r="C1081" t="s">
        <v>336</v>
      </c>
      <c r="D1081" t="s">
        <v>165</v>
      </c>
      <c r="E1081" s="4">
        <f>IF(AND(Responses!$LO$1="",COUNTA(Responses!$LO$2:$LO$8000)&gt;0),"Column LO on Responses has answers but no header in row 1, so nobody (and Themefinder) knows what this column is.","")</f>
        <v>0</v>
      </c>
      <c r="F1081" s="4" t="s">
        <v>989</v>
      </c>
    </row>
    <row r="1082" spans="1:6" ht="75" customHeight="1">
      <c r="A1082" t="s">
        <v>334</v>
      </c>
      <c r="B1082" t="s">
        <v>990</v>
      </c>
      <c r="C1082" t="s">
        <v>336</v>
      </c>
      <c r="D1082" t="s">
        <v>165</v>
      </c>
      <c r="E1082" s="4">
        <f>IF(AND(Responses!$LP$1="",COUNTA(Responses!$LP$2:$LP$8000)&gt;0),"Column LP on Responses has answers but no header in row 1, so nobody (and Themefinder) knows what this column is.","")</f>
        <v>0</v>
      </c>
      <c r="F1082" s="4" t="s">
        <v>991</v>
      </c>
    </row>
    <row r="1083" spans="1:6" ht="75" customHeight="1">
      <c r="A1083" t="s">
        <v>334</v>
      </c>
      <c r="B1083" t="s">
        <v>992</v>
      </c>
      <c r="C1083" t="s">
        <v>336</v>
      </c>
      <c r="D1083" t="s">
        <v>165</v>
      </c>
      <c r="E1083" s="4">
        <f>IF(AND(Responses!$LQ$1="",COUNTA(Responses!$LQ$2:$LQ$8000)&gt;0),"Column LQ on Responses has answers but no header in row 1, so nobody (and Themefinder) knows what this column is.","")</f>
        <v>0</v>
      </c>
      <c r="F1083" s="4" t="s">
        <v>993</v>
      </c>
    </row>
    <row r="1084" spans="1:6" ht="75" customHeight="1">
      <c r="A1084" t="s">
        <v>334</v>
      </c>
      <c r="B1084" t="s">
        <v>994</v>
      </c>
      <c r="C1084" t="s">
        <v>336</v>
      </c>
      <c r="D1084" t="s">
        <v>165</v>
      </c>
      <c r="E1084" s="4">
        <f>IF(AND(Responses!$LR$1="",COUNTA(Responses!$LR$2:$LR$8000)&gt;0),"Column LR on Responses has answers but no header in row 1, so nobody (and Themefinder) knows what this column is.","")</f>
        <v>0</v>
      </c>
      <c r="F1084" s="4" t="s">
        <v>995</v>
      </c>
    </row>
    <row r="1085" spans="1:6" ht="75" customHeight="1">
      <c r="A1085" t="s">
        <v>334</v>
      </c>
      <c r="B1085" t="s">
        <v>996</v>
      </c>
      <c r="C1085" t="s">
        <v>336</v>
      </c>
      <c r="D1085" t="s">
        <v>165</v>
      </c>
      <c r="E1085" s="4">
        <f>IF(AND(Responses!$LS$1="",COUNTA(Responses!$LS$2:$LS$8000)&gt;0),"Column LS on Responses has answers but no header in row 1, so nobody (and Themefinder) knows what this column is.","")</f>
        <v>0</v>
      </c>
      <c r="F1085" s="4" t="s">
        <v>997</v>
      </c>
    </row>
    <row r="1086" spans="1:6" ht="75" customHeight="1">
      <c r="A1086" t="s">
        <v>334</v>
      </c>
      <c r="B1086" t="s">
        <v>998</v>
      </c>
      <c r="C1086" t="s">
        <v>336</v>
      </c>
      <c r="D1086" t="s">
        <v>165</v>
      </c>
      <c r="E1086" s="4">
        <f>IF(AND(Responses!$LT$1="",COUNTA(Responses!$LT$2:$LT$8000)&gt;0),"Column LT on Responses has answers but no header in row 1, so nobody (and Themefinder) knows what this column is.","")</f>
        <v>0</v>
      </c>
      <c r="F1086" s="4" t="s">
        <v>999</v>
      </c>
    </row>
    <row r="1087" spans="1:6" ht="75" customHeight="1">
      <c r="A1087" t="s">
        <v>334</v>
      </c>
      <c r="B1087" t="s">
        <v>1000</v>
      </c>
      <c r="C1087" t="s">
        <v>336</v>
      </c>
      <c r="D1087" t="s">
        <v>165</v>
      </c>
      <c r="E1087" s="4">
        <f>IF(AND(Responses!$LU$1="",COUNTA(Responses!$LU$2:$LU$8000)&gt;0),"Column LU on Responses has answers but no header in row 1, so nobody (and Themefinder) knows what this column is.","")</f>
        <v>0</v>
      </c>
      <c r="F1087" s="4" t="s">
        <v>1001</v>
      </c>
    </row>
    <row r="1088" spans="1:6" ht="75" customHeight="1">
      <c r="A1088" t="s">
        <v>334</v>
      </c>
      <c r="B1088" t="s">
        <v>1002</v>
      </c>
      <c r="C1088" t="s">
        <v>336</v>
      </c>
      <c r="D1088" t="s">
        <v>165</v>
      </c>
      <c r="E1088" s="4">
        <f>IF(AND(Responses!$LV$1="",COUNTA(Responses!$LV$2:$LV$8000)&gt;0),"Column LV on Responses has answers but no header in row 1, so nobody (and Themefinder) knows what this column is.","")</f>
        <v>0</v>
      </c>
      <c r="F1088" s="4" t="s">
        <v>1003</v>
      </c>
    </row>
    <row r="1089" spans="1:6" ht="75" customHeight="1">
      <c r="A1089" t="s">
        <v>334</v>
      </c>
      <c r="B1089" t="s">
        <v>1004</v>
      </c>
      <c r="C1089" t="s">
        <v>336</v>
      </c>
      <c r="D1089" t="s">
        <v>165</v>
      </c>
      <c r="E1089" s="4">
        <f>IF(AND(Responses!$LW$1="",COUNTA(Responses!$LW$2:$LW$8000)&gt;0),"Column LW on Responses has answers but no header in row 1, so nobody (and Themefinder) knows what this column is.","")</f>
        <v>0</v>
      </c>
      <c r="F1089" s="4" t="s">
        <v>1005</v>
      </c>
    </row>
    <row r="1090" spans="1:6" ht="75" customHeight="1">
      <c r="A1090" t="s">
        <v>334</v>
      </c>
      <c r="B1090" t="s">
        <v>1006</v>
      </c>
      <c r="C1090" t="s">
        <v>336</v>
      </c>
      <c r="D1090" t="s">
        <v>165</v>
      </c>
      <c r="E1090" s="4">
        <f>IF(AND(Responses!$LX$1="",COUNTA(Responses!$LX$2:$LX$8000)&gt;0),"Column LX on Responses has answers but no header in row 1, so nobody (and Themefinder) knows what this column is.","")</f>
        <v>0</v>
      </c>
      <c r="F1090" s="4" t="s">
        <v>1007</v>
      </c>
    </row>
    <row r="1091" spans="1:6" ht="75" customHeight="1">
      <c r="A1091" t="s">
        <v>334</v>
      </c>
      <c r="B1091" t="s">
        <v>1008</v>
      </c>
      <c r="C1091" t="s">
        <v>336</v>
      </c>
      <c r="D1091" t="s">
        <v>165</v>
      </c>
      <c r="E1091" s="4">
        <f>IF(AND(Responses!$LY$1="",COUNTA(Responses!$LY$2:$LY$8000)&gt;0),"Column LY on Responses has answers but no header in row 1, so nobody (and Themefinder) knows what this column is.","")</f>
        <v>0</v>
      </c>
      <c r="F1091" s="4" t="s">
        <v>1009</v>
      </c>
    </row>
    <row r="1092" spans="1:6" ht="75" customHeight="1">
      <c r="A1092" t="s">
        <v>334</v>
      </c>
      <c r="B1092" t="s">
        <v>1010</v>
      </c>
      <c r="C1092" t="s">
        <v>336</v>
      </c>
      <c r="D1092" t="s">
        <v>165</v>
      </c>
      <c r="E1092" s="4">
        <f>IF(AND(Responses!$LZ$1="",COUNTA(Responses!$LZ$2:$LZ$8000)&gt;0),"Column LZ on Responses has answers but no header in row 1, so nobody (and Themefinder) knows what this column is.","")</f>
        <v>0</v>
      </c>
      <c r="F1092" s="4" t="s">
        <v>1011</v>
      </c>
    </row>
    <row r="1093" spans="1:6" ht="75" customHeight="1">
      <c r="A1093" t="s">
        <v>334</v>
      </c>
      <c r="B1093" t="s">
        <v>1012</v>
      </c>
      <c r="C1093" t="s">
        <v>336</v>
      </c>
      <c r="D1093" t="s">
        <v>165</v>
      </c>
      <c r="E1093" s="4">
        <f>IF(AND(Responses!$MA$1="",COUNTA(Responses!$MA$2:$MA$8000)&gt;0),"Column MA on Responses has answers but no header in row 1, so nobody (and Themefinder) knows what this column is.","")</f>
        <v>0</v>
      </c>
      <c r="F1093" s="4" t="s">
        <v>1013</v>
      </c>
    </row>
    <row r="1094" spans="1:6" ht="75" customHeight="1">
      <c r="A1094" t="s">
        <v>334</v>
      </c>
      <c r="B1094" t="s">
        <v>1014</v>
      </c>
      <c r="C1094" t="s">
        <v>336</v>
      </c>
      <c r="D1094" t="s">
        <v>165</v>
      </c>
      <c r="E1094" s="4">
        <f>IF(AND(Responses!$MB$1="",COUNTA(Responses!$MB$2:$MB$8000)&gt;0),"Column MB on Responses has answers but no header in row 1, so nobody (and Themefinder) knows what this column is.","")</f>
        <v>0</v>
      </c>
      <c r="F1094" s="4" t="s">
        <v>1015</v>
      </c>
    </row>
    <row r="1095" spans="1:6" ht="75" customHeight="1">
      <c r="A1095" t="s">
        <v>334</v>
      </c>
      <c r="B1095" t="s">
        <v>1016</v>
      </c>
      <c r="C1095" t="s">
        <v>336</v>
      </c>
      <c r="D1095" t="s">
        <v>165</v>
      </c>
      <c r="E1095" s="4">
        <f>IF(AND(Responses!$MC$1="",COUNTA(Responses!$MC$2:$MC$8000)&gt;0),"Column MC on Responses has answers but no header in row 1, so nobody (and Themefinder) knows what this column is.","")</f>
        <v>0</v>
      </c>
      <c r="F1095" s="4" t="s">
        <v>1017</v>
      </c>
    </row>
    <row r="1096" spans="1:6" ht="75" customHeight="1">
      <c r="A1096" t="s">
        <v>334</v>
      </c>
      <c r="B1096" t="s">
        <v>1018</v>
      </c>
      <c r="C1096" t="s">
        <v>336</v>
      </c>
      <c r="D1096" t="s">
        <v>165</v>
      </c>
      <c r="E1096" s="4">
        <f>IF(AND(Responses!$MD$1="",COUNTA(Responses!$MD$2:$MD$8000)&gt;0),"Column MD on Responses has answers but no header in row 1, so nobody (and Themefinder) knows what this column is.","")</f>
        <v>0</v>
      </c>
      <c r="F1096" s="4" t="s">
        <v>1019</v>
      </c>
    </row>
    <row r="1097" spans="1:6" ht="75" customHeight="1">
      <c r="A1097" t="s">
        <v>334</v>
      </c>
      <c r="B1097" t="s">
        <v>1020</v>
      </c>
      <c r="C1097" t="s">
        <v>336</v>
      </c>
      <c r="D1097" t="s">
        <v>165</v>
      </c>
      <c r="E1097" s="4">
        <f>IF(AND(Responses!$ME$1="",COUNTA(Responses!$ME$2:$ME$8000)&gt;0),"Column ME on Responses has answers but no header in row 1, so nobody (and Themefinder) knows what this column is.","")</f>
        <v>0</v>
      </c>
      <c r="F1097" s="4" t="s">
        <v>1021</v>
      </c>
    </row>
    <row r="1098" spans="1:6" ht="75" customHeight="1">
      <c r="A1098" t="s">
        <v>334</v>
      </c>
      <c r="B1098" t="s">
        <v>1022</v>
      </c>
      <c r="C1098" t="s">
        <v>336</v>
      </c>
      <c r="D1098" t="s">
        <v>165</v>
      </c>
      <c r="E1098" s="4">
        <f>IF(AND(Responses!$MF$1="",COUNTA(Responses!$MF$2:$MF$8000)&gt;0),"Column MF on Responses has answers but no header in row 1, so nobody (and Themefinder) knows what this column is.","")</f>
        <v>0</v>
      </c>
      <c r="F1098" s="4" t="s">
        <v>1023</v>
      </c>
    </row>
    <row r="1099" spans="1:6" ht="75" customHeight="1">
      <c r="A1099" t="s">
        <v>334</v>
      </c>
      <c r="B1099" t="s">
        <v>1024</v>
      </c>
      <c r="C1099" t="s">
        <v>336</v>
      </c>
      <c r="D1099" t="s">
        <v>165</v>
      </c>
      <c r="E1099" s="4">
        <f>IF(AND(Responses!$MG$1="",COUNTA(Responses!$MG$2:$MG$8000)&gt;0),"Column MG on Responses has answers but no header in row 1, so nobody (and Themefinder) knows what this column is.","")</f>
        <v>0</v>
      </c>
      <c r="F1099" s="4" t="s">
        <v>1025</v>
      </c>
    </row>
    <row r="1100" spans="1:6" ht="75" customHeight="1">
      <c r="A1100" t="s">
        <v>334</v>
      </c>
      <c r="B1100" t="s">
        <v>1026</v>
      </c>
      <c r="C1100" t="s">
        <v>336</v>
      </c>
      <c r="D1100" t="s">
        <v>165</v>
      </c>
      <c r="E1100" s="4">
        <f>IF(AND(Responses!$MH$1="",COUNTA(Responses!$MH$2:$MH$8000)&gt;0),"Column MH on Responses has answers but no header in row 1, so nobody (and Themefinder) knows what this column is.","")</f>
        <v>0</v>
      </c>
      <c r="F1100" s="4" t="s">
        <v>1027</v>
      </c>
    </row>
    <row r="1101" spans="1:6" ht="75" customHeight="1">
      <c r="A1101" t="s">
        <v>334</v>
      </c>
      <c r="B1101" t="s">
        <v>1028</v>
      </c>
      <c r="C1101" t="s">
        <v>336</v>
      </c>
      <c r="D1101" t="s">
        <v>165</v>
      </c>
      <c r="E1101" s="4">
        <f>IF(AND(Responses!$MI$1="",COUNTA(Responses!$MI$2:$MI$8000)&gt;0),"Column MI on Responses has answers but no header in row 1, so nobody (and Themefinder) knows what this column is.","")</f>
        <v>0</v>
      </c>
      <c r="F1101" s="4" t="s">
        <v>1029</v>
      </c>
    </row>
    <row r="1102" spans="1:6" ht="75" customHeight="1">
      <c r="A1102" t="s">
        <v>334</v>
      </c>
      <c r="B1102" t="s">
        <v>1030</v>
      </c>
      <c r="C1102" t="s">
        <v>336</v>
      </c>
      <c r="D1102" t="s">
        <v>165</v>
      </c>
      <c r="E1102" s="4">
        <f>IF(AND(Responses!$MJ$1="",COUNTA(Responses!$MJ$2:$MJ$8000)&gt;0),"Column MJ on Responses has answers but no header in row 1, so nobody (and Themefinder) knows what this column is.","")</f>
        <v>0</v>
      </c>
      <c r="F1102" s="4" t="s">
        <v>1031</v>
      </c>
    </row>
    <row r="1103" spans="1:6" ht="75" customHeight="1">
      <c r="A1103" t="s">
        <v>334</v>
      </c>
      <c r="B1103" t="s">
        <v>1032</v>
      </c>
      <c r="C1103" t="s">
        <v>336</v>
      </c>
      <c r="D1103" t="s">
        <v>165</v>
      </c>
      <c r="E1103" s="4">
        <f>IF(AND(Responses!$MK$1="",COUNTA(Responses!$MK$2:$MK$8000)&gt;0),"Column MK on Responses has answers but no header in row 1, so nobody (and Themefinder) knows what this column is.","")</f>
        <v>0</v>
      </c>
      <c r="F1103" s="4" t="s">
        <v>1033</v>
      </c>
    </row>
    <row r="1104" spans="1:6" ht="75" customHeight="1">
      <c r="A1104" t="s">
        <v>334</v>
      </c>
      <c r="B1104" t="s">
        <v>1034</v>
      </c>
      <c r="C1104" t="s">
        <v>336</v>
      </c>
      <c r="D1104" t="s">
        <v>165</v>
      </c>
      <c r="E1104" s="4">
        <f>IF(AND(Responses!$ML$1="",COUNTA(Responses!$ML$2:$ML$8000)&gt;0),"Column ML on Responses has answers but no header in row 1, so nobody (and Themefinder) knows what this column is.","")</f>
        <v>0</v>
      </c>
      <c r="F1104" s="4" t="s">
        <v>1035</v>
      </c>
    </row>
    <row r="1105" spans="1:6" ht="75" customHeight="1">
      <c r="A1105" t="s">
        <v>334</v>
      </c>
      <c r="B1105" t="s">
        <v>1036</v>
      </c>
      <c r="C1105" t="s">
        <v>336</v>
      </c>
      <c r="D1105" t="s">
        <v>165</v>
      </c>
      <c r="E1105" s="4">
        <f>IF(AND(Responses!$MM$1="",COUNTA(Responses!$MM$2:$MM$8000)&gt;0),"Column MM on Responses has answers but no header in row 1, so nobody (and Themefinder) knows what this column is.","")</f>
        <v>0</v>
      </c>
      <c r="F1105" s="4" t="s">
        <v>1037</v>
      </c>
    </row>
    <row r="1106" spans="1:6" ht="75" customHeight="1">
      <c r="A1106" t="s">
        <v>334</v>
      </c>
      <c r="B1106" t="s">
        <v>1038</v>
      </c>
      <c r="C1106" t="s">
        <v>336</v>
      </c>
      <c r="D1106" t="s">
        <v>165</v>
      </c>
      <c r="E1106" s="4">
        <f>IF(AND(Responses!$MN$1="",COUNTA(Responses!$MN$2:$MN$8000)&gt;0),"Column MN on Responses has answers but no header in row 1, so nobody (and Themefinder) knows what this column is.","")</f>
        <v>0</v>
      </c>
      <c r="F1106" s="4" t="s">
        <v>1039</v>
      </c>
    </row>
    <row r="1107" spans="1:6" ht="75" customHeight="1">
      <c r="A1107" t="s">
        <v>334</v>
      </c>
      <c r="B1107" t="s">
        <v>1040</v>
      </c>
      <c r="C1107" t="s">
        <v>336</v>
      </c>
      <c r="D1107" t="s">
        <v>165</v>
      </c>
      <c r="E1107" s="4">
        <f>IF(AND(Responses!$MO$1="",COUNTA(Responses!$MO$2:$MO$8000)&gt;0),"Column MO on Responses has answers but no header in row 1, so nobody (and Themefinder) knows what this column is.","")</f>
        <v>0</v>
      </c>
      <c r="F1107" s="4" t="s">
        <v>1041</v>
      </c>
    </row>
    <row r="1108" spans="1:6" ht="75" customHeight="1">
      <c r="A1108" t="s">
        <v>334</v>
      </c>
      <c r="B1108" t="s">
        <v>1042</v>
      </c>
      <c r="C1108" t="s">
        <v>336</v>
      </c>
      <c r="D1108" t="s">
        <v>165</v>
      </c>
      <c r="E1108" s="4">
        <f>IF(AND(Responses!$MP$1="",COUNTA(Responses!$MP$2:$MP$8000)&gt;0),"Column MP on Responses has answers but no header in row 1, so nobody (and Themefinder) knows what this column is.","")</f>
        <v>0</v>
      </c>
      <c r="F1108" s="4" t="s">
        <v>1043</v>
      </c>
    </row>
    <row r="1109" spans="1:6" ht="75" customHeight="1">
      <c r="A1109" t="s">
        <v>334</v>
      </c>
      <c r="B1109" t="s">
        <v>1044</v>
      </c>
      <c r="C1109" t="s">
        <v>336</v>
      </c>
      <c r="D1109" t="s">
        <v>165</v>
      </c>
      <c r="E1109" s="4">
        <f>IF(AND(Responses!$MQ$1="",COUNTA(Responses!$MQ$2:$MQ$8000)&gt;0),"Column MQ on Responses has answers but no header in row 1, so nobody (and Themefinder) knows what this column is.","")</f>
        <v>0</v>
      </c>
      <c r="F1109" s="4" t="s">
        <v>1045</v>
      </c>
    </row>
    <row r="1110" spans="1:6" ht="75" customHeight="1">
      <c r="A1110" t="s">
        <v>334</v>
      </c>
      <c r="B1110" t="s">
        <v>1046</v>
      </c>
      <c r="C1110" t="s">
        <v>336</v>
      </c>
      <c r="D1110" t="s">
        <v>165</v>
      </c>
      <c r="E1110" s="4">
        <f>IF(AND(Responses!$MR$1="",COUNTA(Responses!$MR$2:$MR$8000)&gt;0),"Column MR on Responses has answers but no header in row 1, so nobody (and Themefinder) knows what this column is.","")</f>
        <v>0</v>
      </c>
      <c r="F1110" s="4" t="s">
        <v>1047</v>
      </c>
    </row>
    <row r="1111" spans="1:6" ht="75" customHeight="1">
      <c r="A1111" t="s">
        <v>334</v>
      </c>
      <c r="B1111" t="s">
        <v>1048</v>
      </c>
      <c r="C1111" t="s">
        <v>336</v>
      </c>
      <c r="D1111" t="s">
        <v>165</v>
      </c>
      <c r="E1111" s="4">
        <f>IF(AND(Responses!$MS$1="",COUNTA(Responses!$MS$2:$MS$8000)&gt;0),"Column MS on Responses has answers but no header in row 1, so nobody (and Themefinder) knows what this column is.","")</f>
        <v>0</v>
      </c>
      <c r="F1111" s="4" t="s">
        <v>1049</v>
      </c>
    </row>
    <row r="1112" spans="1:6" ht="75" customHeight="1">
      <c r="A1112" t="s">
        <v>334</v>
      </c>
      <c r="B1112" t="s">
        <v>1050</v>
      </c>
      <c r="C1112" t="s">
        <v>336</v>
      </c>
      <c r="D1112" t="s">
        <v>165</v>
      </c>
      <c r="E1112" s="4">
        <f>IF(AND(Responses!$MT$1="",COUNTA(Responses!$MT$2:$MT$8000)&gt;0),"Column MT on Responses has answers but no header in row 1, so nobody (and Themefinder) knows what this column is.","")</f>
        <v>0</v>
      </c>
      <c r="F1112" s="4" t="s">
        <v>1051</v>
      </c>
    </row>
    <row r="1113" spans="1:6" ht="75" customHeight="1">
      <c r="A1113" t="s">
        <v>334</v>
      </c>
      <c r="B1113" t="s">
        <v>1052</v>
      </c>
      <c r="C1113" t="s">
        <v>336</v>
      </c>
      <c r="D1113" t="s">
        <v>165</v>
      </c>
      <c r="E1113" s="4">
        <f>IF(AND(Responses!$MU$1="",COUNTA(Responses!$MU$2:$MU$8000)&gt;0),"Column MU on Responses has answers but no header in row 1, so nobody (and Themefinder) knows what this column is.","")</f>
        <v>0</v>
      </c>
      <c r="F1113" s="4" t="s">
        <v>1053</v>
      </c>
    </row>
    <row r="1114" spans="1:6" ht="75" customHeight="1">
      <c r="A1114" t="s">
        <v>334</v>
      </c>
      <c r="B1114" t="s">
        <v>1054</v>
      </c>
      <c r="C1114" t="s">
        <v>336</v>
      </c>
      <c r="D1114" t="s">
        <v>165</v>
      </c>
      <c r="E1114" s="4">
        <f>IF(AND(Responses!$MV$1="",COUNTA(Responses!$MV$2:$MV$8000)&gt;0),"Column MV on Responses has answers but no header in row 1, so nobody (and Themefinder) knows what this column is.","")</f>
        <v>0</v>
      </c>
      <c r="F1114" s="4" t="s">
        <v>1055</v>
      </c>
    </row>
    <row r="1115" spans="1:6" ht="75" customHeight="1">
      <c r="A1115" t="s">
        <v>334</v>
      </c>
      <c r="B1115" t="s">
        <v>1056</v>
      </c>
      <c r="C1115" t="s">
        <v>336</v>
      </c>
      <c r="D1115" t="s">
        <v>165</v>
      </c>
      <c r="E1115" s="4">
        <f>IF(AND(Responses!$MW$1="",COUNTA(Responses!$MW$2:$MW$8000)&gt;0),"Column MW on Responses has answers but no header in row 1, so nobody (and Themefinder) knows what this column is.","")</f>
        <v>0</v>
      </c>
      <c r="F1115" s="4" t="s">
        <v>1057</v>
      </c>
    </row>
    <row r="1116" spans="1:6" ht="75" customHeight="1">
      <c r="A1116" t="s">
        <v>334</v>
      </c>
      <c r="B1116" t="s">
        <v>1058</v>
      </c>
      <c r="C1116" t="s">
        <v>336</v>
      </c>
      <c r="D1116" t="s">
        <v>165</v>
      </c>
      <c r="E1116" s="4">
        <f>IF(AND(Responses!$MX$1="",COUNTA(Responses!$MX$2:$MX$8000)&gt;0),"Column MX on Responses has answers but no header in row 1, so nobody (and Themefinder) knows what this column is.","")</f>
        <v>0</v>
      </c>
      <c r="F1116" s="4" t="s">
        <v>1059</v>
      </c>
    </row>
    <row r="1117" spans="1:6" ht="75" customHeight="1">
      <c r="A1117" t="s">
        <v>334</v>
      </c>
      <c r="B1117" t="s">
        <v>1060</v>
      </c>
      <c r="C1117" t="s">
        <v>336</v>
      </c>
      <c r="D1117" t="s">
        <v>165</v>
      </c>
      <c r="E1117" s="4">
        <f>IF(AND(Responses!$MY$1="",COUNTA(Responses!$MY$2:$MY$8000)&gt;0),"Column MY on Responses has answers but no header in row 1, so nobody (and Themefinder) knows what this column is.","")</f>
        <v>0</v>
      </c>
      <c r="F1117" s="4" t="s">
        <v>1061</v>
      </c>
    </row>
    <row r="1118" spans="1:6" ht="75" customHeight="1">
      <c r="A1118" t="s">
        <v>334</v>
      </c>
      <c r="B1118" t="s">
        <v>1062</v>
      </c>
      <c r="C1118" t="s">
        <v>336</v>
      </c>
      <c r="D1118" t="s">
        <v>165</v>
      </c>
      <c r="E1118" s="4">
        <f>IF(AND(Responses!$MZ$1="",COUNTA(Responses!$MZ$2:$MZ$8000)&gt;0),"Column MZ on Responses has answers but no header in row 1, so nobody (and Themefinder) knows what this column is.","")</f>
        <v>0</v>
      </c>
      <c r="F1118" s="4" t="s">
        <v>1063</v>
      </c>
    </row>
    <row r="1119" spans="1:6" ht="75" customHeight="1">
      <c r="A1119" t="s">
        <v>334</v>
      </c>
      <c r="B1119" t="s">
        <v>1064</v>
      </c>
      <c r="C1119" t="s">
        <v>336</v>
      </c>
      <c r="D1119" t="s">
        <v>165</v>
      </c>
      <c r="E1119" s="4">
        <f>IF(AND(Responses!$NA$1="",COUNTA(Responses!$NA$2:$NA$8000)&gt;0),"Column NA on Responses has answers but no header in row 1, so nobody (and Themefinder) knows what this column is.","")</f>
        <v>0</v>
      </c>
      <c r="F1119" s="4" t="s">
        <v>1065</v>
      </c>
    </row>
    <row r="1120" spans="1:6" ht="75" customHeight="1">
      <c r="A1120" t="s">
        <v>334</v>
      </c>
      <c r="B1120" t="s">
        <v>1066</v>
      </c>
      <c r="C1120" t="s">
        <v>336</v>
      </c>
      <c r="D1120" t="s">
        <v>165</v>
      </c>
      <c r="E1120" s="4">
        <f>IF(AND(Responses!$NB$1="",COUNTA(Responses!$NB$2:$NB$8000)&gt;0),"Column NB on Responses has answers but no header in row 1, so nobody (and Themefinder) knows what this column is.","")</f>
        <v>0</v>
      </c>
      <c r="F1120" s="4" t="s">
        <v>1067</v>
      </c>
    </row>
    <row r="1121" spans="1:6" ht="75" customHeight="1">
      <c r="A1121" t="s">
        <v>334</v>
      </c>
      <c r="B1121" t="s">
        <v>1068</v>
      </c>
      <c r="C1121" t="s">
        <v>336</v>
      </c>
      <c r="D1121" t="s">
        <v>165</v>
      </c>
      <c r="E1121" s="4">
        <f>IF(AND(Responses!$NC$1="",COUNTA(Responses!$NC$2:$NC$8000)&gt;0),"Column NC on Responses has answers but no header in row 1, so nobody (and Themefinder) knows what this column is.","")</f>
        <v>0</v>
      </c>
      <c r="F1121" s="4" t="s">
        <v>1069</v>
      </c>
    </row>
    <row r="1122" spans="1:6" ht="75" customHeight="1">
      <c r="A1122" t="s">
        <v>334</v>
      </c>
      <c r="B1122" t="s">
        <v>1070</v>
      </c>
      <c r="C1122" t="s">
        <v>336</v>
      </c>
      <c r="D1122" t="s">
        <v>165</v>
      </c>
      <c r="E1122" s="4">
        <f>IF(AND(Responses!$ND$1="",COUNTA(Responses!$ND$2:$ND$8000)&gt;0),"Column ND on Responses has answers but no header in row 1, so nobody (and Themefinder) knows what this column is.","")</f>
        <v>0</v>
      </c>
      <c r="F1122" s="4" t="s">
        <v>1071</v>
      </c>
    </row>
    <row r="1123" spans="1:6" ht="75" customHeight="1">
      <c r="A1123" t="s">
        <v>334</v>
      </c>
      <c r="B1123" t="s">
        <v>1072</v>
      </c>
      <c r="C1123" t="s">
        <v>336</v>
      </c>
      <c r="D1123" t="s">
        <v>165</v>
      </c>
      <c r="E1123" s="4">
        <f>IF(AND(Responses!$NE$1="",COUNTA(Responses!$NE$2:$NE$8000)&gt;0),"Column NE on Responses has answers but no header in row 1, so nobody (and Themefinder) knows what this column is.","")</f>
        <v>0</v>
      </c>
      <c r="F1123" s="4" t="s">
        <v>1073</v>
      </c>
    </row>
    <row r="1124" spans="1:6" ht="75" customHeight="1">
      <c r="A1124" t="s">
        <v>334</v>
      </c>
      <c r="B1124" t="s">
        <v>1074</v>
      </c>
      <c r="C1124" t="s">
        <v>336</v>
      </c>
      <c r="D1124" t="s">
        <v>165</v>
      </c>
      <c r="E1124" s="4">
        <f>IF(AND(Responses!$NF$1="",COUNTA(Responses!$NF$2:$NF$8000)&gt;0),"Column NF on Responses has answers but no header in row 1, so nobody (and Themefinder) knows what this column is.","")</f>
        <v>0</v>
      </c>
      <c r="F1124" s="4" t="s">
        <v>1075</v>
      </c>
    </row>
    <row r="1125" spans="1:6" ht="75" customHeight="1">
      <c r="A1125" t="s">
        <v>334</v>
      </c>
      <c r="B1125" t="s">
        <v>1076</v>
      </c>
      <c r="C1125" t="s">
        <v>336</v>
      </c>
      <c r="D1125" t="s">
        <v>165</v>
      </c>
      <c r="E1125" s="4">
        <f>IF(AND(Responses!$NG$1="",COUNTA(Responses!$NG$2:$NG$8000)&gt;0),"Column NG on Responses has answers but no header in row 1, so nobody (and Themefinder) knows what this column is.","")</f>
        <v>0</v>
      </c>
      <c r="F1125" s="4" t="s">
        <v>1077</v>
      </c>
    </row>
    <row r="1126" spans="1:6" ht="75" customHeight="1">
      <c r="A1126" t="s">
        <v>334</v>
      </c>
      <c r="B1126" t="s">
        <v>1078</v>
      </c>
      <c r="C1126" t="s">
        <v>336</v>
      </c>
      <c r="D1126" t="s">
        <v>165</v>
      </c>
      <c r="E1126" s="4">
        <f>IF(AND(Responses!$NH$1="",COUNTA(Responses!$NH$2:$NH$8000)&gt;0),"Column NH on Responses has answers but no header in row 1, so nobody (and Themefinder) knows what this column is.","")</f>
        <v>0</v>
      </c>
      <c r="F1126" s="4" t="s">
        <v>1079</v>
      </c>
    </row>
    <row r="1127" spans="1:6" ht="75" customHeight="1">
      <c r="A1127" t="s">
        <v>334</v>
      </c>
      <c r="B1127" t="s">
        <v>1080</v>
      </c>
      <c r="C1127" t="s">
        <v>336</v>
      </c>
      <c r="D1127" t="s">
        <v>165</v>
      </c>
      <c r="E1127" s="4">
        <f>IF(AND(Responses!$NI$1="",COUNTA(Responses!$NI$2:$NI$8000)&gt;0),"Column NI on Responses has answers but no header in row 1, so nobody (and Themefinder) knows what this column is.","")</f>
        <v>0</v>
      </c>
      <c r="F1127" s="4" t="s">
        <v>1081</v>
      </c>
    </row>
    <row r="1128" spans="1:6" ht="75" customHeight="1">
      <c r="A1128" t="s">
        <v>334</v>
      </c>
      <c r="B1128" t="s">
        <v>1082</v>
      </c>
      <c r="C1128" t="s">
        <v>336</v>
      </c>
      <c r="D1128" t="s">
        <v>165</v>
      </c>
      <c r="E1128" s="4">
        <f>IF(AND(Responses!$NJ$1="",COUNTA(Responses!$NJ$2:$NJ$8000)&gt;0),"Column NJ on Responses has answers but no header in row 1, so nobody (and Themefinder) knows what this column is.","")</f>
        <v>0</v>
      </c>
      <c r="F1128" s="4" t="s">
        <v>1083</v>
      </c>
    </row>
    <row r="1129" spans="1:6" ht="75" customHeight="1">
      <c r="A1129" t="s">
        <v>334</v>
      </c>
      <c r="B1129" t="s">
        <v>1084</v>
      </c>
      <c r="C1129" t="s">
        <v>336</v>
      </c>
      <c r="D1129" t="s">
        <v>165</v>
      </c>
      <c r="E1129" s="4">
        <f>IF(AND(Responses!$NK$1="",COUNTA(Responses!$NK$2:$NK$8000)&gt;0),"Column NK on Responses has answers but no header in row 1, so nobody (and Themefinder) knows what this column is.","")</f>
        <v>0</v>
      </c>
      <c r="F1129" s="4" t="s">
        <v>1085</v>
      </c>
    </row>
    <row r="1130" spans="1:6" ht="75" customHeight="1">
      <c r="A1130" t="s">
        <v>334</v>
      </c>
      <c r="B1130" t="s">
        <v>1086</v>
      </c>
      <c r="C1130" t="s">
        <v>336</v>
      </c>
      <c r="D1130" t="s">
        <v>165</v>
      </c>
      <c r="E1130" s="4">
        <f>IF(AND(Responses!$NL$1="",COUNTA(Responses!$NL$2:$NL$8000)&gt;0),"Column NL on Responses has answers but no header in row 1, so nobody (and Themefinder) knows what this column is.","")</f>
        <v>0</v>
      </c>
      <c r="F1130" s="4" t="s">
        <v>1087</v>
      </c>
    </row>
    <row r="1131" spans="1:6" ht="75" customHeight="1">
      <c r="A1131" t="s">
        <v>334</v>
      </c>
      <c r="B1131" t="s">
        <v>1088</v>
      </c>
      <c r="C1131" t="s">
        <v>336</v>
      </c>
      <c r="D1131" t="s">
        <v>165</v>
      </c>
      <c r="E1131" s="4">
        <f>IF(AND(Responses!$NM$1="",COUNTA(Responses!$NM$2:$NM$8000)&gt;0),"Column NM on Responses has answers but no header in row 1, so nobody (and Themefinder) knows what this column is.","")</f>
        <v>0</v>
      </c>
      <c r="F1131" s="4" t="s">
        <v>1089</v>
      </c>
    </row>
    <row r="1132" spans="1:6" ht="75" customHeight="1">
      <c r="A1132" t="s">
        <v>334</v>
      </c>
      <c r="B1132" t="s">
        <v>1090</v>
      </c>
      <c r="C1132" t="s">
        <v>336</v>
      </c>
      <c r="D1132" t="s">
        <v>165</v>
      </c>
      <c r="E1132" s="4">
        <f>IF(AND(Responses!$NN$1="",COUNTA(Responses!$NN$2:$NN$8000)&gt;0),"Column NN on Responses has answers but no header in row 1, so nobody (and Themefinder) knows what this column is.","")</f>
        <v>0</v>
      </c>
      <c r="F1132" s="4" t="s">
        <v>1091</v>
      </c>
    </row>
    <row r="1133" spans="1:6" ht="75" customHeight="1">
      <c r="A1133" t="s">
        <v>334</v>
      </c>
      <c r="B1133" t="s">
        <v>1092</v>
      </c>
      <c r="C1133" t="s">
        <v>336</v>
      </c>
      <c r="D1133" t="s">
        <v>165</v>
      </c>
      <c r="E1133" s="4">
        <f>IF(AND(Responses!$NO$1="",COUNTA(Responses!$NO$2:$NO$8000)&gt;0),"Column NO on Responses has answers but no header in row 1, so nobody (and Themefinder) knows what this column is.","")</f>
        <v>0</v>
      </c>
      <c r="F1133" s="4" t="s">
        <v>1093</v>
      </c>
    </row>
    <row r="1134" spans="1:6" ht="75" customHeight="1">
      <c r="A1134" t="s">
        <v>334</v>
      </c>
      <c r="B1134" t="s">
        <v>1094</v>
      </c>
      <c r="C1134" t="s">
        <v>336</v>
      </c>
      <c r="D1134" t="s">
        <v>165</v>
      </c>
      <c r="E1134" s="4">
        <f>IF(AND(Responses!$NP$1="",COUNTA(Responses!$NP$2:$NP$8000)&gt;0),"Column NP on Responses has answers but no header in row 1, so nobody (and Themefinder) knows what this column is.","")</f>
        <v>0</v>
      </c>
      <c r="F1134" s="4" t="s">
        <v>1095</v>
      </c>
    </row>
    <row r="1135" spans="1:6" ht="75" customHeight="1">
      <c r="A1135" t="s">
        <v>334</v>
      </c>
      <c r="B1135" t="s">
        <v>1096</v>
      </c>
      <c r="C1135" t="s">
        <v>336</v>
      </c>
      <c r="D1135" t="s">
        <v>165</v>
      </c>
      <c r="E1135" s="4">
        <f>IF(AND(Responses!$NQ$1="",COUNTA(Responses!$NQ$2:$NQ$8000)&gt;0),"Column NQ on Responses has answers but no header in row 1, so nobody (and Themefinder) knows what this column is.","")</f>
        <v>0</v>
      </c>
      <c r="F1135" s="4" t="s">
        <v>1097</v>
      </c>
    </row>
    <row r="1136" spans="1:6" ht="75" customHeight="1">
      <c r="A1136" t="s">
        <v>334</v>
      </c>
      <c r="B1136" t="s">
        <v>1098</v>
      </c>
      <c r="C1136" t="s">
        <v>336</v>
      </c>
      <c r="D1136" t="s">
        <v>165</v>
      </c>
      <c r="E1136" s="4">
        <f>IF(AND(Responses!$NR$1="",COUNTA(Responses!$NR$2:$NR$8000)&gt;0),"Column NR on Responses has answers but no header in row 1, so nobody (and Themefinder) knows what this column is.","")</f>
        <v>0</v>
      </c>
      <c r="F1136" s="4" t="s">
        <v>1099</v>
      </c>
    </row>
    <row r="1137" spans="1:6" ht="75" customHeight="1">
      <c r="A1137" t="s">
        <v>334</v>
      </c>
      <c r="B1137" t="s">
        <v>1100</v>
      </c>
      <c r="C1137" t="s">
        <v>336</v>
      </c>
      <c r="D1137" t="s">
        <v>165</v>
      </c>
      <c r="E1137" s="4">
        <f>IF(AND(Responses!$NS$1="",COUNTA(Responses!$NS$2:$NS$8000)&gt;0),"Column NS on Responses has answers but no header in row 1, so nobody (and Themefinder) knows what this column is.","")</f>
        <v>0</v>
      </c>
      <c r="F1137" s="4" t="s">
        <v>1101</v>
      </c>
    </row>
    <row r="1138" spans="1:6" ht="75" customHeight="1">
      <c r="A1138" t="s">
        <v>334</v>
      </c>
      <c r="B1138" t="s">
        <v>1102</v>
      </c>
      <c r="C1138" t="s">
        <v>336</v>
      </c>
      <c r="D1138" t="s">
        <v>165</v>
      </c>
      <c r="E1138" s="4">
        <f>IF(AND(Responses!$NT$1="",COUNTA(Responses!$NT$2:$NT$8000)&gt;0),"Column NT on Responses has answers but no header in row 1, so nobody (and Themefinder) knows what this column is.","")</f>
        <v>0</v>
      </c>
      <c r="F1138" s="4" t="s">
        <v>1103</v>
      </c>
    </row>
    <row r="1139" spans="1:6" ht="75" customHeight="1">
      <c r="A1139" t="s">
        <v>334</v>
      </c>
      <c r="B1139" t="s">
        <v>1104</v>
      </c>
      <c r="C1139" t="s">
        <v>336</v>
      </c>
      <c r="D1139" t="s">
        <v>165</v>
      </c>
      <c r="E1139" s="4">
        <f>IF(AND(Responses!$NU$1="",COUNTA(Responses!$NU$2:$NU$8000)&gt;0),"Column NU on Responses has answers but no header in row 1, so nobody (and Themefinder) knows what this column is.","")</f>
        <v>0</v>
      </c>
      <c r="F1139" s="4" t="s">
        <v>1105</v>
      </c>
    </row>
    <row r="1140" spans="1:6" ht="75" customHeight="1">
      <c r="A1140" t="s">
        <v>334</v>
      </c>
      <c r="B1140" t="s">
        <v>1106</v>
      </c>
      <c r="C1140" t="s">
        <v>336</v>
      </c>
      <c r="D1140" t="s">
        <v>165</v>
      </c>
      <c r="E1140" s="4">
        <f>IF(AND(Responses!$NV$1="",COUNTA(Responses!$NV$2:$NV$8000)&gt;0),"Column NV on Responses has answers but no header in row 1, so nobody (and Themefinder) knows what this column is.","")</f>
        <v>0</v>
      </c>
      <c r="F1140" s="4" t="s">
        <v>1107</v>
      </c>
    </row>
    <row r="1141" spans="1:6" ht="75" customHeight="1">
      <c r="A1141" t="s">
        <v>334</v>
      </c>
      <c r="B1141" t="s">
        <v>1108</v>
      </c>
      <c r="C1141" t="s">
        <v>336</v>
      </c>
      <c r="D1141" t="s">
        <v>165</v>
      </c>
      <c r="E1141" s="4">
        <f>IF(AND(Responses!$NW$1="",COUNTA(Responses!$NW$2:$NW$8000)&gt;0),"Column NW on Responses has answers but no header in row 1, so nobody (and Themefinder) knows what this column is.","")</f>
        <v>0</v>
      </c>
      <c r="F1141" s="4" t="s">
        <v>1109</v>
      </c>
    </row>
    <row r="1142" spans="1:6" ht="75" customHeight="1">
      <c r="A1142" t="s">
        <v>334</v>
      </c>
      <c r="B1142" t="s">
        <v>1110</v>
      </c>
      <c r="C1142" t="s">
        <v>336</v>
      </c>
      <c r="D1142" t="s">
        <v>165</v>
      </c>
      <c r="E1142" s="4">
        <f>IF(AND(Responses!$NX$1="",COUNTA(Responses!$NX$2:$NX$8000)&gt;0),"Column NX on Responses has answers but no header in row 1, so nobody (and Themefinder) knows what this column is.","")</f>
        <v>0</v>
      </c>
      <c r="F1142" s="4" t="s">
        <v>1111</v>
      </c>
    </row>
    <row r="1143" spans="1:6" ht="75" customHeight="1">
      <c r="A1143" t="s">
        <v>334</v>
      </c>
      <c r="B1143" t="s">
        <v>1112</v>
      </c>
      <c r="C1143" t="s">
        <v>336</v>
      </c>
      <c r="D1143" t="s">
        <v>165</v>
      </c>
      <c r="E1143" s="4">
        <f>IF(AND(Responses!$NY$1="",COUNTA(Responses!$NY$2:$NY$8000)&gt;0),"Column NY on Responses has answers but no header in row 1, so nobody (and Themefinder) knows what this column is.","")</f>
        <v>0</v>
      </c>
      <c r="F1143" s="4" t="s">
        <v>1113</v>
      </c>
    </row>
    <row r="1144" spans="1:6" ht="75" customHeight="1">
      <c r="A1144" t="s">
        <v>334</v>
      </c>
      <c r="B1144" t="s">
        <v>1114</v>
      </c>
      <c r="C1144" t="s">
        <v>336</v>
      </c>
      <c r="D1144" t="s">
        <v>165</v>
      </c>
      <c r="E1144" s="4">
        <f>IF(AND(Responses!$NZ$1="",COUNTA(Responses!$NZ$2:$NZ$8000)&gt;0),"Column NZ on Responses has answers but no header in row 1, so nobody (and Themefinder) knows what this column is.","")</f>
        <v>0</v>
      </c>
      <c r="F1144" s="4" t="s">
        <v>1115</v>
      </c>
    </row>
    <row r="1145" spans="1:6" ht="75" customHeight="1">
      <c r="A1145" t="s">
        <v>334</v>
      </c>
      <c r="B1145" t="s">
        <v>1116</v>
      </c>
      <c r="C1145" t="s">
        <v>336</v>
      </c>
      <c r="D1145" t="s">
        <v>165</v>
      </c>
      <c r="E1145" s="4">
        <f>IF(AND(Responses!$OA$1="",COUNTA(Responses!$OA$2:$OA$8000)&gt;0),"Column OA on Responses has answers but no header in row 1, so nobody (and Themefinder) knows what this column is.","")</f>
        <v>0</v>
      </c>
      <c r="F1145" s="4" t="s">
        <v>1117</v>
      </c>
    </row>
    <row r="1146" spans="1:6" ht="75" customHeight="1">
      <c r="A1146" t="s">
        <v>334</v>
      </c>
      <c r="B1146" t="s">
        <v>1118</v>
      </c>
      <c r="C1146" t="s">
        <v>336</v>
      </c>
      <c r="D1146" t="s">
        <v>165</v>
      </c>
      <c r="E1146" s="4">
        <f>IF(AND(Responses!$OB$1="",COUNTA(Responses!$OB$2:$OB$8000)&gt;0),"Column OB on Responses has answers but no header in row 1, so nobody (and Themefinder) knows what this column is.","")</f>
        <v>0</v>
      </c>
      <c r="F1146" s="4" t="s">
        <v>1119</v>
      </c>
    </row>
    <row r="1147" spans="1:6" ht="75" customHeight="1">
      <c r="A1147" t="s">
        <v>334</v>
      </c>
      <c r="B1147" t="s">
        <v>1120</v>
      </c>
      <c r="C1147" t="s">
        <v>336</v>
      </c>
      <c r="D1147" t="s">
        <v>165</v>
      </c>
      <c r="E1147" s="4">
        <f>IF(AND(Responses!$OC$1="",COUNTA(Responses!$OC$2:$OC$8000)&gt;0),"Column OC on Responses has answers but no header in row 1, so nobody (and Themefinder) knows what this column is.","")</f>
        <v>0</v>
      </c>
      <c r="F1147" s="4" t="s">
        <v>1121</v>
      </c>
    </row>
    <row r="1148" spans="1:6" ht="75" customHeight="1">
      <c r="A1148" t="s">
        <v>334</v>
      </c>
      <c r="B1148" t="s">
        <v>1122</v>
      </c>
      <c r="C1148" t="s">
        <v>336</v>
      </c>
      <c r="D1148" t="s">
        <v>165</v>
      </c>
      <c r="E1148" s="4">
        <f>IF(AND(Responses!$OD$1="",COUNTA(Responses!$OD$2:$OD$8000)&gt;0),"Column OD on Responses has answers but no header in row 1, so nobody (and Themefinder) knows what this column is.","")</f>
        <v>0</v>
      </c>
      <c r="F1148" s="4" t="s">
        <v>1123</v>
      </c>
    </row>
    <row r="1149" spans="1:6" ht="75" customHeight="1">
      <c r="A1149" t="s">
        <v>334</v>
      </c>
      <c r="B1149" t="s">
        <v>1124</v>
      </c>
      <c r="C1149" t="s">
        <v>336</v>
      </c>
      <c r="D1149" t="s">
        <v>165</v>
      </c>
      <c r="E1149" s="4">
        <f>IF(AND(Responses!$OE$1="",COUNTA(Responses!$OE$2:$OE$8000)&gt;0),"Column OE on Responses has answers but no header in row 1, so nobody (and Themefinder) knows what this column is.","")</f>
        <v>0</v>
      </c>
      <c r="F1149" s="4" t="s">
        <v>1125</v>
      </c>
    </row>
    <row r="1150" spans="1:6" ht="75" customHeight="1">
      <c r="A1150" t="s">
        <v>334</v>
      </c>
      <c r="B1150" t="s">
        <v>1126</v>
      </c>
      <c r="C1150" t="s">
        <v>336</v>
      </c>
      <c r="D1150" t="s">
        <v>165</v>
      </c>
      <c r="E1150" s="4">
        <f>IF(AND(Responses!$OF$1="",COUNTA(Responses!$OF$2:$OF$8000)&gt;0),"Column OF on Responses has answers but no header in row 1, so nobody (and Themefinder) knows what this column is.","")</f>
        <v>0</v>
      </c>
      <c r="F1150" s="4" t="s">
        <v>1127</v>
      </c>
    </row>
    <row r="1151" spans="1:6" ht="75" customHeight="1">
      <c r="A1151" t="s">
        <v>334</v>
      </c>
      <c r="B1151" t="s">
        <v>1128</v>
      </c>
      <c r="C1151" t="s">
        <v>336</v>
      </c>
      <c r="D1151" t="s">
        <v>165</v>
      </c>
      <c r="E1151" s="4">
        <f>IF(AND(Responses!$OG$1="",COUNTA(Responses!$OG$2:$OG$8000)&gt;0),"Column OG on Responses has answers but no header in row 1, so nobody (and Themefinder) knows what this column is.","")</f>
        <v>0</v>
      </c>
      <c r="F1151" s="4" t="s">
        <v>1129</v>
      </c>
    </row>
    <row r="1152" spans="1:6" ht="75" customHeight="1">
      <c r="A1152" t="s">
        <v>334</v>
      </c>
      <c r="B1152" t="s">
        <v>1130</v>
      </c>
      <c r="C1152" t="s">
        <v>336</v>
      </c>
      <c r="D1152" t="s">
        <v>165</v>
      </c>
      <c r="E1152" s="4">
        <f>IF(AND(Responses!$OH$1="",COUNTA(Responses!$OH$2:$OH$8000)&gt;0),"Column OH on Responses has answers but no header in row 1, so nobody (and Themefinder) knows what this column is.","")</f>
        <v>0</v>
      </c>
      <c r="F1152" s="4" t="s">
        <v>1131</v>
      </c>
    </row>
    <row r="1153" spans="1:6" ht="75" customHeight="1">
      <c r="A1153" t="s">
        <v>334</v>
      </c>
      <c r="B1153" t="s">
        <v>1132</v>
      </c>
      <c r="C1153" t="s">
        <v>336</v>
      </c>
      <c r="D1153" t="s">
        <v>165</v>
      </c>
      <c r="E1153" s="4">
        <f>IF(AND(Responses!$OI$1="",COUNTA(Responses!$OI$2:$OI$8000)&gt;0),"Column OI on Responses has answers but no header in row 1, so nobody (and Themefinder) knows what this column is.","")</f>
        <v>0</v>
      </c>
      <c r="F1153" s="4" t="s">
        <v>1133</v>
      </c>
    </row>
    <row r="1154" spans="1:6" ht="75" customHeight="1">
      <c r="A1154" t="s">
        <v>334</v>
      </c>
      <c r="B1154" t="s">
        <v>1134</v>
      </c>
      <c r="C1154" t="s">
        <v>336</v>
      </c>
      <c r="D1154" t="s">
        <v>165</v>
      </c>
      <c r="E1154" s="4">
        <f>IF(AND(Responses!$OJ$1="",COUNTA(Responses!$OJ$2:$OJ$8000)&gt;0),"Column OJ on Responses has answers but no header in row 1, so nobody (and Themefinder) knows what this column is.","")</f>
        <v>0</v>
      </c>
      <c r="F1154" s="4" t="s">
        <v>1135</v>
      </c>
    </row>
    <row r="1155" spans="1:6" ht="75" customHeight="1">
      <c r="A1155" t="s">
        <v>334</v>
      </c>
      <c r="B1155" t="s">
        <v>1136</v>
      </c>
      <c r="C1155" t="s">
        <v>336</v>
      </c>
      <c r="D1155" t="s">
        <v>165</v>
      </c>
      <c r="E1155" s="4">
        <f>IF(AND(Responses!$OK$1="",COUNTA(Responses!$OK$2:$OK$8000)&gt;0),"Column OK on Responses has answers but no header in row 1, so nobody (and Themefinder) knows what this column is.","")</f>
        <v>0</v>
      </c>
      <c r="F1155" s="4" t="s">
        <v>1137</v>
      </c>
    </row>
    <row r="1156" spans="1:6" ht="75" customHeight="1">
      <c r="A1156" t="s">
        <v>334</v>
      </c>
      <c r="B1156" t="s">
        <v>1138</v>
      </c>
      <c r="C1156" t="s">
        <v>336</v>
      </c>
      <c r="D1156" t="s">
        <v>165</v>
      </c>
      <c r="E1156" s="4">
        <f>IF(AND(Responses!$OL$1="",COUNTA(Responses!$OL$2:$OL$8000)&gt;0),"Column OL on Responses has answers but no header in row 1, so nobody (and Themefinder) knows what this column is.","")</f>
        <v>0</v>
      </c>
      <c r="F1156" s="4" t="s">
        <v>1139</v>
      </c>
    </row>
    <row r="1157" spans="1:6" ht="75" customHeight="1">
      <c r="A1157" t="s">
        <v>334</v>
      </c>
      <c r="B1157" t="s">
        <v>1140</v>
      </c>
      <c r="C1157" t="s">
        <v>336</v>
      </c>
      <c r="D1157" t="s">
        <v>165</v>
      </c>
      <c r="E1157" s="4">
        <f>IF(AND(Responses!$OM$1="",COUNTA(Responses!$OM$2:$OM$8000)&gt;0),"Column OM on Responses has answers but no header in row 1, so nobody (and Themefinder) knows what this column is.","")</f>
        <v>0</v>
      </c>
      <c r="F1157" s="4" t="s">
        <v>1141</v>
      </c>
    </row>
    <row r="1158" spans="1:6" ht="75" customHeight="1">
      <c r="A1158" t="s">
        <v>334</v>
      </c>
      <c r="B1158" t="s">
        <v>1142</v>
      </c>
      <c r="C1158" t="s">
        <v>336</v>
      </c>
      <c r="D1158" t="s">
        <v>165</v>
      </c>
      <c r="E1158" s="4">
        <f>IF(AND(Responses!$ON$1="",COUNTA(Responses!$ON$2:$ON$8000)&gt;0),"Column ON on Responses has answers but no header in row 1, so nobody (and Themefinder) knows what this column is.","")</f>
        <v>0</v>
      </c>
      <c r="F1158" s="4" t="s">
        <v>1143</v>
      </c>
    </row>
    <row r="1159" spans="1:6" ht="75" customHeight="1">
      <c r="A1159" t="s">
        <v>334</v>
      </c>
      <c r="B1159" t="s">
        <v>1144</v>
      </c>
      <c r="C1159" t="s">
        <v>336</v>
      </c>
      <c r="D1159" t="s">
        <v>165</v>
      </c>
      <c r="E1159" s="4">
        <f>IF(AND(Responses!$OO$1="",COUNTA(Responses!$OO$2:$OO$8000)&gt;0),"Column OO on Responses has answers but no header in row 1, so nobody (and Themefinder) knows what this column is.","")</f>
        <v>0</v>
      </c>
      <c r="F1159" s="4" t="s">
        <v>1145</v>
      </c>
    </row>
    <row r="1160" spans="1:6" ht="75" customHeight="1">
      <c r="A1160" t="s">
        <v>334</v>
      </c>
      <c r="B1160" t="s">
        <v>1146</v>
      </c>
      <c r="C1160" t="s">
        <v>336</v>
      </c>
      <c r="D1160" t="s">
        <v>165</v>
      </c>
      <c r="E1160" s="4">
        <f>IF(AND(Responses!$OP$1="",COUNTA(Responses!$OP$2:$OP$8000)&gt;0),"Column OP on Responses has answers but no header in row 1, so nobody (and Themefinder) knows what this column is.","")</f>
        <v>0</v>
      </c>
      <c r="F1160" s="4" t="s">
        <v>1147</v>
      </c>
    </row>
    <row r="1161" spans="1:6" ht="75" customHeight="1">
      <c r="A1161" t="s">
        <v>334</v>
      </c>
      <c r="B1161" t="s">
        <v>1148</v>
      </c>
      <c r="C1161" t="s">
        <v>336</v>
      </c>
      <c r="D1161" t="s">
        <v>165</v>
      </c>
      <c r="E1161" s="4">
        <f>IF(AND(Responses!$OQ$1="",COUNTA(Responses!$OQ$2:$OQ$8000)&gt;0),"Column OQ on Responses has answers but no header in row 1, so nobody (and Themefinder) knows what this column is.","")</f>
        <v>0</v>
      </c>
      <c r="F1161" s="4" t="s">
        <v>1149</v>
      </c>
    </row>
    <row r="1162" spans="1:6" ht="75" customHeight="1">
      <c r="A1162" t="s">
        <v>334</v>
      </c>
      <c r="B1162" t="s">
        <v>1150</v>
      </c>
      <c r="C1162" t="s">
        <v>336</v>
      </c>
      <c r="D1162" t="s">
        <v>165</v>
      </c>
      <c r="E1162" s="4">
        <f>IF(AND(Responses!$OR$1="",COUNTA(Responses!$OR$2:$OR$8000)&gt;0),"Column OR on Responses has answers but no header in row 1, so nobody (and Themefinder) knows what this column is.","")</f>
        <v>0</v>
      </c>
      <c r="F1162" s="4" t="s">
        <v>1151</v>
      </c>
    </row>
    <row r="1163" spans="1:6" ht="75" customHeight="1">
      <c r="A1163" t="s">
        <v>334</v>
      </c>
      <c r="B1163" t="s">
        <v>1152</v>
      </c>
      <c r="C1163" t="s">
        <v>336</v>
      </c>
      <c r="D1163" t="s">
        <v>165</v>
      </c>
      <c r="E1163" s="4">
        <f>IF(AND(Responses!$OS$1="",COUNTA(Responses!$OS$2:$OS$8000)&gt;0),"Column OS on Responses has answers but no header in row 1, so nobody (and Themefinder) knows what this column is.","")</f>
        <v>0</v>
      </c>
      <c r="F1163" s="4" t="s">
        <v>1153</v>
      </c>
    </row>
    <row r="1164" spans="1:6" ht="75" customHeight="1">
      <c r="A1164" t="s">
        <v>334</v>
      </c>
      <c r="B1164" t="s">
        <v>1154</v>
      </c>
      <c r="C1164" t="s">
        <v>336</v>
      </c>
      <c r="D1164" t="s">
        <v>165</v>
      </c>
      <c r="E1164" s="4">
        <f>IF(AND(Responses!$OT$1="",COUNTA(Responses!$OT$2:$OT$8000)&gt;0),"Column OT on Responses has answers but no header in row 1, so nobody (and Themefinder) knows what this column is.","")</f>
        <v>0</v>
      </c>
      <c r="F1164" s="4" t="s">
        <v>1155</v>
      </c>
    </row>
    <row r="1165" spans="1:6" ht="75" customHeight="1">
      <c r="A1165" t="s">
        <v>334</v>
      </c>
      <c r="B1165" t="s">
        <v>1156</v>
      </c>
      <c r="C1165" t="s">
        <v>336</v>
      </c>
      <c r="D1165" t="s">
        <v>165</v>
      </c>
      <c r="E1165" s="4">
        <f>IF(AND(Responses!$OU$1="",COUNTA(Responses!$OU$2:$OU$8000)&gt;0),"Column OU on Responses has answers but no header in row 1, so nobody (and Themefinder) knows what this column is.","")</f>
        <v>0</v>
      </c>
      <c r="F1165" s="4" t="s">
        <v>1157</v>
      </c>
    </row>
    <row r="1166" spans="1:6" ht="75" customHeight="1">
      <c r="A1166" t="s">
        <v>334</v>
      </c>
      <c r="B1166" t="s">
        <v>1158</v>
      </c>
      <c r="C1166" t="s">
        <v>336</v>
      </c>
      <c r="D1166" t="s">
        <v>165</v>
      </c>
      <c r="E1166" s="4">
        <f>IF(AND(Responses!$OV$1="",COUNTA(Responses!$OV$2:$OV$8000)&gt;0),"Column OV on Responses has answers but no header in row 1, so nobody (and Themefinder) knows what this column is.","")</f>
        <v>0</v>
      </c>
      <c r="F1166" s="4" t="s">
        <v>1159</v>
      </c>
    </row>
    <row r="1167" spans="1:6" ht="75" customHeight="1">
      <c r="A1167" t="s">
        <v>334</v>
      </c>
      <c r="B1167" t="s">
        <v>1160</v>
      </c>
      <c r="C1167" t="s">
        <v>336</v>
      </c>
      <c r="D1167" t="s">
        <v>165</v>
      </c>
      <c r="E1167" s="4">
        <f>IF(AND(Responses!$OW$1="",COUNTA(Responses!$OW$2:$OW$8000)&gt;0),"Column OW on Responses has answers but no header in row 1, so nobody (and Themefinder) knows what this column is.","")</f>
        <v>0</v>
      </c>
      <c r="F1167" s="4" t="s">
        <v>1161</v>
      </c>
    </row>
    <row r="1168" spans="1:6" ht="75" customHeight="1">
      <c r="A1168" t="s">
        <v>334</v>
      </c>
      <c r="B1168" t="s">
        <v>1162</v>
      </c>
      <c r="C1168" t="s">
        <v>336</v>
      </c>
      <c r="D1168" t="s">
        <v>165</v>
      </c>
      <c r="E1168" s="4">
        <f>IF(AND(Responses!$OX$1="",COUNTA(Responses!$OX$2:$OX$8000)&gt;0),"Column OX on Responses has answers but no header in row 1, so nobody (and Themefinder) knows what this column is.","")</f>
        <v>0</v>
      </c>
      <c r="F1168" s="4" t="s">
        <v>1163</v>
      </c>
    </row>
    <row r="1169" spans="1:6" ht="75" customHeight="1">
      <c r="A1169" t="s">
        <v>334</v>
      </c>
      <c r="B1169" t="s">
        <v>1164</v>
      </c>
      <c r="C1169" t="s">
        <v>336</v>
      </c>
      <c r="D1169" t="s">
        <v>165</v>
      </c>
      <c r="E1169" s="4">
        <f>IF(AND(Responses!$OY$1="",COUNTA(Responses!$OY$2:$OY$8000)&gt;0),"Column OY on Responses has answers but no header in row 1, so nobody (and Themefinder) knows what this column is.","")</f>
        <v>0</v>
      </c>
      <c r="F1169" s="4" t="s">
        <v>1165</v>
      </c>
    </row>
    <row r="1170" spans="1:6" ht="75" customHeight="1">
      <c r="A1170" t="s">
        <v>334</v>
      </c>
      <c r="B1170" t="s">
        <v>1166</v>
      </c>
      <c r="C1170" t="s">
        <v>336</v>
      </c>
      <c r="D1170" t="s">
        <v>165</v>
      </c>
      <c r="E1170" s="4">
        <f>IF(AND(Responses!$OZ$1="",COUNTA(Responses!$OZ$2:$OZ$8000)&gt;0),"Column OZ on Responses has answers but no header in row 1, so nobody (and Themefinder) knows what this column is.","")</f>
        <v>0</v>
      </c>
      <c r="F1170" s="4" t="s">
        <v>1167</v>
      </c>
    </row>
    <row r="1171" spans="1:6" ht="75" customHeight="1">
      <c r="A1171" t="s">
        <v>334</v>
      </c>
      <c r="B1171" t="s">
        <v>1168</v>
      </c>
      <c r="C1171" t="s">
        <v>336</v>
      </c>
      <c r="D1171" t="s">
        <v>165</v>
      </c>
      <c r="E1171" s="4">
        <f>IF(AND(Responses!$PA$1="",COUNTA(Responses!$PA$2:$PA$8000)&gt;0),"Column PA on Responses has answers but no header in row 1, so nobody (and Themefinder) knows what this column is.","")</f>
        <v>0</v>
      </c>
      <c r="F1171" s="4" t="s">
        <v>1169</v>
      </c>
    </row>
    <row r="1172" spans="1:6" ht="75" customHeight="1">
      <c r="A1172" t="s">
        <v>334</v>
      </c>
      <c r="B1172" t="s">
        <v>1170</v>
      </c>
      <c r="C1172" t="s">
        <v>336</v>
      </c>
      <c r="D1172" t="s">
        <v>165</v>
      </c>
      <c r="E1172" s="4">
        <f>IF(AND(Responses!$PB$1="",COUNTA(Responses!$PB$2:$PB$8000)&gt;0),"Column PB on Responses has answers but no header in row 1, so nobody (and Themefinder) knows what this column is.","")</f>
        <v>0</v>
      </c>
      <c r="F1172" s="4" t="s">
        <v>1171</v>
      </c>
    </row>
    <row r="1173" spans="1:6" ht="75" customHeight="1">
      <c r="A1173" t="s">
        <v>334</v>
      </c>
      <c r="B1173" t="s">
        <v>1172</v>
      </c>
      <c r="C1173" t="s">
        <v>336</v>
      </c>
      <c r="D1173" t="s">
        <v>165</v>
      </c>
      <c r="E1173" s="4">
        <f>IF(AND(Responses!$PC$1="",COUNTA(Responses!$PC$2:$PC$8000)&gt;0),"Column PC on Responses has answers but no header in row 1, so nobody (and Themefinder) knows what this column is.","")</f>
        <v>0</v>
      </c>
      <c r="F1173" s="4" t="s">
        <v>1173</v>
      </c>
    </row>
    <row r="1174" spans="1:6" ht="75" customHeight="1">
      <c r="A1174" t="s">
        <v>334</v>
      </c>
      <c r="B1174" t="s">
        <v>1174</v>
      </c>
      <c r="C1174" t="s">
        <v>336</v>
      </c>
      <c r="D1174" t="s">
        <v>165</v>
      </c>
      <c r="E1174" s="4">
        <f>IF(AND(Responses!$PD$1="",COUNTA(Responses!$PD$2:$PD$8000)&gt;0),"Column PD on Responses has answers but no header in row 1, so nobody (and Themefinder) knows what this column is.","")</f>
        <v>0</v>
      </c>
      <c r="F1174" s="4" t="s">
        <v>1175</v>
      </c>
    </row>
    <row r="1175" spans="1:6" ht="75" customHeight="1">
      <c r="A1175" t="s">
        <v>334</v>
      </c>
      <c r="B1175" t="s">
        <v>1176</v>
      </c>
      <c r="C1175" t="s">
        <v>336</v>
      </c>
      <c r="D1175" t="s">
        <v>165</v>
      </c>
      <c r="E1175" s="4">
        <f>IF(AND(Responses!$PE$1="",COUNTA(Responses!$PE$2:$PE$8000)&gt;0),"Column PE on Responses has answers but no header in row 1, so nobody (and Themefinder) knows what this column is.","")</f>
        <v>0</v>
      </c>
      <c r="F1175" s="4" t="s">
        <v>1177</v>
      </c>
    </row>
    <row r="1176" spans="1:6" ht="75" customHeight="1">
      <c r="A1176" t="s">
        <v>334</v>
      </c>
      <c r="B1176" t="s">
        <v>1178</v>
      </c>
      <c r="C1176" t="s">
        <v>336</v>
      </c>
      <c r="D1176" t="s">
        <v>165</v>
      </c>
      <c r="E1176" s="4">
        <f>IF(AND(Responses!$PF$1="",COUNTA(Responses!$PF$2:$PF$8000)&gt;0),"Column PF on Responses has answers but no header in row 1, so nobody (and Themefinder) knows what this column is.","")</f>
        <v>0</v>
      </c>
      <c r="F1176" s="4" t="s">
        <v>1179</v>
      </c>
    </row>
    <row r="1177" spans="1:6" ht="75" customHeight="1">
      <c r="A1177" t="s">
        <v>334</v>
      </c>
      <c r="B1177" t="s">
        <v>1180</v>
      </c>
      <c r="C1177" t="s">
        <v>336</v>
      </c>
      <c r="D1177" t="s">
        <v>165</v>
      </c>
      <c r="E1177" s="4">
        <f>IF(AND(Responses!$PG$1="",COUNTA(Responses!$PG$2:$PG$8000)&gt;0),"Column PG on Responses has answers but no header in row 1, so nobody (and Themefinder) knows what this column is.","")</f>
        <v>0</v>
      </c>
      <c r="F1177" s="4" t="s">
        <v>1181</v>
      </c>
    </row>
    <row r="1178" spans="1:6" ht="75" customHeight="1">
      <c r="A1178" t="s">
        <v>334</v>
      </c>
      <c r="B1178" t="s">
        <v>1182</v>
      </c>
      <c r="C1178" t="s">
        <v>336</v>
      </c>
      <c r="D1178" t="s">
        <v>165</v>
      </c>
      <c r="E1178" s="4">
        <f>IF(AND(Responses!$PH$1="",COUNTA(Responses!$PH$2:$PH$8000)&gt;0),"Column PH on Responses has answers but no header in row 1, so nobody (and Themefinder) knows what this column is.","")</f>
        <v>0</v>
      </c>
      <c r="F1178" s="4" t="s">
        <v>1183</v>
      </c>
    </row>
    <row r="1179" spans="1:6" ht="75" customHeight="1">
      <c r="A1179" t="s">
        <v>334</v>
      </c>
      <c r="B1179" t="s">
        <v>1184</v>
      </c>
      <c r="C1179" t="s">
        <v>336</v>
      </c>
      <c r="D1179" t="s">
        <v>165</v>
      </c>
      <c r="E1179" s="4">
        <f>IF(AND(Responses!$PI$1="",COUNTA(Responses!$PI$2:$PI$8000)&gt;0),"Column PI on Responses has answers but no header in row 1, so nobody (and Themefinder) knows what this column is.","")</f>
        <v>0</v>
      </c>
      <c r="F1179" s="4" t="s">
        <v>1185</v>
      </c>
    </row>
    <row r="1180" spans="1:6" ht="75" customHeight="1">
      <c r="A1180" t="s">
        <v>334</v>
      </c>
      <c r="B1180" t="s">
        <v>1186</v>
      </c>
      <c r="C1180" t="s">
        <v>336</v>
      </c>
      <c r="D1180" t="s">
        <v>165</v>
      </c>
      <c r="E1180" s="4">
        <f>IF(AND(Responses!$PJ$1="",COUNTA(Responses!$PJ$2:$PJ$8000)&gt;0),"Column PJ on Responses has answers but no header in row 1, so nobody (and Themefinder) knows what this column is.","")</f>
        <v>0</v>
      </c>
      <c r="F1180" s="4" t="s">
        <v>1187</v>
      </c>
    </row>
    <row r="1181" spans="1:6" ht="75" customHeight="1">
      <c r="A1181" t="s">
        <v>334</v>
      </c>
      <c r="B1181" t="s">
        <v>1188</v>
      </c>
      <c r="C1181" t="s">
        <v>336</v>
      </c>
      <c r="D1181" t="s">
        <v>165</v>
      </c>
      <c r="E1181" s="4">
        <f>IF(AND(Responses!$PK$1="",COUNTA(Responses!$PK$2:$PK$8000)&gt;0),"Column PK on Responses has answers but no header in row 1, so nobody (and Themefinder) knows what this column is.","")</f>
        <v>0</v>
      </c>
      <c r="F1181" s="4" t="s">
        <v>1189</v>
      </c>
    </row>
    <row r="1182" spans="1:6" ht="75" customHeight="1">
      <c r="A1182" t="s">
        <v>334</v>
      </c>
      <c r="B1182" t="s">
        <v>1190</v>
      </c>
      <c r="C1182" t="s">
        <v>336</v>
      </c>
      <c r="D1182" t="s">
        <v>165</v>
      </c>
      <c r="E1182" s="4">
        <f>IF(AND(Responses!$PL$1="",COUNTA(Responses!$PL$2:$PL$8000)&gt;0),"Column PL on Responses has answers but no header in row 1, so nobody (and Themefinder) knows what this column is.","")</f>
        <v>0</v>
      </c>
      <c r="F1182" s="4" t="s">
        <v>1191</v>
      </c>
    </row>
    <row r="1183" spans="1:6" ht="75" customHeight="1">
      <c r="A1183" t="s">
        <v>334</v>
      </c>
      <c r="B1183" t="s">
        <v>1192</v>
      </c>
      <c r="C1183" t="s">
        <v>336</v>
      </c>
      <c r="D1183" t="s">
        <v>165</v>
      </c>
      <c r="E1183" s="4">
        <f>IF(AND(Responses!$PM$1="",COUNTA(Responses!$PM$2:$PM$8000)&gt;0),"Column PM on Responses has answers but no header in row 1, so nobody (and Themefinder) knows what this column is.","")</f>
        <v>0</v>
      </c>
      <c r="F1183" s="4" t="s">
        <v>1193</v>
      </c>
    </row>
    <row r="1184" spans="1:6" ht="75" customHeight="1">
      <c r="A1184" t="s">
        <v>334</v>
      </c>
      <c r="B1184" t="s">
        <v>1194</v>
      </c>
      <c r="C1184" t="s">
        <v>336</v>
      </c>
      <c r="D1184" t="s">
        <v>165</v>
      </c>
      <c r="E1184" s="4">
        <f>IF(AND(Responses!$PN$1="",COUNTA(Responses!$PN$2:$PN$8000)&gt;0),"Column PN on Responses has answers but no header in row 1, so nobody (and Themefinder) knows what this column is.","")</f>
        <v>0</v>
      </c>
      <c r="F1184" s="4" t="s">
        <v>1195</v>
      </c>
    </row>
    <row r="1185" spans="1:6" ht="75" customHeight="1">
      <c r="A1185" t="s">
        <v>334</v>
      </c>
      <c r="B1185" t="s">
        <v>1196</v>
      </c>
      <c r="C1185" t="s">
        <v>336</v>
      </c>
      <c r="D1185" t="s">
        <v>165</v>
      </c>
      <c r="E1185" s="4">
        <f>IF(AND(Responses!$PO$1="",COUNTA(Responses!$PO$2:$PO$8000)&gt;0),"Column PO on Responses has answers but no header in row 1, so nobody (and Themefinder) knows what this column is.","")</f>
        <v>0</v>
      </c>
      <c r="F1185" s="4" t="s">
        <v>1197</v>
      </c>
    </row>
    <row r="1186" spans="1:6" ht="75" customHeight="1">
      <c r="A1186" t="s">
        <v>334</v>
      </c>
      <c r="B1186" t="s">
        <v>1198</v>
      </c>
      <c r="C1186" t="s">
        <v>336</v>
      </c>
      <c r="D1186" t="s">
        <v>165</v>
      </c>
      <c r="E1186" s="4">
        <f>IF(AND(Responses!$PP$1="",COUNTA(Responses!$PP$2:$PP$8000)&gt;0),"Column PP on Responses has answers but no header in row 1, so nobody (and Themefinder) knows what this column is.","")</f>
        <v>0</v>
      </c>
      <c r="F1186" s="4" t="s">
        <v>1199</v>
      </c>
    </row>
    <row r="1187" spans="1:6" ht="75" customHeight="1">
      <c r="A1187" t="s">
        <v>334</v>
      </c>
      <c r="B1187" t="s">
        <v>1200</v>
      </c>
      <c r="C1187" t="s">
        <v>336</v>
      </c>
      <c r="D1187" t="s">
        <v>165</v>
      </c>
      <c r="E1187" s="4">
        <f>IF(AND(Responses!$PQ$1="",COUNTA(Responses!$PQ$2:$PQ$8000)&gt;0),"Column PQ on Responses has answers but no header in row 1, so nobody (and Themefinder) knows what this column is.","")</f>
        <v>0</v>
      </c>
      <c r="F1187" s="4" t="s">
        <v>1201</v>
      </c>
    </row>
    <row r="1188" spans="1:6" ht="75" customHeight="1">
      <c r="A1188" t="s">
        <v>334</v>
      </c>
      <c r="B1188" t="s">
        <v>1202</v>
      </c>
      <c r="C1188" t="s">
        <v>336</v>
      </c>
      <c r="D1188" t="s">
        <v>165</v>
      </c>
      <c r="E1188" s="4">
        <f>IF(AND(Responses!$PR$1="",COUNTA(Responses!$PR$2:$PR$8000)&gt;0),"Column PR on Responses has answers but no header in row 1, so nobody (and Themefinder) knows what this column is.","")</f>
        <v>0</v>
      </c>
      <c r="F1188" s="4" t="s">
        <v>1203</v>
      </c>
    </row>
    <row r="1189" spans="1:6" ht="75" customHeight="1">
      <c r="A1189" t="s">
        <v>334</v>
      </c>
      <c r="B1189" t="s">
        <v>1204</v>
      </c>
      <c r="C1189" t="s">
        <v>336</v>
      </c>
      <c r="D1189" t="s">
        <v>165</v>
      </c>
      <c r="E1189" s="4">
        <f>IF(AND(Responses!$PS$1="",COUNTA(Responses!$PS$2:$PS$8000)&gt;0),"Column PS on Responses has answers but no header in row 1, so nobody (and Themefinder) knows what this column is.","")</f>
        <v>0</v>
      </c>
      <c r="F1189" s="4" t="s">
        <v>1205</v>
      </c>
    </row>
    <row r="1190" spans="1:6" ht="75" customHeight="1">
      <c r="A1190" t="s">
        <v>334</v>
      </c>
      <c r="B1190" t="s">
        <v>1206</v>
      </c>
      <c r="C1190" t="s">
        <v>336</v>
      </c>
      <c r="D1190" t="s">
        <v>165</v>
      </c>
      <c r="E1190" s="4">
        <f>IF(AND(Responses!$PT$1="",COUNTA(Responses!$PT$2:$PT$8000)&gt;0),"Column PT on Responses has answers but no header in row 1, so nobody (and Themefinder) knows what this column is.","")</f>
        <v>0</v>
      </c>
      <c r="F1190" s="4" t="s">
        <v>1207</v>
      </c>
    </row>
    <row r="1191" spans="1:6" ht="75" customHeight="1">
      <c r="A1191" t="s">
        <v>334</v>
      </c>
      <c r="B1191" t="s">
        <v>1208</v>
      </c>
      <c r="C1191" t="s">
        <v>336</v>
      </c>
      <c r="D1191" t="s">
        <v>165</v>
      </c>
      <c r="E1191" s="4">
        <f>IF(AND(Responses!$PU$1="",COUNTA(Responses!$PU$2:$PU$8000)&gt;0),"Column PU on Responses has answers but no header in row 1, so nobody (and Themefinder) knows what this column is.","")</f>
        <v>0</v>
      </c>
      <c r="F1191" s="4" t="s">
        <v>1209</v>
      </c>
    </row>
    <row r="1192" spans="1:6" ht="75" customHeight="1">
      <c r="A1192" t="s">
        <v>334</v>
      </c>
      <c r="B1192" t="s">
        <v>1210</v>
      </c>
      <c r="C1192" t="s">
        <v>336</v>
      </c>
      <c r="D1192" t="s">
        <v>165</v>
      </c>
      <c r="E1192" s="4">
        <f>IF(AND(Responses!$PV$1="",COUNTA(Responses!$PV$2:$PV$8000)&gt;0),"Column PV on Responses has answers but no header in row 1, so nobody (and Themefinder) knows what this column is.","")</f>
        <v>0</v>
      </c>
      <c r="F1192" s="4" t="s">
        <v>1211</v>
      </c>
    </row>
    <row r="1193" spans="1:6" ht="75" customHeight="1">
      <c r="A1193" t="s">
        <v>334</v>
      </c>
      <c r="B1193" t="s">
        <v>1212</v>
      </c>
      <c r="C1193" t="s">
        <v>336</v>
      </c>
      <c r="D1193" t="s">
        <v>165</v>
      </c>
      <c r="E1193" s="4">
        <f>IF(AND(Responses!$PW$1="",COUNTA(Responses!$PW$2:$PW$8000)&gt;0),"Column PW on Responses has answers but no header in row 1, so nobody (and Themefinder) knows what this column is.","")</f>
        <v>0</v>
      </c>
      <c r="F1193" s="4" t="s">
        <v>1213</v>
      </c>
    </row>
    <row r="1194" spans="1:6" ht="75" customHeight="1">
      <c r="A1194" t="s">
        <v>334</v>
      </c>
      <c r="B1194" t="s">
        <v>1214</v>
      </c>
      <c r="C1194" t="s">
        <v>336</v>
      </c>
      <c r="D1194" t="s">
        <v>165</v>
      </c>
      <c r="E1194" s="4">
        <f>IF(AND(Responses!$PX$1="",COUNTA(Responses!$PX$2:$PX$8000)&gt;0),"Column PX on Responses has answers but no header in row 1, so nobody (and Themefinder) knows what this column is.","")</f>
        <v>0</v>
      </c>
      <c r="F1194" s="4" t="s">
        <v>1215</v>
      </c>
    </row>
    <row r="1195" spans="1:6" ht="75" customHeight="1">
      <c r="A1195" t="s">
        <v>334</v>
      </c>
      <c r="B1195" t="s">
        <v>1216</v>
      </c>
      <c r="C1195" t="s">
        <v>336</v>
      </c>
      <c r="D1195" t="s">
        <v>165</v>
      </c>
      <c r="E1195" s="4">
        <f>IF(AND(Responses!$PY$1="",COUNTA(Responses!$PY$2:$PY$8000)&gt;0),"Column PY on Responses has answers but no header in row 1, so nobody (and Themefinder) knows what this column is.","")</f>
        <v>0</v>
      </c>
      <c r="F1195" s="4" t="s">
        <v>1217</v>
      </c>
    </row>
    <row r="1196" spans="1:6" ht="75" customHeight="1">
      <c r="A1196" t="s">
        <v>334</v>
      </c>
      <c r="B1196" t="s">
        <v>1218</v>
      </c>
      <c r="C1196" t="s">
        <v>336</v>
      </c>
      <c r="D1196" t="s">
        <v>165</v>
      </c>
      <c r="E1196" s="4">
        <f>IF(AND(Responses!$PZ$1="",COUNTA(Responses!$PZ$2:$PZ$8000)&gt;0),"Column PZ on Responses has answers but no header in row 1, so nobody (and Themefinder) knows what this column is.","")</f>
        <v>0</v>
      </c>
      <c r="F1196" s="4" t="s">
        <v>1219</v>
      </c>
    </row>
    <row r="1197" spans="1:6" ht="75" customHeight="1">
      <c r="A1197" t="s">
        <v>334</v>
      </c>
      <c r="B1197" t="s">
        <v>1220</v>
      </c>
      <c r="C1197" t="s">
        <v>336</v>
      </c>
      <c r="D1197" t="s">
        <v>165</v>
      </c>
      <c r="E1197" s="4">
        <f>IF(AND(Responses!$QA$1="",COUNTA(Responses!$QA$2:$QA$8000)&gt;0),"Column QA on Responses has answers but no header in row 1, so nobody (and Themefinder) knows what this column is.","")</f>
        <v>0</v>
      </c>
      <c r="F1197" s="4" t="s">
        <v>1221</v>
      </c>
    </row>
    <row r="1198" spans="1:6" ht="75" customHeight="1">
      <c r="A1198" t="s">
        <v>334</v>
      </c>
      <c r="B1198" t="s">
        <v>1222</v>
      </c>
      <c r="C1198" t="s">
        <v>336</v>
      </c>
      <c r="D1198" t="s">
        <v>165</v>
      </c>
      <c r="E1198" s="4">
        <f>IF(AND(Responses!$QB$1="",COUNTA(Responses!$QB$2:$QB$8000)&gt;0),"Column QB on Responses has answers but no header in row 1, so nobody (and Themefinder) knows what this column is.","")</f>
        <v>0</v>
      </c>
      <c r="F1198" s="4" t="s">
        <v>1223</v>
      </c>
    </row>
    <row r="1199" spans="1:6" ht="75" customHeight="1">
      <c r="A1199" t="s">
        <v>334</v>
      </c>
      <c r="B1199" t="s">
        <v>1224</v>
      </c>
      <c r="C1199" t="s">
        <v>336</v>
      </c>
      <c r="D1199" t="s">
        <v>165</v>
      </c>
      <c r="E1199" s="4">
        <f>IF(AND(Responses!$QC$1="",COUNTA(Responses!$QC$2:$QC$8000)&gt;0),"Column QC on Responses has answers but no header in row 1, so nobody (and Themefinder) knows what this column is.","")</f>
        <v>0</v>
      </c>
      <c r="F1199" s="4" t="s">
        <v>1225</v>
      </c>
    </row>
    <row r="1200" spans="1:6" ht="75" customHeight="1">
      <c r="A1200" t="s">
        <v>334</v>
      </c>
      <c r="B1200" t="s">
        <v>1226</v>
      </c>
      <c r="C1200" t="s">
        <v>336</v>
      </c>
      <c r="D1200" t="s">
        <v>165</v>
      </c>
      <c r="E1200" s="4">
        <f>IF(AND(Responses!$QD$1="",COUNTA(Responses!$QD$2:$QD$8000)&gt;0),"Column QD on Responses has answers but no header in row 1, so nobody (and Themefinder) knows what this column is.","")</f>
        <v>0</v>
      </c>
      <c r="F1200" s="4" t="s">
        <v>1227</v>
      </c>
    </row>
    <row r="1201" spans="1:6" ht="75" customHeight="1">
      <c r="A1201" t="s">
        <v>334</v>
      </c>
      <c r="B1201" t="s">
        <v>1228</v>
      </c>
      <c r="C1201" t="s">
        <v>336</v>
      </c>
      <c r="D1201" t="s">
        <v>165</v>
      </c>
      <c r="E1201" s="4">
        <f>IF(AND(Responses!$QE$1="",COUNTA(Responses!$QE$2:$QE$8000)&gt;0),"Column QE on Responses has answers but no header in row 1, so nobody (and Themefinder) knows what this column is.","")</f>
        <v>0</v>
      </c>
      <c r="F1201" s="4" t="s">
        <v>1229</v>
      </c>
    </row>
    <row r="1202" spans="1:6" ht="75" customHeight="1">
      <c r="A1202" t="s">
        <v>334</v>
      </c>
      <c r="B1202" t="s">
        <v>1230</v>
      </c>
      <c r="C1202" t="s">
        <v>336</v>
      </c>
      <c r="D1202" t="s">
        <v>165</v>
      </c>
      <c r="E1202" s="4">
        <f>IF(AND(Responses!$QF$1="",COUNTA(Responses!$QF$2:$QF$8000)&gt;0),"Column QF on Responses has answers but no header in row 1, so nobody (and Themefinder) knows what this column is.","")</f>
        <v>0</v>
      </c>
      <c r="F1202" s="4" t="s">
        <v>1231</v>
      </c>
    </row>
    <row r="1203" spans="1:6" ht="75" customHeight="1">
      <c r="A1203" t="s">
        <v>334</v>
      </c>
      <c r="B1203" t="s">
        <v>1232</v>
      </c>
      <c r="C1203" t="s">
        <v>336</v>
      </c>
      <c r="D1203" t="s">
        <v>165</v>
      </c>
      <c r="E1203" s="4">
        <f>IF(AND(Responses!$QG$1="",COUNTA(Responses!$QG$2:$QG$8000)&gt;0),"Column QG on Responses has answers but no header in row 1, so nobody (and Themefinder) knows what this column is.","")</f>
        <v>0</v>
      </c>
      <c r="F1203" s="4" t="s">
        <v>1233</v>
      </c>
    </row>
    <row r="1204" spans="1:6" ht="75" customHeight="1">
      <c r="A1204" t="s">
        <v>334</v>
      </c>
      <c r="B1204" t="s">
        <v>1234</v>
      </c>
      <c r="C1204" t="s">
        <v>336</v>
      </c>
      <c r="D1204" t="s">
        <v>165</v>
      </c>
      <c r="E1204" s="4">
        <f>IF(AND(Responses!$QH$1="",COUNTA(Responses!$QH$2:$QH$8000)&gt;0),"Column QH on Responses has answers but no header in row 1, so nobody (and Themefinder) knows what this column is.","")</f>
        <v>0</v>
      </c>
      <c r="F1204" s="4" t="s">
        <v>1235</v>
      </c>
    </row>
    <row r="1205" spans="1:6" ht="75" customHeight="1">
      <c r="A1205" t="s">
        <v>334</v>
      </c>
      <c r="B1205" t="s">
        <v>1236</v>
      </c>
      <c r="C1205" t="s">
        <v>336</v>
      </c>
      <c r="D1205" t="s">
        <v>165</v>
      </c>
      <c r="E1205" s="4">
        <f>IF(AND(Responses!$QI$1="",COUNTA(Responses!$QI$2:$QI$8000)&gt;0),"Column QI on Responses has answers but no header in row 1, so nobody (and Themefinder) knows what this column is.","")</f>
        <v>0</v>
      </c>
      <c r="F1205" s="4" t="s">
        <v>1237</v>
      </c>
    </row>
    <row r="1206" spans="1:6" ht="75" customHeight="1">
      <c r="A1206" t="s">
        <v>334</v>
      </c>
      <c r="B1206" t="s">
        <v>1238</v>
      </c>
      <c r="C1206" t="s">
        <v>336</v>
      </c>
      <c r="D1206" t="s">
        <v>165</v>
      </c>
      <c r="E1206" s="4">
        <f>IF(AND(Responses!$QJ$1="",COUNTA(Responses!$QJ$2:$QJ$8000)&gt;0),"Column QJ on Responses has answers but no header in row 1, so nobody (and Themefinder) knows what this column is.","")</f>
        <v>0</v>
      </c>
      <c r="F1206" s="4" t="s">
        <v>1239</v>
      </c>
    </row>
    <row r="1207" spans="1:6" ht="75" customHeight="1">
      <c r="A1207" t="s">
        <v>334</v>
      </c>
      <c r="B1207" t="s">
        <v>1240</v>
      </c>
      <c r="C1207" t="s">
        <v>336</v>
      </c>
      <c r="D1207" t="s">
        <v>165</v>
      </c>
      <c r="E1207" s="4">
        <f>IF(AND(Responses!$QK$1="",COUNTA(Responses!$QK$2:$QK$8000)&gt;0),"Column QK on Responses has answers but no header in row 1, so nobody (and Themefinder) knows what this column is.","")</f>
        <v>0</v>
      </c>
      <c r="F1207" s="4" t="s">
        <v>1241</v>
      </c>
    </row>
    <row r="1208" spans="1:6" ht="75" customHeight="1">
      <c r="A1208" t="s">
        <v>334</v>
      </c>
      <c r="B1208" t="s">
        <v>1242</v>
      </c>
      <c r="C1208" t="s">
        <v>336</v>
      </c>
      <c r="D1208" t="s">
        <v>165</v>
      </c>
      <c r="E1208" s="4">
        <f>IF(AND(Responses!$QL$1="",COUNTA(Responses!$QL$2:$QL$8000)&gt;0),"Column QL on Responses has answers but no header in row 1, so nobody (and Themefinder) knows what this column is.","")</f>
        <v>0</v>
      </c>
      <c r="F1208" s="4" t="s">
        <v>1243</v>
      </c>
    </row>
    <row r="1209" spans="1:6" ht="75" customHeight="1">
      <c r="A1209" t="s">
        <v>334</v>
      </c>
      <c r="B1209" t="s">
        <v>1244</v>
      </c>
      <c r="C1209" t="s">
        <v>336</v>
      </c>
      <c r="D1209" t="s">
        <v>165</v>
      </c>
      <c r="E1209" s="4">
        <f>IF(AND(Responses!$QM$1="",COUNTA(Responses!$QM$2:$QM$8000)&gt;0),"Column QM on Responses has answers but no header in row 1, so nobody (and Themefinder) knows what this column is.","")</f>
        <v>0</v>
      </c>
      <c r="F1209" s="4" t="s">
        <v>1245</v>
      </c>
    </row>
    <row r="1210" spans="1:6" ht="75" customHeight="1">
      <c r="A1210" t="s">
        <v>334</v>
      </c>
      <c r="B1210" t="s">
        <v>1246</v>
      </c>
      <c r="C1210" t="s">
        <v>336</v>
      </c>
      <c r="D1210" t="s">
        <v>165</v>
      </c>
      <c r="E1210" s="4">
        <f>IF(AND(Responses!$QN$1="",COUNTA(Responses!$QN$2:$QN$8000)&gt;0),"Column QN on Responses has answers but no header in row 1, so nobody (and Themefinder) knows what this column is.","")</f>
        <v>0</v>
      </c>
      <c r="F1210" s="4" t="s">
        <v>1247</v>
      </c>
    </row>
    <row r="1211" spans="1:6" ht="75" customHeight="1">
      <c r="A1211" t="s">
        <v>334</v>
      </c>
      <c r="B1211" t="s">
        <v>1248</v>
      </c>
      <c r="C1211" t="s">
        <v>336</v>
      </c>
      <c r="D1211" t="s">
        <v>165</v>
      </c>
      <c r="E1211" s="4">
        <f>IF(AND(Responses!$QO$1="",COUNTA(Responses!$QO$2:$QO$8000)&gt;0),"Column QO on Responses has answers but no header in row 1, so nobody (and Themefinder) knows what this column is.","")</f>
        <v>0</v>
      </c>
      <c r="F1211" s="4" t="s">
        <v>1249</v>
      </c>
    </row>
    <row r="1212" spans="1:6" ht="75" customHeight="1">
      <c r="A1212" t="s">
        <v>334</v>
      </c>
      <c r="B1212" t="s">
        <v>1250</v>
      </c>
      <c r="C1212" t="s">
        <v>336</v>
      </c>
      <c r="D1212" t="s">
        <v>165</v>
      </c>
      <c r="E1212" s="4">
        <f>IF(AND(Responses!$QP$1="",COUNTA(Responses!$QP$2:$QP$8000)&gt;0),"Column QP on Responses has answers but no header in row 1, so nobody (and Themefinder) knows what this column is.","")</f>
        <v>0</v>
      </c>
      <c r="F1212" s="4" t="s">
        <v>1251</v>
      </c>
    </row>
    <row r="1213" spans="1:6" ht="75" customHeight="1">
      <c r="A1213" t="s">
        <v>334</v>
      </c>
      <c r="B1213" t="s">
        <v>1252</v>
      </c>
      <c r="C1213" t="s">
        <v>336</v>
      </c>
      <c r="D1213" t="s">
        <v>165</v>
      </c>
      <c r="E1213" s="4">
        <f>IF(AND(Responses!$QQ$1="",COUNTA(Responses!$QQ$2:$QQ$8000)&gt;0),"Column QQ on Responses has answers but no header in row 1, so nobody (and Themefinder) knows what this column is.","")</f>
        <v>0</v>
      </c>
      <c r="F1213" s="4" t="s">
        <v>1253</v>
      </c>
    </row>
    <row r="1214" spans="1:6" ht="75" customHeight="1">
      <c r="A1214" t="s">
        <v>334</v>
      </c>
      <c r="B1214" t="s">
        <v>1254</v>
      </c>
      <c r="C1214" t="s">
        <v>336</v>
      </c>
      <c r="D1214" t="s">
        <v>165</v>
      </c>
      <c r="E1214" s="4">
        <f>IF(AND(Responses!$QR$1="",COUNTA(Responses!$QR$2:$QR$8000)&gt;0),"Column QR on Responses has answers but no header in row 1, so nobody (and Themefinder) knows what this column is.","")</f>
        <v>0</v>
      </c>
      <c r="F1214" s="4" t="s">
        <v>1255</v>
      </c>
    </row>
    <row r="1215" spans="1:6" ht="75" customHeight="1">
      <c r="A1215" t="s">
        <v>334</v>
      </c>
      <c r="B1215" t="s">
        <v>1256</v>
      </c>
      <c r="C1215" t="s">
        <v>336</v>
      </c>
      <c r="D1215" t="s">
        <v>165</v>
      </c>
      <c r="E1215" s="4">
        <f>IF(AND(Responses!$QS$1="",COUNTA(Responses!$QS$2:$QS$8000)&gt;0),"Column QS on Responses has answers but no header in row 1, so nobody (and Themefinder) knows what this column is.","")</f>
        <v>0</v>
      </c>
      <c r="F1215" s="4" t="s">
        <v>1257</v>
      </c>
    </row>
    <row r="1216" spans="1:6" ht="75" customHeight="1">
      <c r="A1216" t="s">
        <v>334</v>
      </c>
      <c r="B1216" t="s">
        <v>1258</v>
      </c>
      <c r="C1216" t="s">
        <v>336</v>
      </c>
      <c r="D1216" t="s">
        <v>165</v>
      </c>
      <c r="E1216" s="4">
        <f>IF(AND(Responses!$QT$1="",COUNTA(Responses!$QT$2:$QT$8000)&gt;0),"Column QT on Responses has answers but no header in row 1, so nobody (and Themefinder) knows what this column is.","")</f>
        <v>0</v>
      </c>
      <c r="F1216" s="4" t="s">
        <v>1259</v>
      </c>
    </row>
    <row r="1217" spans="1:6" ht="75" customHeight="1">
      <c r="A1217" t="s">
        <v>334</v>
      </c>
      <c r="B1217" t="s">
        <v>1260</v>
      </c>
      <c r="C1217" t="s">
        <v>336</v>
      </c>
      <c r="D1217" t="s">
        <v>165</v>
      </c>
      <c r="E1217" s="4">
        <f>IF(AND(Responses!$QU$1="",COUNTA(Responses!$QU$2:$QU$8000)&gt;0),"Column QU on Responses has answers but no header in row 1, so nobody (and Themefinder) knows what this column is.","")</f>
        <v>0</v>
      </c>
      <c r="F1217" s="4" t="s">
        <v>1261</v>
      </c>
    </row>
    <row r="1218" spans="1:6" ht="75" customHeight="1">
      <c r="A1218" t="s">
        <v>334</v>
      </c>
      <c r="B1218" t="s">
        <v>1262</v>
      </c>
      <c r="C1218" t="s">
        <v>336</v>
      </c>
      <c r="D1218" t="s">
        <v>165</v>
      </c>
      <c r="E1218" s="4">
        <f>IF(AND(Responses!$QV$1="",COUNTA(Responses!$QV$2:$QV$8000)&gt;0),"Column QV on Responses has answers but no header in row 1, so nobody (and Themefinder) knows what this column is.","")</f>
        <v>0</v>
      </c>
      <c r="F1218" s="4" t="s">
        <v>1263</v>
      </c>
    </row>
    <row r="1219" spans="1:6" ht="75" customHeight="1">
      <c r="A1219" t="s">
        <v>334</v>
      </c>
      <c r="B1219" t="s">
        <v>1264</v>
      </c>
      <c r="C1219" t="s">
        <v>336</v>
      </c>
      <c r="D1219" t="s">
        <v>165</v>
      </c>
      <c r="E1219" s="4">
        <f>IF(AND(Responses!$QW$1="",COUNTA(Responses!$QW$2:$QW$8000)&gt;0),"Column QW on Responses has answers but no header in row 1, so nobody (and Themefinder) knows what this column is.","")</f>
        <v>0</v>
      </c>
      <c r="F1219" s="4" t="s">
        <v>1265</v>
      </c>
    </row>
    <row r="1220" spans="1:6" ht="75" customHeight="1">
      <c r="A1220" t="s">
        <v>334</v>
      </c>
      <c r="B1220" t="s">
        <v>1266</v>
      </c>
      <c r="C1220" t="s">
        <v>336</v>
      </c>
      <c r="D1220" t="s">
        <v>165</v>
      </c>
      <c r="E1220" s="4">
        <f>IF(AND(Responses!$QX$1="",COUNTA(Responses!$QX$2:$QX$8000)&gt;0),"Column QX on Responses has answers but no header in row 1, so nobody (and Themefinder) knows what this column is.","")</f>
        <v>0</v>
      </c>
      <c r="F1220" s="4" t="s">
        <v>1267</v>
      </c>
    </row>
    <row r="1221" spans="1:6" ht="75" customHeight="1">
      <c r="A1221" t="s">
        <v>334</v>
      </c>
      <c r="B1221" t="s">
        <v>1268</v>
      </c>
      <c r="C1221" t="s">
        <v>336</v>
      </c>
      <c r="D1221" t="s">
        <v>165</v>
      </c>
      <c r="E1221" s="4">
        <f>IF(AND(Responses!$QY$1="",COUNTA(Responses!$QY$2:$QY$8000)&gt;0),"Column QY on Responses has answers but no header in row 1, so nobody (and Themefinder) knows what this column is.","")</f>
        <v>0</v>
      </c>
      <c r="F1221" s="4" t="s">
        <v>1269</v>
      </c>
    </row>
    <row r="1222" spans="1:6" ht="75" customHeight="1">
      <c r="A1222" t="s">
        <v>334</v>
      </c>
      <c r="B1222" t="s">
        <v>1270</v>
      </c>
      <c r="C1222" t="s">
        <v>336</v>
      </c>
      <c r="D1222" t="s">
        <v>165</v>
      </c>
      <c r="E1222" s="4">
        <f>IF(AND(Responses!$QZ$1="",COUNTA(Responses!$QZ$2:$QZ$8000)&gt;0),"Column QZ on Responses has answers but no header in row 1, so nobody (and Themefinder) knows what this column is.","")</f>
        <v>0</v>
      </c>
      <c r="F1222" s="4" t="s">
        <v>1271</v>
      </c>
    </row>
    <row r="1223" spans="1:6" ht="75" customHeight="1">
      <c r="A1223" t="s">
        <v>334</v>
      </c>
      <c r="B1223" t="s">
        <v>1272</v>
      </c>
      <c r="C1223" t="s">
        <v>336</v>
      </c>
      <c r="D1223" t="s">
        <v>165</v>
      </c>
      <c r="E1223" s="4">
        <f>IF(AND(Responses!$RA$1="",COUNTA(Responses!$RA$2:$RA$8000)&gt;0),"Column RA on Responses has answers but no header in row 1, so nobody (and Themefinder) knows what this column is.","")</f>
        <v>0</v>
      </c>
      <c r="F1223" s="4" t="s">
        <v>1273</v>
      </c>
    </row>
    <row r="1224" spans="1:6" ht="75" customHeight="1">
      <c r="A1224" t="s">
        <v>334</v>
      </c>
      <c r="B1224" t="s">
        <v>1274</v>
      </c>
      <c r="C1224" t="s">
        <v>336</v>
      </c>
      <c r="D1224" t="s">
        <v>165</v>
      </c>
      <c r="E1224" s="4">
        <f>IF(AND(Responses!$RB$1="",COUNTA(Responses!$RB$2:$RB$8000)&gt;0),"Column RB on Responses has answers but no header in row 1, so nobody (and Themefinder) knows what this column is.","")</f>
        <v>0</v>
      </c>
      <c r="F1224" s="4" t="s">
        <v>1275</v>
      </c>
    </row>
    <row r="1225" spans="1:6" ht="75" customHeight="1">
      <c r="A1225" t="s">
        <v>334</v>
      </c>
      <c r="B1225" t="s">
        <v>1276</v>
      </c>
      <c r="C1225" t="s">
        <v>336</v>
      </c>
      <c r="D1225" t="s">
        <v>165</v>
      </c>
      <c r="E1225" s="4">
        <f>IF(AND(Responses!$RC$1="",COUNTA(Responses!$RC$2:$RC$8000)&gt;0),"Column RC on Responses has answers but no header in row 1, so nobody (and Themefinder) knows what this column is.","")</f>
        <v>0</v>
      </c>
      <c r="F1225" s="4" t="s">
        <v>1277</v>
      </c>
    </row>
    <row r="1226" spans="1:6" ht="75" customHeight="1">
      <c r="A1226" t="s">
        <v>334</v>
      </c>
      <c r="B1226" t="s">
        <v>1278</v>
      </c>
      <c r="C1226" t="s">
        <v>336</v>
      </c>
      <c r="D1226" t="s">
        <v>165</v>
      </c>
      <c r="E1226" s="4">
        <f>IF(AND(Responses!$RD$1="",COUNTA(Responses!$RD$2:$RD$8000)&gt;0),"Column RD on Responses has answers but no header in row 1, so nobody (and Themefinder) knows what this column is.","")</f>
        <v>0</v>
      </c>
      <c r="F1226" s="4" t="s">
        <v>1279</v>
      </c>
    </row>
    <row r="1227" spans="1:6" ht="75" customHeight="1">
      <c r="A1227" t="s">
        <v>334</v>
      </c>
      <c r="B1227" t="s">
        <v>1280</v>
      </c>
      <c r="C1227" t="s">
        <v>336</v>
      </c>
      <c r="D1227" t="s">
        <v>165</v>
      </c>
      <c r="E1227" s="4">
        <f>IF(AND(Responses!$RE$1="",COUNTA(Responses!$RE$2:$RE$8000)&gt;0),"Column RE on Responses has answers but no header in row 1, so nobody (and Themefinder) knows what this column is.","")</f>
        <v>0</v>
      </c>
      <c r="F1227" s="4" t="s">
        <v>1281</v>
      </c>
    </row>
    <row r="1228" spans="1:6" ht="75" customHeight="1">
      <c r="A1228" t="s">
        <v>334</v>
      </c>
      <c r="B1228" t="s">
        <v>1282</v>
      </c>
      <c r="C1228" t="s">
        <v>336</v>
      </c>
      <c r="D1228" t="s">
        <v>165</v>
      </c>
      <c r="E1228" s="4">
        <f>IF(AND(Responses!$RF$1="",COUNTA(Responses!$RF$2:$RF$8000)&gt;0),"Column RF on Responses has answers but no header in row 1, so nobody (and Themefinder) knows what this column is.","")</f>
        <v>0</v>
      </c>
      <c r="F1228" s="4" t="s">
        <v>1283</v>
      </c>
    </row>
    <row r="1229" spans="1:6" ht="75" customHeight="1">
      <c r="A1229" t="s">
        <v>334</v>
      </c>
      <c r="B1229" t="s">
        <v>1284</v>
      </c>
      <c r="C1229" t="s">
        <v>336</v>
      </c>
      <c r="D1229" t="s">
        <v>165</v>
      </c>
      <c r="E1229" s="4">
        <f>IF(AND(Responses!$RG$1="",COUNTA(Responses!$RG$2:$RG$8000)&gt;0),"Column RG on Responses has answers but no header in row 1, so nobody (and Themefinder) knows what this column is.","")</f>
        <v>0</v>
      </c>
      <c r="F1229" s="4" t="s">
        <v>1285</v>
      </c>
    </row>
    <row r="1230" spans="1:6" ht="75" customHeight="1">
      <c r="A1230" t="s">
        <v>334</v>
      </c>
      <c r="B1230" t="s">
        <v>1286</v>
      </c>
      <c r="C1230" t="s">
        <v>336</v>
      </c>
      <c r="D1230" t="s">
        <v>165</v>
      </c>
      <c r="E1230" s="4">
        <f>IF(AND(Responses!$RH$1="",COUNTA(Responses!$RH$2:$RH$8000)&gt;0),"Column RH on Responses has answers but no header in row 1, so nobody (and Themefinder) knows what this column is.","")</f>
        <v>0</v>
      </c>
      <c r="F1230" s="4" t="s">
        <v>1287</v>
      </c>
    </row>
    <row r="1231" spans="1:6" ht="75" customHeight="1">
      <c r="A1231" t="s">
        <v>334</v>
      </c>
      <c r="B1231" t="s">
        <v>1288</v>
      </c>
      <c r="C1231" t="s">
        <v>336</v>
      </c>
      <c r="D1231" t="s">
        <v>165</v>
      </c>
      <c r="E1231" s="4">
        <f>IF(AND(Responses!$RI$1="",COUNTA(Responses!$RI$2:$RI$8000)&gt;0),"Column RI on Responses has answers but no header in row 1, so nobody (and Themefinder) knows what this column is.","")</f>
        <v>0</v>
      </c>
      <c r="F1231" s="4" t="s">
        <v>1289</v>
      </c>
    </row>
    <row r="1232" spans="1:6" ht="75" customHeight="1">
      <c r="A1232" t="s">
        <v>334</v>
      </c>
      <c r="B1232" t="s">
        <v>1290</v>
      </c>
      <c r="C1232" t="s">
        <v>336</v>
      </c>
      <c r="D1232" t="s">
        <v>165</v>
      </c>
      <c r="E1232" s="4">
        <f>IF(AND(Responses!$RJ$1="",COUNTA(Responses!$RJ$2:$RJ$8000)&gt;0),"Column RJ on Responses has answers but no header in row 1, so nobody (and Themefinder) knows what this column is.","")</f>
        <v>0</v>
      </c>
      <c r="F1232" s="4" t="s">
        <v>1291</v>
      </c>
    </row>
    <row r="1233" spans="1:6" ht="75" customHeight="1">
      <c r="A1233" t="s">
        <v>334</v>
      </c>
      <c r="B1233" t="s">
        <v>1292</v>
      </c>
      <c r="C1233" t="s">
        <v>336</v>
      </c>
      <c r="D1233" t="s">
        <v>165</v>
      </c>
      <c r="E1233" s="4">
        <f>IF(AND(Responses!$RK$1="",COUNTA(Responses!$RK$2:$RK$8000)&gt;0),"Column RK on Responses has answers but no header in row 1, so nobody (and Themefinder) knows what this column is.","")</f>
        <v>0</v>
      </c>
      <c r="F1233" s="4" t="s">
        <v>1293</v>
      </c>
    </row>
    <row r="1234" spans="1:6" ht="75" customHeight="1">
      <c r="A1234" t="s">
        <v>334</v>
      </c>
      <c r="B1234" t="s">
        <v>1294</v>
      </c>
      <c r="C1234" t="s">
        <v>336</v>
      </c>
      <c r="D1234" t="s">
        <v>165</v>
      </c>
      <c r="E1234" s="4">
        <f>IF(AND(Responses!$RL$1="",COUNTA(Responses!$RL$2:$RL$8000)&gt;0),"Column RL on Responses has answers but no header in row 1, so nobody (and Themefinder) knows what this column is.","")</f>
        <v>0</v>
      </c>
      <c r="F1234" s="4" t="s">
        <v>1295</v>
      </c>
    </row>
    <row r="1235" spans="1:6" ht="75" customHeight="1">
      <c r="A1235" t="s">
        <v>334</v>
      </c>
      <c r="B1235" t="s">
        <v>1296</v>
      </c>
      <c r="C1235" t="s">
        <v>336</v>
      </c>
      <c r="D1235" t="s">
        <v>165</v>
      </c>
      <c r="E1235" s="4">
        <f>IF(AND(Responses!$RM$1="",COUNTA(Responses!$RM$2:$RM$8000)&gt;0),"Column RM on Responses has answers but no header in row 1, so nobody (and Themefinder) knows what this column is.","")</f>
        <v>0</v>
      </c>
      <c r="F1235" s="4" t="s">
        <v>1297</v>
      </c>
    </row>
    <row r="1236" spans="1:6" ht="75" customHeight="1">
      <c r="A1236" t="s">
        <v>334</v>
      </c>
      <c r="B1236" t="s">
        <v>1298</v>
      </c>
      <c r="C1236" t="s">
        <v>336</v>
      </c>
      <c r="D1236" t="s">
        <v>165</v>
      </c>
      <c r="E1236" s="4">
        <f>IF(AND(Responses!$RN$1="",COUNTA(Responses!$RN$2:$RN$8000)&gt;0),"Column RN on Responses has answers but no header in row 1, so nobody (and Themefinder) knows what this column is.","")</f>
        <v>0</v>
      </c>
      <c r="F1236" s="4" t="s">
        <v>1299</v>
      </c>
    </row>
    <row r="1237" spans="1:6" ht="75" customHeight="1">
      <c r="A1237" t="s">
        <v>334</v>
      </c>
      <c r="B1237" t="s">
        <v>1300</v>
      </c>
      <c r="C1237" t="s">
        <v>336</v>
      </c>
      <c r="D1237" t="s">
        <v>165</v>
      </c>
      <c r="E1237" s="4">
        <f>IF(AND(Responses!$RO$1="",COUNTA(Responses!$RO$2:$RO$8000)&gt;0),"Column RO on Responses has answers but no header in row 1, so nobody (and Themefinder) knows what this column is.","")</f>
        <v>0</v>
      </c>
      <c r="F1237" s="4" t="s">
        <v>1301</v>
      </c>
    </row>
    <row r="1238" spans="1:6" ht="75" customHeight="1">
      <c r="A1238" t="s">
        <v>334</v>
      </c>
      <c r="B1238" t="s">
        <v>1302</v>
      </c>
      <c r="C1238" t="s">
        <v>336</v>
      </c>
      <c r="D1238" t="s">
        <v>165</v>
      </c>
      <c r="E1238" s="4">
        <f>IF(AND(Responses!$RP$1="",COUNTA(Responses!$RP$2:$RP$8000)&gt;0),"Column RP on Responses has answers but no header in row 1, so nobody (and Themefinder) knows what this column is.","")</f>
        <v>0</v>
      </c>
      <c r="F1238" s="4" t="s">
        <v>1303</v>
      </c>
    </row>
    <row r="1239" spans="1:6" ht="75" customHeight="1">
      <c r="A1239" t="s">
        <v>334</v>
      </c>
      <c r="B1239" t="s">
        <v>1304</v>
      </c>
      <c r="C1239" t="s">
        <v>336</v>
      </c>
      <c r="D1239" t="s">
        <v>165</v>
      </c>
      <c r="E1239" s="4">
        <f>IF(AND(Responses!$RQ$1="",COUNTA(Responses!$RQ$2:$RQ$8000)&gt;0),"Column RQ on Responses has answers but no header in row 1, so nobody (and Themefinder) knows what this column is.","")</f>
        <v>0</v>
      </c>
      <c r="F1239" s="4" t="s">
        <v>1305</v>
      </c>
    </row>
    <row r="1240" spans="1:6" ht="75" customHeight="1">
      <c r="A1240" t="s">
        <v>334</v>
      </c>
      <c r="B1240" t="s">
        <v>1306</v>
      </c>
      <c r="C1240" t="s">
        <v>336</v>
      </c>
      <c r="D1240" t="s">
        <v>165</v>
      </c>
      <c r="E1240" s="4">
        <f>IF(AND(Responses!$RR$1="",COUNTA(Responses!$RR$2:$RR$8000)&gt;0),"Column RR on Responses has answers but no header in row 1, so nobody (and Themefinder) knows what this column is.","")</f>
        <v>0</v>
      </c>
      <c r="F1240" s="4" t="s">
        <v>1307</v>
      </c>
    </row>
    <row r="1241" spans="1:6" ht="75" customHeight="1">
      <c r="A1241" t="s">
        <v>334</v>
      </c>
      <c r="B1241" t="s">
        <v>1308</v>
      </c>
      <c r="C1241" t="s">
        <v>336</v>
      </c>
      <c r="D1241" t="s">
        <v>165</v>
      </c>
      <c r="E1241" s="4">
        <f>IF(AND(Responses!$RS$1="",COUNTA(Responses!$RS$2:$RS$8000)&gt;0),"Column RS on Responses has answers but no header in row 1, so nobody (and Themefinder) knows what this column is.","")</f>
        <v>0</v>
      </c>
      <c r="F1241" s="4" t="s">
        <v>1309</v>
      </c>
    </row>
    <row r="1242" spans="1:6" ht="75" customHeight="1">
      <c r="A1242" t="s">
        <v>334</v>
      </c>
      <c r="B1242" t="s">
        <v>1310</v>
      </c>
      <c r="C1242" t="s">
        <v>336</v>
      </c>
      <c r="D1242" t="s">
        <v>165</v>
      </c>
      <c r="E1242" s="4">
        <f>IF(AND(Responses!$RT$1="",COUNTA(Responses!$RT$2:$RT$8000)&gt;0),"Column RT on Responses has answers but no header in row 1, so nobody (and Themefinder) knows what this column is.","")</f>
        <v>0</v>
      </c>
      <c r="F1242" s="4" t="s">
        <v>1311</v>
      </c>
    </row>
    <row r="1243" spans="1:6" ht="75" customHeight="1">
      <c r="A1243" t="s">
        <v>334</v>
      </c>
      <c r="B1243" t="s">
        <v>1312</v>
      </c>
      <c r="C1243" t="s">
        <v>336</v>
      </c>
      <c r="D1243" t="s">
        <v>165</v>
      </c>
      <c r="E1243" s="4">
        <f>IF(AND(Responses!$RU$1="",COUNTA(Responses!$RU$2:$RU$8000)&gt;0),"Column RU on Responses has answers but no header in row 1, so nobody (and Themefinder) knows what this column is.","")</f>
        <v>0</v>
      </c>
      <c r="F1243" s="4" t="s">
        <v>1313</v>
      </c>
    </row>
    <row r="1244" spans="1:6" ht="75" customHeight="1">
      <c r="A1244" t="s">
        <v>334</v>
      </c>
      <c r="B1244" t="s">
        <v>1314</v>
      </c>
      <c r="C1244" t="s">
        <v>336</v>
      </c>
      <c r="D1244" t="s">
        <v>165</v>
      </c>
      <c r="E1244" s="4">
        <f>IF(AND(Responses!$RV$1="",COUNTA(Responses!$RV$2:$RV$8000)&gt;0),"Column RV on Responses has answers but no header in row 1, so nobody (and Themefinder) knows what this column is.","")</f>
        <v>0</v>
      </c>
      <c r="F1244" s="4" t="s">
        <v>1315</v>
      </c>
    </row>
    <row r="1245" spans="1:6" ht="75" customHeight="1">
      <c r="A1245" t="s">
        <v>334</v>
      </c>
      <c r="B1245" t="s">
        <v>1316</v>
      </c>
      <c r="C1245" t="s">
        <v>336</v>
      </c>
      <c r="D1245" t="s">
        <v>165</v>
      </c>
      <c r="E1245" s="4">
        <f>IF(AND(Responses!$RW$1="",COUNTA(Responses!$RW$2:$RW$8000)&gt;0),"Column RW on Responses has answers but no header in row 1, so nobody (and Themefinder) knows what this column is.","")</f>
        <v>0</v>
      </c>
      <c r="F1245" s="4" t="s">
        <v>1317</v>
      </c>
    </row>
    <row r="1246" spans="1:6" ht="75" customHeight="1">
      <c r="A1246" t="s">
        <v>334</v>
      </c>
      <c r="B1246" t="s">
        <v>1318</v>
      </c>
      <c r="C1246" t="s">
        <v>336</v>
      </c>
      <c r="D1246" t="s">
        <v>165</v>
      </c>
      <c r="E1246" s="4">
        <f>IF(AND(Responses!$RX$1="",COUNTA(Responses!$RX$2:$RX$8000)&gt;0),"Column RX on Responses has answers but no header in row 1, so nobody (and Themefinder) knows what this column is.","")</f>
        <v>0</v>
      </c>
      <c r="F1246" s="4" t="s">
        <v>1319</v>
      </c>
    </row>
    <row r="1247" spans="1:6" ht="75" customHeight="1">
      <c r="A1247" t="s">
        <v>334</v>
      </c>
      <c r="B1247" t="s">
        <v>1320</v>
      </c>
      <c r="C1247" t="s">
        <v>336</v>
      </c>
      <c r="D1247" t="s">
        <v>165</v>
      </c>
      <c r="E1247" s="4">
        <f>IF(AND(Responses!$RY$1="",COUNTA(Responses!$RY$2:$RY$8000)&gt;0),"Column RY on Responses has answers but no header in row 1, so nobody (and Themefinder) knows what this column is.","")</f>
        <v>0</v>
      </c>
      <c r="F1247" s="4" t="s">
        <v>1321</v>
      </c>
    </row>
    <row r="1248" spans="1:6" ht="75" customHeight="1">
      <c r="A1248" t="s">
        <v>334</v>
      </c>
      <c r="B1248" t="s">
        <v>1322</v>
      </c>
      <c r="C1248" t="s">
        <v>336</v>
      </c>
      <c r="D1248" t="s">
        <v>165</v>
      </c>
      <c r="E1248" s="4">
        <f>IF(AND(Responses!$RZ$1="",COUNTA(Responses!$RZ$2:$RZ$8000)&gt;0),"Column RZ on Responses has answers but no header in row 1, so nobody (and Themefinder) knows what this column is.","")</f>
        <v>0</v>
      </c>
      <c r="F1248" s="4" t="s">
        <v>1323</v>
      </c>
    </row>
    <row r="1249" spans="1:6" ht="75" customHeight="1">
      <c r="A1249" t="s">
        <v>334</v>
      </c>
      <c r="B1249" t="s">
        <v>1324</v>
      </c>
      <c r="C1249" t="s">
        <v>336</v>
      </c>
      <c r="D1249" t="s">
        <v>165</v>
      </c>
      <c r="E1249" s="4">
        <f>IF(AND(Responses!$SA$1="",COUNTA(Responses!$SA$2:$SA$8000)&gt;0),"Column SA on Responses has answers but no header in row 1, so nobody (and Themefinder) knows what this column is.","")</f>
        <v>0</v>
      </c>
      <c r="F1249" s="4" t="s">
        <v>1325</v>
      </c>
    </row>
    <row r="1250" spans="1:6" ht="75" customHeight="1">
      <c r="A1250" t="s">
        <v>334</v>
      </c>
      <c r="B1250" t="s">
        <v>1326</v>
      </c>
      <c r="C1250" t="s">
        <v>336</v>
      </c>
      <c r="D1250" t="s">
        <v>165</v>
      </c>
      <c r="E1250" s="4">
        <f>IF(AND(Responses!$SB$1="",COUNTA(Responses!$SB$2:$SB$8000)&gt;0),"Column SB on Responses has answers but no header in row 1, so nobody (and Themefinder) knows what this column is.","")</f>
        <v>0</v>
      </c>
      <c r="F1250" s="4" t="s">
        <v>1327</v>
      </c>
    </row>
    <row r="1251" spans="1:6" ht="75" customHeight="1">
      <c r="A1251" t="s">
        <v>334</v>
      </c>
      <c r="B1251" t="s">
        <v>1328</v>
      </c>
      <c r="C1251" t="s">
        <v>336</v>
      </c>
      <c r="D1251" t="s">
        <v>165</v>
      </c>
      <c r="E1251" s="4">
        <f>IF(AND(Responses!$SC$1="",COUNTA(Responses!$SC$2:$SC$8000)&gt;0),"Column SC on Responses has answers but no header in row 1, so nobody (and Themefinder) knows what this column is.","")</f>
        <v>0</v>
      </c>
      <c r="F1251" s="4" t="s">
        <v>1329</v>
      </c>
    </row>
    <row r="1252" spans="1:6" ht="75" customHeight="1">
      <c r="A1252" t="s">
        <v>334</v>
      </c>
      <c r="B1252" t="s">
        <v>1330</v>
      </c>
      <c r="C1252" t="s">
        <v>336</v>
      </c>
      <c r="D1252" t="s">
        <v>165</v>
      </c>
      <c r="E1252" s="4">
        <f>IF(AND(Responses!$SD$1="",COUNTA(Responses!$SD$2:$SD$8000)&gt;0),"Column SD on Responses has answers but no header in row 1, so nobody (and Themefinder) knows what this column is.","")</f>
        <v>0</v>
      </c>
      <c r="F1252" s="4" t="s">
        <v>1331</v>
      </c>
    </row>
    <row r="1253" spans="1:6" ht="75" customHeight="1">
      <c r="A1253" t="s">
        <v>334</v>
      </c>
      <c r="B1253" t="s">
        <v>1332</v>
      </c>
      <c r="C1253" t="s">
        <v>336</v>
      </c>
      <c r="D1253" t="s">
        <v>165</v>
      </c>
      <c r="E1253" s="4">
        <f>IF(AND(Responses!$SE$1="",COUNTA(Responses!$SE$2:$SE$8000)&gt;0),"Column SE on Responses has answers but no header in row 1, so nobody (and Themefinder) knows what this column is.","")</f>
        <v>0</v>
      </c>
      <c r="F1253" s="4" t="s">
        <v>1333</v>
      </c>
    </row>
    <row r="1254" spans="1:6" ht="75" customHeight="1">
      <c r="A1254" t="s">
        <v>334</v>
      </c>
      <c r="B1254" t="s">
        <v>1334</v>
      </c>
      <c r="C1254" t="s">
        <v>336</v>
      </c>
      <c r="D1254" t="s">
        <v>165</v>
      </c>
      <c r="E1254" s="4">
        <f>IF(AND(Responses!$SF$1="",COUNTA(Responses!$SF$2:$SF$8000)&gt;0),"Column SF on Responses has answers but no header in row 1, so nobody (and Themefinder) knows what this column is.","")</f>
        <v>0</v>
      </c>
      <c r="F1254" s="4" t="s">
        <v>1335</v>
      </c>
    </row>
    <row r="1255" spans="1:6" ht="75" customHeight="1">
      <c r="A1255" t="s">
        <v>334</v>
      </c>
      <c r="B1255" t="s">
        <v>1336</v>
      </c>
      <c r="C1255" t="s">
        <v>336</v>
      </c>
      <c r="D1255" t="s">
        <v>165</v>
      </c>
      <c r="E1255" s="4">
        <f>IF(AND(Responses!$SG$1="",COUNTA(Responses!$SG$2:$SG$8000)&gt;0),"Column SG on Responses has answers but no header in row 1, so nobody (and Themefinder) knows what this column is.","")</f>
        <v>0</v>
      </c>
      <c r="F1255" s="4" t="s">
        <v>1337</v>
      </c>
    </row>
    <row r="1256" spans="1:6" ht="75" customHeight="1">
      <c r="A1256" t="s">
        <v>334</v>
      </c>
      <c r="B1256" t="s">
        <v>1338</v>
      </c>
      <c r="C1256" t="s">
        <v>336</v>
      </c>
      <c r="D1256" t="s">
        <v>165</v>
      </c>
      <c r="E1256" s="4">
        <f>IF(AND(Responses!$SH$1="",COUNTA(Responses!$SH$2:$SH$8000)&gt;0),"Column SH on Responses has answers but no header in row 1, so nobody (and Themefinder) knows what this column is.","")</f>
        <v>0</v>
      </c>
      <c r="F1256" s="4" t="s">
        <v>1339</v>
      </c>
    </row>
    <row r="1257" spans="1:6" ht="75" customHeight="1">
      <c r="A1257" t="s">
        <v>334</v>
      </c>
      <c r="B1257" t="s">
        <v>1340</v>
      </c>
      <c r="C1257" t="s">
        <v>336</v>
      </c>
      <c r="D1257" t="s">
        <v>165</v>
      </c>
      <c r="E1257" s="4">
        <f>IF(AND(Responses!$SI$1="",COUNTA(Responses!$SI$2:$SI$8000)&gt;0),"Column SI on Responses has answers but no header in row 1, so nobody (and Themefinder) knows what this column is.","")</f>
        <v>0</v>
      </c>
      <c r="F1257" s="4" t="s">
        <v>1341</v>
      </c>
    </row>
    <row r="1258" spans="1:6" ht="75" customHeight="1">
      <c r="A1258" t="s">
        <v>334</v>
      </c>
      <c r="B1258" t="s">
        <v>1342</v>
      </c>
      <c r="C1258" t="s">
        <v>336</v>
      </c>
      <c r="D1258" t="s">
        <v>165</v>
      </c>
      <c r="E1258" s="4">
        <f>IF(AND(Responses!$SJ$1="",COUNTA(Responses!$SJ$2:$SJ$8000)&gt;0),"Column SJ on Responses has answers but no header in row 1, so nobody (and Themefinder) knows what this column is.","")</f>
        <v>0</v>
      </c>
      <c r="F1258" s="4" t="s">
        <v>1343</v>
      </c>
    </row>
    <row r="1259" spans="1:6" ht="75" customHeight="1">
      <c r="A1259" t="s">
        <v>334</v>
      </c>
      <c r="B1259" t="s">
        <v>1344</v>
      </c>
      <c r="C1259" t="s">
        <v>336</v>
      </c>
      <c r="D1259" t="s">
        <v>165</v>
      </c>
      <c r="E1259" s="4">
        <f>IF(AND(Responses!$SK$1="",COUNTA(Responses!$SK$2:$SK$8000)&gt;0),"Column SK on Responses has answers but no header in row 1, so nobody (and Themefinder) knows what this column is.","")</f>
        <v>0</v>
      </c>
      <c r="F1259" s="4" t="s">
        <v>1345</v>
      </c>
    </row>
    <row r="1260" spans="1:6" ht="75" customHeight="1">
      <c r="A1260" t="s">
        <v>334</v>
      </c>
      <c r="B1260" t="s">
        <v>1346</v>
      </c>
      <c r="C1260" t="s">
        <v>336</v>
      </c>
      <c r="D1260" t="s">
        <v>165</v>
      </c>
      <c r="E1260" s="4">
        <f>IF(AND(Responses!$SL$1="",COUNTA(Responses!$SL$2:$SL$8000)&gt;0),"Column SL on Responses has answers but no header in row 1, so nobody (and Themefinder) knows what this column is.","")</f>
        <v>0</v>
      </c>
      <c r="F1260" s="4" t="s">
        <v>1347</v>
      </c>
    </row>
    <row r="1261" spans="1:6" ht="75" customHeight="1">
      <c r="A1261" t="s">
        <v>334</v>
      </c>
      <c r="B1261" t="s">
        <v>1348</v>
      </c>
      <c r="C1261" t="s">
        <v>336</v>
      </c>
      <c r="D1261" t="s">
        <v>165</v>
      </c>
      <c r="E1261" s="4">
        <f>IF(AND(Responses!$SM$1="",COUNTA(Responses!$SM$2:$SM$8000)&gt;0),"Column SM on Responses has answers but no header in row 1, so nobody (and Themefinder) knows what this column is.","")</f>
        <v>0</v>
      </c>
      <c r="F1261" s="4" t="s">
        <v>1349</v>
      </c>
    </row>
    <row r="1262" spans="1:6" ht="75" customHeight="1">
      <c r="A1262" t="s">
        <v>334</v>
      </c>
      <c r="B1262" t="s">
        <v>1350</v>
      </c>
      <c r="C1262" t="s">
        <v>336</v>
      </c>
      <c r="D1262" t="s">
        <v>165</v>
      </c>
      <c r="E1262" s="4">
        <f>IF(AND(Responses!$SN$1="",COUNTA(Responses!$SN$2:$SN$8000)&gt;0),"Column SN on Responses has answers but no header in row 1, so nobody (and Themefinder) knows what this column is.","")</f>
        <v>0</v>
      </c>
      <c r="F1262" s="4" t="s">
        <v>1351</v>
      </c>
    </row>
    <row r="1263" spans="1:6" ht="75" customHeight="1">
      <c r="A1263" t="s">
        <v>334</v>
      </c>
      <c r="B1263" t="s">
        <v>1352</v>
      </c>
      <c r="C1263" t="s">
        <v>336</v>
      </c>
      <c r="D1263" t="s">
        <v>165</v>
      </c>
      <c r="E1263" s="4">
        <f>IF(AND(Responses!$SO$1="",COUNTA(Responses!$SO$2:$SO$8000)&gt;0),"Column SO on Responses has answers but no header in row 1, so nobody (and Themefinder) knows what this column is.","")</f>
        <v>0</v>
      </c>
      <c r="F1263" s="4" t="s">
        <v>1353</v>
      </c>
    </row>
    <row r="1264" spans="1:6" ht="75" customHeight="1">
      <c r="A1264" t="s">
        <v>334</v>
      </c>
      <c r="B1264" t="s">
        <v>1354</v>
      </c>
      <c r="C1264" t="s">
        <v>336</v>
      </c>
      <c r="D1264" t="s">
        <v>165</v>
      </c>
      <c r="E1264" s="4">
        <f>IF(AND(Responses!$SP$1="",COUNTA(Responses!$SP$2:$SP$8000)&gt;0),"Column SP on Responses has answers but no header in row 1, so nobody (and Themefinder) knows what this column is.","")</f>
        <v>0</v>
      </c>
      <c r="F1264" s="4" t="s">
        <v>1355</v>
      </c>
    </row>
    <row r="1265" spans="1:6" ht="75" customHeight="1">
      <c r="A1265" t="s">
        <v>334</v>
      </c>
      <c r="B1265" t="s">
        <v>1356</v>
      </c>
      <c r="C1265" t="s">
        <v>336</v>
      </c>
      <c r="D1265" t="s">
        <v>165</v>
      </c>
      <c r="E1265" s="4">
        <f>IF(AND(Responses!$SQ$1="",COUNTA(Responses!$SQ$2:$SQ$8000)&gt;0),"Column SQ on Responses has answers but no header in row 1, so nobody (and Themefinder) knows what this column is.","")</f>
        <v>0</v>
      </c>
      <c r="F1265" s="4" t="s">
        <v>1357</v>
      </c>
    </row>
    <row r="1266" spans="1:6" ht="75" customHeight="1">
      <c r="A1266" t="s">
        <v>334</v>
      </c>
      <c r="B1266" t="s">
        <v>1358</v>
      </c>
      <c r="C1266" t="s">
        <v>336</v>
      </c>
      <c r="D1266" t="s">
        <v>165</v>
      </c>
      <c r="E1266" s="4">
        <f>IF(AND(Responses!$SR$1="",COUNTA(Responses!$SR$2:$SR$8000)&gt;0),"Column SR on Responses has answers but no header in row 1, so nobody (and Themefinder) knows what this column is.","")</f>
        <v>0</v>
      </c>
      <c r="F1266" s="4" t="s">
        <v>1359</v>
      </c>
    </row>
    <row r="1267" spans="1:6" ht="75" customHeight="1">
      <c r="A1267" t="s">
        <v>334</v>
      </c>
      <c r="B1267" t="s">
        <v>1360</v>
      </c>
      <c r="C1267" t="s">
        <v>336</v>
      </c>
      <c r="D1267" t="s">
        <v>165</v>
      </c>
      <c r="E1267" s="4">
        <f>IF(AND(Responses!$SS$1="",COUNTA(Responses!$SS$2:$SS$8000)&gt;0),"Column SS on Responses has answers but no header in row 1, so nobody (and Themefinder) knows what this column is.","")</f>
        <v>0</v>
      </c>
      <c r="F1267" s="4" t="s">
        <v>1361</v>
      </c>
    </row>
    <row r="1268" spans="1:6" ht="75" customHeight="1">
      <c r="A1268" t="s">
        <v>334</v>
      </c>
      <c r="B1268" t="s">
        <v>1362</v>
      </c>
      <c r="C1268" t="s">
        <v>336</v>
      </c>
      <c r="D1268" t="s">
        <v>165</v>
      </c>
      <c r="E1268" s="4">
        <f>IF(AND(Responses!$ST$1="",COUNTA(Responses!$ST$2:$ST$8000)&gt;0),"Column ST on Responses has answers but no header in row 1, so nobody (and Themefinder) knows what this column is.","")</f>
        <v>0</v>
      </c>
      <c r="F1268" s="4" t="s">
        <v>1363</v>
      </c>
    </row>
    <row r="1269" spans="1:6" ht="75" customHeight="1">
      <c r="A1269" t="s">
        <v>334</v>
      </c>
      <c r="B1269" t="s">
        <v>1364</v>
      </c>
      <c r="C1269" t="s">
        <v>336</v>
      </c>
      <c r="D1269" t="s">
        <v>165</v>
      </c>
      <c r="E1269" s="4">
        <f>IF(AND(Responses!$SU$1="",COUNTA(Responses!$SU$2:$SU$8000)&gt;0),"Column SU on Responses has answers but no header in row 1, so nobody (and Themefinder) knows what this column is.","")</f>
        <v>0</v>
      </c>
      <c r="F1269" s="4" t="s">
        <v>1365</v>
      </c>
    </row>
    <row r="1270" spans="1:6" ht="75" customHeight="1">
      <c r="A1270" t="s">
        <v>334</v>
      </c>
      <c r="B1270" t="s">
        <v>1366</v>
      </c>
      <c r="C1270" t="s">
        <v>336</v>
      </c>
      <c r="D1270" t="s">
        <v>165</v>
      </c>
      <c r="E1270" s="4">
        <f>IF(AND(Responses!$SV$1="",COUNTA(Responses!$SV$2:$SV$8000)&gt;0),"Column SV on Responses has answers but no header in row 1, so nobody (and Themefinder) knows what this column is.","")</f>
        <v>0</v>
      </c>
      <c r="F1270" s="4" t="s">
        <v>1367</v>
      </c>
    </row>
    <row r="1271" spans="1:6" ht="75" customHeight="1">
      <c r="A1271" t="s">
        <v>334</v>
      </c>
      <c r="B1271" t="s">
        <v>1368</v>
      </c>
      <c r="C1271" t="s">
        <v>336</v>
      </c>
      <c r="D1271" t="s">
        <v>165</v>
      </c>
      <c r="E1271" s="4">
        <f>IF(AND(Responses!$SW$1="",COUNTA(Responses!$SW$2:$SW$8000)&gt;0),"Column SW on Responses has answers but no header in row 1, so nobody (and Themefinder) knows what this column is.","")</f>
        <v>0</v>
      </c>
      <c r="F1271" s="4" t="s">
        <v>1369</v>
      </c>
    </row>
    <row r="1272" spans="1:6" ht="75" customHeight="1">
      <c r="A1272" t="s">
        <v>334</v>
      </c>
      <c r="B1272" t="s">
        <v>1370</v>
      </c>
      <c r="C1272" t="s">
        <v>336</v>
      </c>
      <c r="D1272" t="s">
        <v>165</v>
      </c>
      <c r="E1272" s="4">
        <f>IF(AND(Responses!$SX$1="",COUNTA(Responses!$SX$2:$SX$8000)&gt;0),"Column SX on Responses has answers but no header in row 1, so nobody (and Themefinder) knows what this column is.","")</f>
        <v>0</v>
      </c>
      <c r="F1272" s="4" t="s">
        <v>1371</v>
      </c>
    </row>
    <row r="1273" spans="1:6" ht="75" customHeight="1">
      <c r="A1273" t="s">
        <v>334</v>
      </c>
      <c r="B1273" t="s">
        <v>1372</v>
      </c>
      <c r="C1273" t="s">
        <v>336</v>
      </c>
      <c r="D1273" t="s">
        <v>165</v>
      </c>
      <c r="E1273" s="4">
        <f>IF(AND(Responses!$SY$1="",COUNTA(Responses!$SY$2:$SY$8000)&gt;0),"Column SY on Responses has answers but no header in row 1, so nobody (and Themefinder) knows what this column is.","")</f>
        <v>0</v>
      </c>
      <c r="F1273" s="4" t="s">
        <v>1373</v>
      </c>
    </row>
    <row r="1274" spans="1:6" ht="75" customHeight="1">
      <c r="A1274" t="s">
        <v>334</v>
      </c>
      <c r="B1274" t="s">
        <v>1374</v>
      </c>
      <c r="C1274" t="s">
        <v>336</v>
      </c>
      <c r="D1274" t="s">
        <v>165</v>
      </c>
      <c r="E1274" s="4">
        <f>IF(AND(Responses!$SZ$1="",COUNTA(Responses!$SZ$2:$SZ$8000)&gt;0),"Column SZ on Responses has answers but no header in row 1, so nobody (and Themefinder) knows what this column is.","")</f>
        <v>0</v>
      </c>
      <c r="F1274" s="4" t="s">
        <v>1375</v>
      </c>
    </row>
    <row r="1275" spans="1:6" ht="75" customHeight="1">
      <c r="A1275" t="s">
        <v>334</v>
      </c>
      <c r="B1275" t="s">
        <v>1376</v>
      </c>
      <c r="C1275" t="s">
        <v>336</v>
      </c>
      <c r="D1275" t="s">
        <v>165</v>
      </c>
      <c r="E1275" s="4">
        <f>IF(AND(Responses!$TA$1="",COUNTA(Responses!$TA$2:$TA$8000)&gt;0),"Column TA on Responses has answers but no header in row 1, so nobody (and Themefinder) knows what this column is.","")</f>
        <v>0</v>
      </c>
      <c r="F1275" s="4" t="s">
        <v>1377</v>
      </c>
    </row>
    <row r="1276" spans="1:6" ht="75" customHeight="1">
      <c r="A1276" t="s">
        <v>334</v>
      </c>
      <c r="B1276" t="s">
        <v>1378</v>
      </c>
      <c r="C1276" t="s">
        <v>336</v>
      </c>
      <c r="D1276" t="s">
        <v>165</v>
      </c>
      <c r="E1276" s="4">
        <f>IF(AND(Responses!$TB$1="",COUNTA(Responses!$TB$2:$TB$8000)&gt;0),"Column TB on Responses has answers but no header in row 1, so nobody (and Themefinder) knows what this column is.","")</f>
        <v>0</v>
      </c>
      <c r="F1276" s="4" t="s">
        <v>1379</v>
      </c>
    </row>
    <row r="1277" spans="1:6" ht="75" customHeight="1">
      <c r="A1277" t="s">
        <v>334</v>
      </c>
      <c r="B1277" t="s">
        <v>1380</v>
      </c>
      <c r="C1277" t="s">
        <v>336</v>
      </c>
      <c r="D1277" t="s">
        <v>165</v>
      </c>
      <c r="E1277" s="4">
        <f>IF(AND(Responses!$TC$1="",COUNTA(Responses!$TC$2:$TC$8000)&gt;0),"Column TC on Responses has answers but no header in row 1, so nobody (and Themefinder) knows what this column is.","")</f>
        <v>0</v>
      </c>
      <c r="F1277" s="4" t="s">
        <v>1381</v>
      </c>
    </row>
    <row r="1278" spans="1:6" ht="75" customHeight="1">
      <c r="A1278" t="s">
        <v>334</v>
      </c>
      <c r="B1278" t="s">
        <v>1382</v>
      </c>
      <c r="C1278" t="s">
        <v>336</v>
      </c>
      <c r="D1278" t="s">
        <v>165</v>
      </c>
      <c r="E1278" s="4">
        <f>IF(AND(Responses!$TD$1="",COUNTA(Responses!$TD$2:$TD$8000)&gt;0),"Column TD on Responses has answers but no header in row 1, so nobody (and Themefinder) knows what this column is.","")</f>
        <v>0</v>
      </c>
      <c r="F1278" s="4" t="s">
        <v>1383</v>
      </c>
    </row>
    <row r="1279" spans="1:6" ht="75" customHeight="1">
      <c r="A1279" t="s">
        <v>334</v>
      </c>
      <c r="B1279" t="s">
        <v>1384</v>
      </c>
      <c r="C1279" t="s">
        <v>336</v>
      </c>
      <c r="D1279" t="s">
        <v>165</v>
      </c>
      <c r="E1279" s="4">
        <f>IF(AND(Responses!$TE$1="",COUNTA(Responses!$TE$2:$TE$8000)&gt;0),"Column TE on Responses has answers but no header in row 1, so nobody (and Themefinder) knows what this column is.","")</f>
        <v>0</v>
      </c>
      <c r="F1279" s="4" t="s">
        <v>1385</v>
      </c>
    </row>
    <row r="1280" spans="1:6" ht="75" customHeight="1">
      <c r="A1280" t="s">
        <v>334</v>
      </c>
      <c r="B1280" t="s">
        <v>1386</v>
      </c>
      <c r="C1280" t="s">
        <v>336</v>
      </c>
      <c r="D1280" t="s">
        <v>165</v>
      </c>
      <c r="E1280" s="4">
        <f>IF(AND(Responses!$TF$1="",COUNTA(Responses!$TF$2:$TF$8000)&gt;0),"Column TF on Responses has answers but no header in row 1, so nobody (and Themefinder) knows what this column is.","")</f>
        <v>0</v>
      </c>
      <c r="F1280" s="4" t="s">
        <v>1387</v>
      </c>
    </row>
    <row r="1281" spans="1:6" ht="75" customHeight="1">
      <c r="A1281" t="s">
        <v>334</v>
      </c>
      <c r="B1281" t="s">
        <v>1388</v>
      </c>
      <c r="C1281" t="s">
        <v>336</v>
      </c>
      <c r="D1281" t="s">
        <v>165</v>
      </c>
      <c r="E1281" s="4">
        <f>IF(AND(Responses!$TG$1="",COUNTA(Responses!$TG$2:$TG$8000)&gt;0),"Column TG on Responses has answers but no header in row 1, so nobody (and Themefinder) knows what this column is.","")</f>
        <v>0</v>
      </c>
      <c r="F1281" s="4" t="s">
        <v>1389</v>
      </c>
    </row>
    <row r="1282" spans="1:6" ht="75" customHeight="1">
      <c r="A1282" t="s">
        <v>334</v>
      </c>
      <c r="B1282" t="s">
        <v>1390</v>
      </c>
      <c r="C1282" t="s">
        <v>336</v>
      </c>
      <c r="D1282" t="s">
        <v>165</v>
      </c>
      <c r="E1282" s="4">
        <f>IF(AND(Responses!$TH$1="",COUNTA(Responses!$TH$2:$TH$8000)&gt;0),"Column TH on Responses has answers but no header in row 1, so nobody (and Themefinder) knows what this column is.","")</f>
        <v>0</v>
      </c>
      <c r="F1282" s="4" t="s">
        <v>1391</v>
      </c>
    </row>
    <row r="1283" spans="1:6" ht="75" customHeight="1">
      <c r="A1283" t="s">
        <v>334</v>
      </c>
      <c r="B1283" t="s">
        <v>1392</v>
      </c>
      <c r="C1283" t="s">
        <v>336</v>
      </c>
      <c r="D1283" t="s">
        <v>165</v>
      </c>
      <c r="E1283" s="4">
        <f>IF(AND(Responses!$TI$1="",COUNTA(Responses!$TI$2:$TI$8000)&gt;0),"Column TI on Responses has answers but no header in row 1, so nobody (and Themefinder) knows what this column is.","")</f>
        <v>0</v>
      </c>
      <c r="F1283" s="4" t="s">
        <v>1393</v>
      </c>
    </row>
    <row r="1284" spans="1:6" ht="75" customHeight="1">
      <c r="A1284" t="s">
        <v>334</v>
      </c>
      <c r="B1284" t="s">
        <v>1394</v>
      </c>
      <c r="C1284" t="s">
        <v>336</v>
      </c>
      <c r="D1284" t="s">
        <v>165</v>
      </c>
      <c r="E1284" s="4">
        <f>IF(AND(Responses!$TJ$1="",COUNTA(Responses!$TJ$2:$TJ$8000)&gt;0),"Column TJ on Responses has answers but no header in row 1, so nobody (and Themefinder) knows what this column is.","")</f>
        <v>0</v>
      </c>
      <c r="F1284" s="4" t="s">
        <v>1395</v>
      </c>
    </row>
    <row r="1285" spans="1:6" ht="75" customHeight="1">
      <c r="A1285" t="s">
        <v>334</v>
      </c>
      <c r="B1285" t="s">
        <v>1396</v>
      </c>
      <c r="C1285" t="s">
        <v>336</v>
      </c>
      <c r="D1285" t="s">
        <v>165</v>
      </c>
      <c r="E1285" s="4">
        <f>IF(AND(Responses!$TK$1="",COUNTA(Responses!$TK$2:$TK$8000)&gt;0),"Column TK on Responses has answers but no header in row 1, so nobody (and Themefinder) knows what this column is.","")</f>
        <v>0</v>
      </c>
      <c r="F1285" s="4" t="s">
        <v>1397</v>
      </c>
    </row>
    <row r="1286" spans="1:6" ht="75" customHeight="1">
      <c r="A1286" t="s">
        <v>334</v>
      </c>
      <c r="B1286" t="s">
        <v>1398</v>
      </c>
      <c r="C1286" t="s">
        <v>336</v>
      </c>
      <c r="D1286" t="s">
        <v>165</v>
      </c>
      <c r="E1286" s="4">
        <f>IF(AND(Responses!$TL$1="",COUNTA(Responses!$TL$2:$TL$8000)&gt;0),"Column TL on Responses has answers but no header in row 1, so nobody (and Themefinder) knows what this column is.","")</f>
        <v>0</v>
      </c>
      <c r="F1286" s="4" t="s">
        <v>1399</v>
      </c>
    </row>
    <row r="1287" spans="1:6" ht="75" customHeight="1">
      <c r="A1287" t="s">
        <v>334</v>
      </c>
      <c r="B1287" t="s">
        <v>1400</v>
      </c>
      <c r="C1287" t="s">
        <v>336</v>
      </c>
      <c r="D1287" t="s">
        <v>165</v>
      </c>
      <c r="E1287" s="4">
        <f>IF(AND(Responses!$TM$1="",COUNTA(Responses!$TM$2:$TM$8000)&gt;0),"Column TM on Responses has answers but no header in row 1, so nobody (and Themefinder) knows what this column is.","")</f>
        <v>0</v>
      </c>
      <c r="F1287" s="4" t="s">
        <v>1401</v>
      </c>
    </row>
    <row r="1288" spans="1:6" ht="75" customHeight="1">
      <c r="A1288" t="s">
        <v>334</v>
      </c>
      <c r="B1288" t="s">
        <v>1402</v>
      </c>
      <c r="C1288" t="s">
        <v>336</v>
      </c>
      <c r="D1288" t="s">
        <v>165</v>
      </c>
      <c r="E1288" s="4">
        <f>IF(AND(Responses!$TN$1="",COUNTA(Responses!$TN$2:$TN$8000)&gt;0),"Column TN on Responses has answers but no header in row 1, so nobody (and Themefinder) knows what this column is.","")</f>
        <v>0</v>
      </c>
      <c r="F1288" s="4" t="s">
        <v>1403</v>
      </c>
    </row>
    <row r="1289" spans="1:6" ht="75" customHeight="1">
      <c r="A1289" t="s">
        <v>334</v>
      </c>
      <c r="B1289" t="s">
        <v>1404</v>
      </c>
      <c r="C1289" t="s">
        <v>336</v>
      </c>
      <c r="D1289" t="s">
        <v>165</v>
      </c>
      <c r="E1289" s="4">
        <f>IF(AND(Responses!$TO$1="",COUNTA(Responses!$TO$2:$TO$8000)&gt;0),"Column TO on Responses has answers but no header in row 1, so nobody (and Themefinder) knows what this column is.","")</f>
        <v>0</v>
      </c>
      <c r="F1289" s="4" t="s">
        <v>1405</v>
      </c>
    </row>
    <row r="1290" spans="1:6" ht="75" customHeight="1">
      <c r="A1290" t="s">
        <v>334</v>
      </c>
      <c r="B1290" t="s">
        <v>1406</v>
      </c>
      <c r="C1290" t="s">
        <v>336</v>
      </c>
      <c r="D1290" t="s">
        <v>165</v>
      </c>
      <c r="E1290" s="4">
        <f>IF(AND(Responses!$TP$1="",COUNTA(Responses!$TP$2:$TP$8000)&gt;0),"Column TP on Responses has answers but no header in row 1, so nobody (and Themefinder) knows what this column is.","")</f>
        <v>0</v>
      </c>
      <c r="F1290" s="4" t="s">
        <v>1407</v>
      </c>
    </row>
    <row r="1291" spans="1:6" ht="75" customHeight="1">
      <c r="A1291" t="s">
        <v>334</v>
      </c>
      <c r="B1291" t="s">
        <v>1408</v>
      </c>
      <c r="C1291" t="s">
        <v>336</v>
      </c>
      <c r="D1291" t="s">
        <v>165</v>
      </c>
      <c r="E1291" s="4">
        <f>IF(AND(Responses!$TQ$1="",COUNTA(Responses!$TQ$2:$TQ$8000)&gt;0),"Column TQ on Responses has answers but no header in row 1, so nobody (and Themefinder) knows what this column is.","")</f>
        <v>0</v>
      </c>
      <c r="F1291" s="4" t="s">
        <v>1409</v>
      </c>
    </row>
    <row r="1292" spans="1:6" ht="75" customHeight="1">
      <c r="A1292" t="s">
        <v>334</v>
      </c>
      <c r="B1292" t="s">
        <v>1410</v>
      </c>
      <c r="C1292" t="s">
        <v>336</v>
      </c>
      <c r="D1292" t="s">
        <v>165</v>
      </c>
      <c r="E1292" s="4">
        <f>IF(AND(Responses!$TR$1="",COUNTA(Responses!$TR$2:$TR$8000)&gt;0),"Column TR on Responses has answers but no header in row 1, so nobody (and Themefinder) knows what this column is.","")</f>
        <v>0</v>
      </c>
      <c r="F1292" s="4" t="s">
        <v>1411</v>
      </c>
    </row>
    <row r="1293" spans="1:6" ht="75" customHeight="1">
      <c r="A1293" t="s">
        <v>334</v>
      </c>
      <c r="B1293" t="s">
        <v>1412</v>
      </c>
      <c r="C1293" t="s">
        <v>336</v>
      </c>
      <c r="D1293" t="s">
        <v>165</v>
      </c>
      <c r="E1293" s="4">
        <f>IF(AND(Responses!$TS$1="",COUNTA(Responses!$TS$2:$TS$8000)&gt;0),"Column TS on Responses has answers but no header in row 1, so nobody (and Themefinder) knows what this column is.","")</f>
        <v>0</v>
      </c>
      <c r="F1293" s="4" t="s">
        <v>1413</v>
      </c>
    </row>
    <row r="1294" spans="1:6" ht="75" customHeight="1">
      <c r="A1294" t="s">
        <v>334</v>
      </c>
      <c r="B1294" t="s">
        <v>1414</v>
      </c>
      <c r="C1294" t="s">
        <v>336</v>
      </c>
      <c r="D1294" t="s">
        <v>165</v>
      </c>
      <c r="E1294" s="4">
        <f>IF(AND(Responses!$TT$1="",COUNTA(Responses!$TT$2:$TT$8000)&gt;0),"Column TT on Responses has answers but no header in row 1, so nobody (and Themefinder) knows what this column is.","")</f>
        <v>0</v>
      </c>
      <c r="F1294" s="4" t="s">
        <v>1415</v>
      </c>
    </row>
    <row r="1295" spans="1:6" ht="75" customHeight="1">
      <c r="A1295" t="s">
        <v>334</v>
      </c>
      <c r="B1295" t="s">
        <v>1416</v>
      </c>
      <c r="C1295" t="s">
        <v>336</v>
      </c>
      <c r="D1295" t="s">
        <v>165</v>
      </c>
      <c r="E1295" s="4">
        <f>IF(AND(Responses!$TU$1="",COUNTA(Responses!$TU$2:$TU$8000)&gt;0),"Column TU on Responses has answers but no header in row 1, so nobody (and Themefinder) knows what this column is.","")</f>
        <v>0</v>
      </c>
      <c r="F1295" s="4" t="s">
        <v>1417</v>
      </c>
    </row>
    <row r="1296" spans="1:6" ht="75" customHeight="1">
      <c r="A1296" t="s">
        <v>334</v>
      </c>
      <c r="B1296" t="s">
        <v>1418</v>
      </c>
      <c r="C1296" t="s">
        <v>336</v>
      </c>
      <c r="D1296" t="s">
        <v>165</v>
      </c>
      <c r="E1296" s="4">
        <f>IF(AND(Responses!$TV$1="",COUNTA(Responses!$TV$2:$TV$8000)&gt;0),"Column TV on Responses has answers but no header in row 1, so nobody (and Themefinder) knows what this column is.","")</f>
        <v>0</v>
      </c>
      <c r="F1296" s="4" t="s">
        <v>1419</v>
      </c>
    </row>
    <row r="1297" spans="1:6" ht="75" customHeight="1">
      <c r="A1297" t="s">
        <v>334</v>
      </c>
      <c r="B1297" t="s">
        <v>1420</v>
      </c>
      <c r="C1297" t="s">
        <v>336</v>
      </c>
      <c r="D1297" t="s">
        <v>165</v>
      </c>
      <c r="E1297" s="4">
        <f>IF(AND(Responses!$TW$1="",COUNTA(Responses!$TW$2:$TW$8000)&gt;0),"Column TW on Responses has answers but no header in row 1, so nobody (and Themefinder) knows what this column is.","")</f>
        <v>0</v>
      </c>
      <c r="F1297" s="4" t="s">
        <v>1421</v>
      </c>
    </row>
    <row r="1298" spans="1:6" ht="75" customHeight="1">
      <c r="A1298" t="s">
        <v>334</v>
      </c>
      <c r="B1298" t="s">
        <v>1422</v>
      </c>
      <c r="C1298" t="s">
        <v>336</v>
      </c>
      <c r="D1298" t="s">
        <v>165</v>
      </c>
      <c r="E1298" s="4">
        <f>IF(AND(Responses!$TX$1="",COUNTA(Responses!$TX$2:$TX$8000)&gt;0),"Column TX on Responses has answers but no header in row 1, so nobody (and Themefinder) knows what this column is.","")</f>
        <v>0</v>
      </c>
      <c r="F1298" s="4" t="s">
        <v>1423</v>
      </c>
    </row>
    <row r="1299" spans="1:6" ht="75" customHeight="1">
      <c r="A1299" t="s">
        <v>334</v>
      </c>
      <c r="B1299" t="s">
        <v>1424</v>
      </c>
      <c r="C1299" t="s">
        <v>336</v>
      </c>
      <c r="D1299" t="s">
        <v>165</v>
      </c>
      <c r="E1299" s="4">
        <f>IF(AND(Responses!$TY$1="",COUNTA(Responses!$TY$2:$TY$8000)&gt;0),"Column TY on Responses has answers but no header in row 1, so nobody (and Themefinder) knows what this column is.","")</f>
        <v>0</v>
      </c>
      <c r="F1299" s="4" t="s">
        <v>1425</v>
      </c>
    </row>
    <row r="1300" spans="1:6" ht="75" customHeight="1">
      <c r="A1300" t="s">
        <v>334</v>
      </c>
      <c r="B1300" t="s">
        <v>1426</v>
      </c>
      <c r="C1300" t="s">
        <v>336</v>
      </c>
      <c r="D1300" t="s">
        <v>165</v>
      </c>
      <c r="E1300" s="4">
        <f>IF(AND(Responses!$TZ$1="",COUNTA(Responses!$TZ$2:$TZ$8000)&gt;0),"Column TZ on Responses has answers but no header in row 1, so nobody (and Themefinder) knows what this column is.","")</f>
        <v>0</v>
      </c>
      <c r="F1300" s="4" t="s">
        <v>1427</v>
      </c>
    </row>
    <row r="1301" spans="1:6" ht="75" customHeight="1">
      <c r="A1301" t="s">
        <v>334</v>
      </c>
      <c r="B1301" t="s">
        <v>1428</v>
      </c>
      <c r="C1301" t="s">
        <v>336</v>
      </c>
      <c r="D1301" t="s">
        <v>165</v>
      </c>
      <c r="E1301" s="4">
        <f>IF(AND(Responses!$UA$1="",COUNTA(Responses!$UA$2:$UA$8000)&gt;0),"Column UA on Responses has answers but no header in row 1, so nobody (and Themefinder) knows what this column is.","")</f>
        <v>0</v>
      </c>
      <c r="F1301" s="4" t="s">
        <v>1429</v>
      </c>
    </row>
    <row r="1302" spans="1:6" ht="75" customHeight="1">
      <c r="A1302" t="s">
        <v>334</v>
      </c>
      <c r="B1302" t="s">
        <v>1430</v>
      </c>
      <c r="C1302" t="s">
        <v>336</v>
      </c>
      <c r="D1302" t="s">
        <v>165</v>
      </c>
      <c r="E1302" s="4">
        <f>IF(AND(Responses!$UB$1="",COUNTA(Responses!$UB$2:$UB$8000)&gt;0),"Column UB on Responses has answers but no header in row 1, so nobody (and Themefinder) knows what this column is.","")</f>
        <v>0</v>
      </c>
      <c r="F1302" s="4" t="s">
        <v>1431</v>
      </c>
    </row>
    <row r="1303" spans="1:6" ht="75" customHeight="1">
      <c r="A1303" t="s">
        <v>334</v>
      </c>
      <c r="B1303" t="s">
        <v>1432</v>
      </c>
      <c r="C1303" t="s">
        <v>336</v>
      </c>
      <c r="D1303" t="s">
        <v>165</v>
      </c>
      <c r="E1303" s="4">
        <f>IF(AND(Responses!$UC$1="",COUNTA(Responses!$UC$2:$UC$8000)&gt;0),"Column UC on Responses has answers but no header in row 1, so nobody (and Themefinder) knows what this column is.","")</f>
        <v>0</v>
      </c>
      <c r="F1303" s="4" t="s">
        <v>1433</v>
      </c>
    </row>
    <row r="1304" spans="1:6" ht="75" customHeight="1">
      <c r="A1304" t="s">
        <v>334</v>
      </c>
      <c r="B1304" t="s">
        <v>1434</v>
      </c>
      <c r="C1304" t="s">
        <v>336</v>
      </c>
      <c r="D1304" t="s">
        <v>165</v>
      </c>
      <c r="E1304" s="4">
        <f>IF(AND(Responses!$UD$1="",COUNTA(Responses!$UD$2:$UD$8000)&gt;0),"Column UD on Responses has answers but no header in row 1, so nobody (and Themefinder) knows what this column is.","")</f>
        <v>0</v>
      </c>
      <c r="F1304" s="4" t="s">
        <v>1435</v>
      </c>
    </row>
    <row r="1305" spans="1:6" ht="75" customHeight="1">
      <c r="A1305" t="s">
        <v>334</v>
      </c>
      <c r="B1305" t="s">
        <v>1436</v>
      </c>
      <c r="C1305" t="s">
        <v>336</v>
      </c>
      <c r="D1305" t="s">
        <v>165</v>
      </c>
      <c r="E1305" s="4">
        <f>IF(AND(Responses!$UE$1="",COUNTA(Responses!$UE$2:$UE$8000)&gt;0),"Column UE on Responses has answers but no header in row 1, so nobody (and Themefinder) knows what this column is.","")</f>
        <v>0</v>
      </c>
      <c r="F1305" s="4" t="s">
        <v>1437</v>
      </c>
    </row>
    <row r="1306" spans="1:6" ht="75" customHeight="1">
      <c r="A1306" t="s">
        <v>334</v>
      </c>
      <c r="B1306" t="s">
        <v>1438</v>
      </c>
      <c r="C1306" t="s">
        <v>336</v>
      </c>
      <c r="D1306" t="s">
        <v>165</v>
      </c>
      <c r="E1306" s="4">
        <f>IF(AND(Responses!$UF$1="",COUNTA(Responses!$UF$2:$UF$8000)&gt;0),"Column UF on Responses has answers but no header in row 1, so nobody (and Themefinder) knows what this column is.","")</f>
        <v>0</v>
      </c>
      <c r="F1306" s="4" t="s">
        <v>1439</v>
      </c>
    </row>
    <row r="1307" spans="1:6" ht="75" customHeight="1">
      <c r="A1307" t="s">
        <v>334</v>
      </c>
      <c r="B1307" t="s">
        <v>1440</v>
      </c>
      <c r="C1307" t="s">
        <v>336</v>
      </c>
      <c r="D1307" t="s">
        <v>165</v>
      </c>
      <c r="E1307" s="4">
        <f>IF(AND(Responses!$UG$1="",COUNTA(Responses!$UG$2:$UG$8000)&gt;0),"Column UG on Responses has answers but no header in row 1, so nobody (and Themefinder) knows what this column is.","")</f>
        <v>0</v>
      </c>
      <c r="F1307" s="4" t="s">
        <v>1441</v>
      </c>
    </row>
    <row r="1308" spans="1:6" ht="75" customHeight="1">
      <c r="A1308" t="s">
        <v>334</v>
      </c>
      <c r="B1308" t="s">
        <v>1442</v>
      </c>
      <c r="C1308" t="s">
        <v>336</v>
      </c>
      <c r="D1308" t="s">
        <v>165</v>
      </c>
      <c r="E1308" s="4">
        <f>IF(AND(Responses!$UH$1="",COUNTA(Responses!$UH$2:$UH$8000)&gt;0),"Column UH on Responses has answers but no header in row 1, so nobody (and Themefinder) knows what this column is.","")</f>
        <v>0</v>
      </c>
      <c r="F1308" s="4" t="s">
        <v>1443</v>
      </c>
    </row>
    <row r="1309" spans="1:6" ht="75" customHeight="1">
      <c r="A1309" t="s">
        <v>334</v>
      </c>
      <c r="B1309" t="s">
        <v>1444</v>
      </c>
      <c r="C1309" t="s">
        <v>336</v>
      </c>
      <c r="D1309" t="s">
        <v>165</v>
      </c>
      <c r="E1309" s="4">
        <f>IF(AND(Responses!$UI$1="",COUNTA(Responses!$UI$2:$UI$8000)&gt;0),"Column UI on Responses has answers but no header in row 1, so nobody (and Themefinder) knows what this column is.","")</f>
        <v>0</v>
      </c>
      <c r="F1309" s="4" t="s">
        <v>1445</v>
      </c>
    </row>
    <row r="1310" spans="1:6" ht="75" customHeight="1">
      <c r="A1310" t="s">
        <v>334</v>
      </c>
      <c r="B1310" t="s">
        <v>1446</v>
      </c>
      <c r="C1310" t="s">
        <v>336</v>
      </c>
      <c r="D1310" t="s">
        <v>165</v>
      </c>
      <c r="E1310" s="4">
        <f>IF(AND(Responses!$UJ$1="",COUNTA(Responses!$UJ$2:$UJ$8000)&gt;0),"Column UJ on Responses has answers but no header in row 1, so nobody (and Themefinder) knows what this column is.","")</f>
        <v>0</v>
      </c>
      <c r="F1310" s="4" t="s">
        <v>1447</v>
      </c>
    </row>
    <row r="1311" spans="1:6" ht="75" customHeight="1">
      <c r="A1311" t="s">
        <v>334</v>
      </c>
      <c r="B1311" t="s">
        <v>1448</v>
      </c>
      <c r="C1311" t="s">
        <v>336</v>
      </c>
      <c r="D1311" t="s">
        <v>165</v>
      </c>
      <c r="E1311" s="4">
        <f>IF(AND(Responses!$UK$1="",COUNTA(Responses!$UK$2:$UK$8000)&gt;0),"Column UK on Responses has answers but no header in row 1, so nobody (and Themefinder) knows what this column is.","")</f>
        <v>0</v>
      </c>
      <c r="F1311" s="4" t="s">
        <v>1449</v>
      </c>
    </row>
    <row r="1312" spans="1:6" ht="75" customHeight="1">
      <c r="A1312" t="s">
        <v>334</v>
      </c>
      <c r="B1312" t="s">
        <v>1450</v>
      </c>
      <c r="C1312" t="s">
        <v>336</v>
      </c>
      <c r="D1312" t="s">
        <v>165</v>
      </c>
      <c r="E1312" s="4">
        <f>IF(AND(Responses!$UL$1="",COUNTA(Responses!$UL$2:$UL$8000)&gt;0),"Column UL on Responses has answers but no header in row 1, so nobody (and Themefinder) knows what this column is.","")</f>
        <v>0</v>
      </c>
      <c r="F1312" s="4" t="s">
        <v>1451</v>
      </c>
    </row>
    <row r="1313" spans="1:6" ht="75" customHeight="1">
      <c r="A1313" t="s">
        <v>334</v>
      </c>
      <c r="B1313" t="s">
        <v>1452</v>
      </c>
      <c r="C1313" t="s">
        <v>336</v>
      </c>
      <c r="D1313" t="s">
        <v>165</v>
      </c>
      <c r="E1313" s="4">
        <f>IF(AND(Responses!$UM$1="",COUNTA(Responses!$UM$2:$UM$8000)&gt;0),"Column UM on Responses has answers but no header in row 1, so nobody (and Themefinder) knows what this column is.","")</f>
        <v>0</v>
      </c>
      <c r="F1313" s="4" t="s">
        <v>1453</v>
      </c>
    </row>
    <row r="1314" spans="1:6" ht="75" customHeight="1">
      <c r="A1314" t="s">
        <v>334</v>
      </c>
      <c r="B1314" t="s">
        <v>1454</v>
      </c>
      <c r="C1314" t="s">
        <v>336</v>
      </c>
      <c r="D1314" t="s">
        <v>165</v>
      </c>
      <c r="E1314" s="4">
        <f>IF(AND(Responses!$UN$1="",COUNTA(Responses!$UN$2:$UN$8000)&gt;0),"Column UN on Responses has answers but no header in row 1, so nobody (and Themefinder) knows what this column is.","")</f>
        <v>0</v>
      </c>
      <c r="F1314" s="4" t="s">
        <v>1455</v>
      </c>
    </row>
    <row r="1315" spans="1:6" ht="75" customHeight="1">
      <c r="A1315" t="s">
        <v>334</v>
      </c>
      <c r="B1315" t="s">
        <v>1456</v>
      </c>
      <c r="C1315" t="s">
        <v>336</v>
      </c>
      <c r="D1315" t="s">
        <v>165</v>
      </c>
      <c r="E1315" s="4">
        <f>IF(AND(Responses!$UO$1="",COUNTA(Responses!$UO$2:$UO$8000)&gt;0),"Column UO on Responses has answers but no header in row 1, so nobody (and Themefinder) knows what this column is.","")</f>
        <v>0</v>
      </c>
      <c r="F1315" s="4" t="s">
        <v>1457</v>
      </c>
    </row>
    <row r="1316" spans="1:6" ht="75" customHeight="1">
      <c r="A1316" t="s">
        <v>334</v>
      </c>
      <c r="B1316" t="s">
        <v>1458</v>
      </c>
      <c r="C1316" t="s">
        <v>336</v>
      </c>
      <c r="D1316" t="s">
        <v>165</v>
      </c>
      <c r="E1316" s="4">
        <f>IF(AND(Responses!$UP$1="",COUNTA(Responses!$UP$2:$UP$8000)&gt;0),"Column UP on Responses has answers but no header in row 1, so nobody (and Themefinder) knows what this column is.","")</f>
        <v>0</v>
      </c>
      <c r="F1316" s="4" t="s">
        <v>1459</v>
      </c>
    </row>
    <row r="1317" spans="1:6" ht="75" customHeight="1">
      <c r="A1317" t="s">
        <v>334</v>
      </c>
      <c r="B1317" t="s">
        <v>1460</v>
      </c>
      <c r="C1317" t="s">
        <v>336</v>
      </c>
      <c r="D1317" t="s">
        <v>165</v>
      </c>
      <c r="E1317" s="4">
        <f>IF(AND(Responses!$UQ$1="",COUNTA(Responses!$UQ$2:$UQ$8000)&gt;0),"Column UQ on Responses has answers but no header in row 1, so nobody (and Themefinder) knows what this column is.","")</f>
        <v>0</v>
      </c>
      <c r="F1317" s="4" t="s">
        <v>1461</v>
      </c>
    </row>
    <row r="1318" spans="1:6" ht="75" customHeight="1">
      <c r="A1318" t="s">
        <v>334</v>
      </c>
      <c r="B1318" t="s">
        <v>1462</v>
      </c>
      <c r="C1318" t="s">
        <v>336</v>
      </c>
      <c r="D1318" t="s">
        <v>165</v>
      </c>
      <c r="E1318" s="4">
        <f>IF(AND(Responses!$UR$1="",COUNTA(Responses!$UR$2:$UR$8000)&gt;0),"Column UR on Responses has answers but no header in row 1, so nobody (and Themefinder) knows what this column is.","")</f>
        <v>0</v>
      </c>
      <c r="F1318" s="4" t="s">
        <v>1463</v>
      </c>
    </row>
    <row r="1319" spans="1:6" ht="75" customHeight="1">
      <c r="A1319" t="s">
        <v>334</v>
      </c>
      <c r="B1319" t="s">
        <v>1464</v>
      </c>
      <c r="C1319" t="s">
        <v>336</v>
      </c>
      <c r="D1319" t="s">
        <v>165</v>
      </c>
      <c r="E1319" s="4">
        <f>IF(AND(Responses!$US$1="",COUNTA(Responses!$US$2:$US$8000)&gt;0),"Column US on Responses has answers but no header in row 1, so nobody (and Themefinder) knows what this column is.","")</f>
        <v>0</v>
      </c>
      <c r="F1319" s="4" t="s">
        <v>1465</v>
      </c>
    </row>
    <row r="1320" spans="1:6" ht="75" customHeight="1">
      <c r="A1320" t="s">
        <v>334</v>
      </c>
      <c r="B1320" t="s">
        <v>1466</v>
      </c>
      <c r="C1320" t="s">
        <v>336</v>
      </c>
      <c r="D1320" t="s">
        <v>165</v>
      </c>
      <c r="E1320" s="4">
        <f>IF(AND(Responses!$UT$1="",COUNTA(Responses!$UT$2:$UT$8000)&gt;0),"Column UT on Responses has answers but no header in row 1, so nobody (and Themefinder) knows what this column is.","")</f>
        <v>0</v>
      </c>
      <c r="F1320" s="4" t="s">
        <v>1467</v>
      </c>
    </row>
    <row r="1321" spans="1:6" ht="75" customHeight="1">
      <c r="A1321" t="s">
        <v>334</v>
      </c>
      <c r="B1321" t="s">
        <v>1468</v>
      </c>
      <c r="C1321" t="s">
        <v>336</v>
      </c>
      <c r="D1321" t="s">
        <v>165</v>
      </c>
      <c r="E1321" s="4">
        <f>IF(AND(Responses!$UU$1="",COUNTA(Responses!$UU$2:$UU$8000)&gt;0),"Column UU on Responses has answers but no header in row 1, so nobody (and Themefinder) knows what this column is.","")</f>
        <v>0</v>
      </c>
      <c r="F1321" s="4" t="s">
        <v>1469</v>
      </c>
    </row>
    <row r="1322" spans="1:6" ht="75" customHeight="1">
      <c r="A1322" t="s">
        <v>334</v>
      </c>
      <c r="B1322" t="s">
        <v>1470</v>
      </c>
      <c r="C1322" t="s">
        <v>336</v>
      </c>
      <c r="D1322" t="s">
        <v>165</v>
      </c>
      <c r="E1322" s="4">
        <f>IF(AND(Responses!$UV$1="",COUNTA(Responses!$UV$2:$UV$8000)&gt;0),"Column UV on Responses has answers but no header in row 1, so nobody (and Themefinder) knows what this column is.","")</f>
        <v>0</v>
      </c>
      <c r="F1322" s="4" t="s">
        <v>1471</v>
      </c>
    </row>
    <row r="1323" spans="1:6" ht="75" customHeight="1">
      <c r="A1323" t="s">
        <v>334</v>
      </c>
      <c r="B1323" t="s">
        <v>1472</v>
      </c>
      <c r="C1323" t="s">
        <v>336</v>
      </c>
      <c r="D1323" t="s">
        <v>165</v>
      </c>
      <c r="E1323" s="4">
        <f>IF(AND(Responses!$UW$1="",COUNTA(Responses!$UW$2:$UW$8000)&gt;0),"Column UW on Responses has answers but no header in row 1, so nobody (and Themefinder) knows what this column is.","")</f>
        <v>0</v>
      </c>
      <c r="F1323" s="4" t="s">
        <v>1473</v>
      </c>
    </row>
    <row r="1324" spans="1:6" ht="75" customHeight="1">
      <c r="A1324" t="s">
        <v>334</v>
      </c>
      <c r="B1324" t="s">
        <v>1474</v>
      </c>
      <c r="C1324" t="s">
        <v>336</v>
      </c>
      <c r="D1324" t="s">
        <v>165</v>
      </c>
      <c r="E1324" s="4">
        <f>IF(AND(Responses!$UX$1="",COUNTA(Responses!$UX$2:$UX$8000)&gt;0),"Column UX on Responses has answers but no header in row 1, so nobody (and Themefinder) knows what this column is.","")</f>
        <v>0</v>
      </c>
      <c r="F1324" s="4" t="s">
        <v>1475</v>
      </c>
    </row>
    <row r="1325" spans="1:6" ht="75" customHeight="1">
      <c r="A1325" t="s">
        <v>334</v>
      </c>
      <c r="B1325" t="s">
        <v>1476</v>
      </c>
      <c r="C1325" t="s">
        <v>336</v>
      </c>
      <c r="D1325" t="s">
        <v>165</v>
      </c>
      <c r="E1325" s="4">
        <f>IF(AND(Responses!$UY$1="",COUNTA(Responses!$UY$2:$UY$8000)&gt;0),"Column UY on Responses has answers but no header in row 1, so nobody (and Themefinder) knows what this column is.","")</f>
        <v>0</v>
      </c>
      <c r="F1325" s="4" t="s">
        <v>1477</v>
      </c>
    </row>
    <row r="1326" spans="1:6" ht="75" customHeight="1">
      <c r="A1326" t="s">
        <v>334</v>
      </c>
      <c r="B1326" t="s">
        <v>1478</v>
      </c>
      <c r="C1326" t="s">
        <v>336</v>
      </c>
      <c r="D1326" t="s">
        <v>165</v>
      </c>
      <c r="E1326" s="4">
        <f>IF(AND(Responses!$UZ$1="",COUNTA(Responses!$UZ$2:$UZ$8000)&gt;0),"Column UZ on Responses has answers but no header in row 1, so nobody (and Themefinder) knows what this column is.","")</f>
        <v>0</v>
      </c>
      <c r="F1326" s="4" t="s">
        <v>1479</v>
      </c>
    </row>
    <row r="1327" spans="1:6" ht="75" customHeight="1">
      <c r="A1327" t="s">
        <v>334</v>
      </c>
      <c r="B1327" t="s">
        <v>1480</v>
      </c>
      <c r="C1327" t="s">
        <v>336</v>
      </c>
      <c r="D1327" t="s">
        <v>165</v>
      </c>
      <c r="E1327" s="4">
        <f>IF(AND(Responses!$VA$1="",COUNTA(Responses!$VA$2:$VA$8000)&gt;0),"Column VA on Responses has answers but no header in row 1, so nobody (and Themefinder) knows what this column is.","")</f>
        <v>0</v>
      </c>
      <c r="F1327" s="4" t="s">
        <v>1481</v>
      </c>
    </row>
    <row r="1328" spans="1:6" ht="75" customHeight="1">
      <c r="A1328" t="s">
        <v>334</v>
      </c>
      <c r="B1328" t="s">
        <v>1482</v>
      </c>
      <c r="C1328" t="s">
        <v>336</v>
      </c>
      <c r="D1328" t="s">
        <v>165</v>
      </c>
      <c r="E1328" s="4">
        <f>IF(AND(Responses!$VB$1="",COUNTA(Responses!$VB$2:$VB$8000)&gt;0),"Column VB on Responses has answers but no header in row 1, so nobody (and Themefinder) knows what this column is.","")</f>
        <v>0</v>
      </c>
      <c r="F1328" s="4" t="s">
        <v>1483</v>
      </c>
    </row>
    <row r="1329" spans="1:6" ht="75" customHeight="1">
      <c r="A1329" t="s">
        <v>334</v>
      </c>
      <c r="B1329" t="s">
        <v>1484</v>
      </c>
      <c r="C1329" t="s">
        <v>336</v>
      </c>
      <c r="D1329" t="s">
        <v>165</v>
      </c>
      <c r="E1329" s="4">
        <f>IF(AND(Responses!$VC$1="",COUNTA(Responses!$VC$2:$VC$8000)&gt;0),"Column VC on Responses has answers but no header in row 1, so nobody (and Themefinder) knows what this column is.","")</f>
        <v>0</v>
      </c>
      <c r="F1329" s="4" t="s">
        <v>1485</v>
      </c>
    </row>
    <row r="1330" spans="1:6" ht="75" customHeight="1">
      <c r="A1330" t="s">
        <v>334</v>
      </c>
      <c r="B1330" t="s">
        <v>1486</v>
      </c>
      <c r="C1330" t="s">
        <v>336</v>
      </c>
      <c r="D1330" t="s">
        <v>165</v>
      </c>
      <c r="E1330" s="4">
        <f>IF(AND(Responses!$VD$1="",COUNTA(Responses!$VD$2:$VD$8000)&gt;0),"Column VD on Responses has answers but no header in row 1, so nobody (and Themefinder) knows what this column is.","")</f>
        <v>0</v>
      </c>
      <c r="F1330" s="4" t="s">
        <v>1487</v>
      </c>
    </row>
    <row r="1331" spans="1:6" ht="75" customHeight="1">
      <c r="A1331" t="s">
        <v>334</v>
      </c>
      <c r="B1331" t="s">
        <v>1488</v>
      </c>
      <c r="C1331" t="s">
        <v>336</v>
      </c>
      <c r="D1331" t="s">
        <v>165</v>
      </c>
      <c r="E1331" s="4">
        <f>IF(AND(Responses!$VE$1="",COUNTA(Responses!$VE$2:$VE$8000)&gt;0),"Column VE on Responses has answers but no header in row 1, so nobody (and Themefinder) knows what this column is.","")</f>
        <v>0</v>
      </c>
      <c r="F1331" s="4" t="s">
        <v>1489</v>
      </c>
    </row>
    <row r="1332" spans="1:6" ht="75" customHeight="1">
      <c r="A1332" t="s">
        <v>334</v>
      </c>
      <c r="B1332" t="s">
        <v>1490</v>
      </c>
      <c r="C1332" t="s">
        <v>336</v>
      </c>
      <c r="D1332" t="s">
        <v>165</v>
      </c>
      <c r="E1332" s="4">
        <f>IF(AND(Responses!$VF$1="",COUNTA(Responses!$VF$2:$VF$8000)&gt;0),"Column VF on Responses has answers but no header in row 1, so nobody (and Themefinder) knows what this column is.","")</f>
        <v>0</v>
      </c>
      <c r="F1332" s="4" t="s">
        <v>1491</v>
      </c>
    </row>
    <row r="1333" spans="1:6" ht="75" customHeight="1">
      <c r="A1333" t="s">
        <v>334</v>
      </c>
      <c r="B1333" t="s">
        <v>1492</v>
      </c>
      <c r="C1333" t="s">
        <v>336</v>
      </c>
      <c r="D1333" t="s">
        <v>165</v>
      </c>
      <c r="E1333" s="4">
        <f>IF(AND(Responses!$VG$1="",COUNTA(Responses!$VG$2:$VG$8000)&gt;0),"Column VG on Responses has answers but no header in row 1, so nobody (and Themefinder) knows what this column is.","")</f>
        <v>0</v>
      </c>
      <c r="F1333" s="4" t="s">
        <v>1493</v>
      </c>
    </row>
    <row r="1334" spans="1:6" ht="75" customHeight="1">
      <c r="A1334" t="s">
        <v>334</v>
      </c>
      <c r="B1334" t="s">
        <v>1494</v>
      </c>
      <c r="C1334" t="s">
        <v>336</v>
      </c>
      <c r="D1334" t="s">
        <v>165</v>
      </c>
      <c r="E1334" s="4">
        <f>IF(AND(Responses!$VH$1="",COUNTA(Responses!$VH$2:$VH$8000)&gt;0),"Column VH on Responses has answers but no header in row 1, so nobody (and Themefinder) knows what this column is.","")</f>
        <v>0</v>
      </c>
      <c r="F1334" s="4" t="s">
        <v>1495</v>
      </c>
    </row>
    <row r="1335" spans="1:6" ht="75" customHeight="1">
      <c r="A1335" t="s">
        <v>334</v>
      </c>
      <c r="B1335" t="s">
        <v>1496</v>
      </c>
      <c r="C1335" t="s">
        <v>336</v>
      </c>
      <c r="D1335" t="s">
        <v>165</v>
      </c>
      <c r="E1335" s="4">
        <f>IF(AND(Responses!$VI$1="",COUNTA(Responses!$VI$2:$VI$8000)&gt;0),"Column VI on Responses has answers but no header in row 1, so nobody (and Themefinder) knows what this column is.","")</f>
        <v>0</v>
      </c>
      <c r="F1335" s="4" t="s">
        <v>1497</v>
      </c>
    </row>
    <row r="1336" spans="1:6" ht="75" customHeight="1">
      <c r="A1336" t="s">
        <v>334</v>
      </c>
      <c r="B1336" t="s">
        <v>1498</v>
      </c>
      <c r="C1336" t="s">
        <v>336</v>
      </c>
      <c r="D1336" t="s">
        <v>165</v>
      </c>
      <c r="E1336" s="4">
        <f>IF(AND(Responses!$VJ$1="",COUNTA(Responses!$VJ$2:$VJ$8000)&gt;0),"Column VJ on Responses has answers but no header in row 1, so nobody (and Themefinder) knows what this column is.","")</f>
        <v>0</v>
      </c>
      <c r="F1336" s="4" t="s">
        <v>1499</v>
      </c>
    </row>
    <row r="1337" spans="1:6" ht="75" customHeight="1">
      <c r="A1337" t="s">
        <v>334</v>
      </c>
      <c r="B1337" t="s">
        <v>1500</v>
      </c>
      <c r="C1337" t="s">
        <v>336</v>
      </c>
      <c r="D1337" t="s">
        <v>165</v>
      </c>
      <c r="E1337" s="4">
        <f>IF(AND(Responses!$VK$1="",COUNTA(Responses!$VK$2:$VK$8000)&gt;0),"Column VK on Responses has answers but no header in row 1, so nobody (and Themefinder) knows what this column is.","")</f>
        <v>0</v>
      </c>
      <c r="F1337" s="4" t="s">
        <v>1501</v>
      </c>
    </row>
    <row r="1338" spans="1:6" ht="75" customHeight="1">
      <c r="A1338" t="s">
        <v>334</v>
      </c>
      <c r="B1338" t="s">
        <v>1502</v>
      </c>
      <c r="C1338" t="s">
        <v>336</v>
      </c>
      <c r="D1338" t="s">
        <v>165</v>
      </c>
      <c r="E1338" s="4">
        <f>IF(AND(Responses!$VL$1="",COUNTA(Responses!$VL$2:$VL$8000)&gt;0),"Column VL on Responses has answers but no header in row 1, so nobody (and Themefinder) knows what this column is.","")</f>
        <v>0</v>
      </c>
      <c r="F1338" s="4" t="s">
        <v>1503</v>
      </c>
    </row>
    <row r="1339" spans="1:6" ht="75" customHeight="1">
      <c r="A1339" t="s">
        <v>334</v>
      </c>
      <c r="B1339" t="s">
        <v>1504</v>
      </c>
      <c r="C1339" t="s">
        <v>336</v>
      </c>
      <c r="D1339" t="s">
        <v>165</v>
      </c>
      <c r="E1339" s="4">
        <f>IF(AND(Responses!$VM$1="",COUNTA(Responses!$VM$2:$VM$8000)&gt;0),"Column VM on Responses has answers but no header in row 1, so nobody (and Themefinder) knows what this column is.","")</f>
        <v>0</v>
      </c>
      <c r="F1339" s="4" t="s">
        <v>1505</v>
      </c>
    </row>
    <row r="1340" spans="1:6" ht="75" customHeight="1">
      <c r="A1340" t="s">
        <v>334</v>
      </c>
      <c r="B1340" t="s">
        <v>1506</v>
      </c>
      <c r="C1340" t="s">
        <v>336</v>
      </c>
      <c r="D1340" t="s">
        <v>165</v>
      </c>
      <c r="E1340" s="4">
        <f>IF(AND(Responses!$VN$1="",COUNTA(Responses!$VN$2:$VN$8000)&gt;0),"Column VN on Responses has answers but no header in row 1, so nobody (and Themefinder) knows what this column is.","")</f>
        <v>0</v>
      </c>
      <c r="F1340" s="4" t="s">
        <v>1507</v>
      </c>
    </row>
    <row r="1341" spans="1:6" ht="75" customHeight="1">
      <c r="A1341" t="s">
        <v>334</v>
      </c>
      <c r="B1341" t="s">
        <v>1508</v>
      </c>
      <c r="C1341" t="s">
        <v>336</v>
      </c>
      <c r="D1341" t="s">
        <v>165</v>
      </c>
      <c r="E1341" s="4">
        <f>IF(AND(Responses!$VO$1="",COUNTA(Responses!$VO$2:$VO$8000)&gt;0),"Column VO on Responses has answers but no header in row 1, so nobody (and Themefinder) knows what this column is.","")</f>
        <v>0</v>
      </c>
      <c r="F1341" s="4" t="s">
        <v>1509</v>
      </c>
    </row>
    <row r="1342" spans="1:6" ht="75" customHeight="1">
      <c r="A1342" t="s">
        <v>334</v>
      </c>
      <c r="B1342" t="s">
        <v>1510</v>
      </c>
      <c r="C1342" t="s">
        <v>336</v>
      </c>
      <c r="D1342" t="s">
        <v>165</v>
      </c>
      <c r="E1342" s="4">
        <f>IF(AND(Responses!$VP$1="",COUNTA(Responses!$VP$2:$VP$8000)&gt;0),"Column VP on Responses has answers but no header in row 1, so nobody (and Themefinder) knows what this column is.","")</f>
        <v>0</v>
      </c>
      <c r="F1342" s="4" t="s">
        <v>1511</v>
      </c>
    </row>
    <row r="1343" spans="1:6" ht="75" customHeight="1">
      <c r="A1343" t="s">
        <v>334</v>
      </c>
      <c r="B1343" t="s">
        <v>1512</v>
      </c>
      <c r="C1343" t="s">
        <v>336</v>
      </c>
      <c r="D1343" t="s">
        <v>165</v>
      </c>
      <c r="E1343" s="4">
        <f>IF(AND(Responses!$VQ$1="",COUNTA(Responses!$VQ$2:$VQ$8000)&gt;0),"Column VQ on Responses has answers but no header in row 1, so nobody (and Themefinder) knows what this column is.","")</f>
        <v>0</v>
      </c>
      <c r="F1343" s="4" t="s">
        <v>1513</v>
      </c>
    </row>
    <row r="1344" spans="1:6" ht="75" customHeight="1">
      <c r="A1344" t="s">
        <v>334</v>
      </c>
      <c r="B1344" t="s">
        <v>1514</v>
      </c>
      <c r="C1344" t="s">
        <v>336</v>
      </c>
      <c r="D1344" t="s">
        <v>165</v>
      </c>
      <c r="E1344" s="4">
        <f>IF(AND(Responses!$VR$1="",COUNTA(Responses!$VR$2:$VR$8000)&gt;0),"Column VR on Responses has answers but no header in row 1, so nobody (and Themefinder) knows what this column is.","")</f>
        <v>0</v>
      </c>
      <c r="F1344" s="4" t="s">
        <v>1515</v>
      </c>
    </row>
    <row r="1345" spans="1:6" ht="75" customHeight="1">
      <c r="A1345" t="s">
        <v>334</v>
      </c>
      <c r="B1345" t="s">
        <v>1516</v>
      </c>
      <c r="C1345" t="s">
        <v>336</v>
      </c>
      <c r="D1345" t="s">
        <v>165</v>
      </c>
      <c r="E1345" s="4">
        <f>IF(AND(Responses!$VS$1="",COUNTA(Responses!$VS$2:$VS$8000)&gt;0),"Column VS on Responses has answers but no header in row 1, so nobody (and Themefinder) knows what this column is.","")</f>
        <v>0</v>
      </c>
      <c r="F1345" s="4" t="s">
        <v>1517</v>
      </c>
    </row>
    <row r="1346" spans="1:6" ht="75" customHeight="1">
      <c r="A1346" t="s">
        <v>334</v>
      </c>
      <c r="B1346" t="s">
        <v>1518</v>
      </c>
      <c r="C1346" t="s">
        <v>336</v>
      </c>
      <c r="D1346" t="s">
        <v>165</v>
      </c>
      <c r="E1346" s="4">
        <f>IF(AND(Responses!$VT$1="",COUNTA(Responses!$VT$2:$VT$8000)&gt;0),"Column VT on Responses has answers but no header in row 1, so nobody (and Themefinder) knows what this column is.","")</f>
        <v>0</v>
      </c>
      <c r="F1346" s="4" t="s">
        <v>1519</v>
      </c>
    </row>
    <row r="1347" spans="1:6" ht="75" customHeight="1">
      <c r="A1347" t="s">
        <v>334</v>
      </c>
      <c r="B1347" t="s">
        <v>1520</v>
      </c>
      <c r="C1347" t="s">
        <v>336</v>
      </c>
      <c r="D1347" t="s">
        <v>165</v>
      </c>
      <c r="E1347" s="4">
        <f>IF(AND(Responses!$VU$1="",COUNTA(Responses!$VU$2:$VU$8000)&gt;0),"Column VU on Responses has answers but no header in row 1, so nobody (and Themefinder) knows what this column is.","")</f>
        <v>0</v>
      </c>
      <c r="F1347" s="4" t="s">
        <v>1521</v>
      </c>
    </row>
    <row r="1348" spans="1:6" ht="75" customHeight="1">
      <c r="A1348" t="s">
        <v>334</v>
      </c>
      <c r="B1348" t="s">
        <v>1522</v>
      </c>
      <c r="C1348" t="s">
        <v>336</v>
      </c>
      <c r="D1348" t="s">
        <v>165</v>
      </c>
      <c r="E1348" s="4">
        <f>IF(AND(Responses!$VV$1="",COUNTA(Responses!$VV$2:$VV$8000)&gt;0),"Column VV on Responses has answers but no header in row 1, so nobody (and Themefinder) knows what this column is.","")</f>
        <v>0</v>
      </c>
      <c r="F1348" s="4" t="s">
        <v>1523</v>
      </c>
    </row>
    <row r="1349" spans="1:6" ht="75" customHeight="1">
      <c r="A1349" t="s">
        <v>334</v>
      </c>
      <c r="B1349" t="s">
        <v>1524</v>
      </c>
      <c r="C1349" t="s">
        <v>336</v>
      </c>
      <c r="D1349" t="s">
        <v>165</v>
      </c>
      <c r="E1349" s="4">
        <f>IF(AND(Responses!$VW$1="",COUNTA(Responses!$VW$2:$VW$8000)&gt;0),"Column VW on Responses has answers but no header in row 1, so nobody (and Themefinder) knows what this column is.","")</f>
        <v>0</v>
      </c>
      <c r="F1349" s="4" t="s">
        <v>1525</v>
      </c>
    </row>
    <row r="1350" spans="1:6" ht="75" customHeight="1">
      <c r="A1350" t="s">
        <v>334</v>
      </c>
      <c r="B1350" t="s">
        <v>1526</v>
      </c>
      <c r="C1350" t="s">
        <v>336</v>
      </c>
      <c r="D1350" t="s">
        <v>165</v>
      </c>
      <c r="E1350" s="4">
        <f>IF(AND(Responses!$VX$1="",COUNTA(Responses!$VX$2:$VX$8000)&gt;0),"Column VX on Responses has answers but no header in row 1, so nobody (and Themefinder) knows what this column is.","")</f>
        <v>0</v>
      </c>
      <c r="F1350" s="4" t="s">
        <v>1527</v>
      </c>
    </row>
    <row r="1351" spans="1:6" ht="75" customHeight="1">
      <c r="A1351" t="s">
        <v>334</v>
      </c>
      <c r="B1351" t="s">
        <v>1528</v>
      </c>
      <c r="C1351" t="s">
        <v>336</v>
      </c>
      <c r="D1351" t="s">
        <v>165</v>
      </c>
      <c r="E1351" s="4">
        <f>IF(AND(Responses!$VY$1="",COUNTA(Responses!$VY$2:$VY$8000)&gt;0),"Column VY on Responses has answers but no header in row 1, so nobody (and Themefinder) knows what this column is.","")</f>
        <v>0</v>
      </c>
      <c r="F1351" s="4" t="s">
        <v>1529</v>
      </c>
    </row>
    <row r="1352" spans="1:6" ht="75" customHeight="1">
      <c r="A1352" t="s">
        <v>334</v>
      </c>
      <c r="B1352" t="s">
        <v>1530</v>
      </c>
      <c r="C1352" t="s">
        <v>336</v>
      </c>
      <c r="D1352" t="s">
        <v>165</v>
      </c>
      <c r="E1352" s="4">
        <f>IF(AND(Responses!$VZ$1="",COUNTA(Responses!$VZ$2:$VZ$8000)&gt;0),"Column VZ on Responses has answers but no header in row 1, so nobody (and Themefinder) knows what this column is.","")</f>
        <v>0</v>
      </c>
      <c r="F1352" s="4" t="s">
        <v>1531</v>
      </c>
    </row>
    <row r="1353" spans="1:6" ht="75" customHeight="1">
      <c r="A1353" t="s">
        <v>334</v>
      </c>
      <c r="B1353" t="s">
        <v>1532</v>
      </c>
      <c r="C1353" t="s">
        <v>336</v>
      </c>
      <c r="D1353" t="s">
        <v>165</v>
      </c>
      <c r="E1353" s="4">
        <f>IF(AND(Responses!$WA$1="",COUNTA(Responses!$WA$2:$WA$8000)&gt;0),"Column WA on Responses has answers but no header in row 1, so nobody (and Themefinder) knows what this column is.","")</f>
        <v>0</v>
      </c>
      <c r="F1353" s="4" t="s">
        <v>1533</v>
      </c>
    </row>
    <row r="1354" spans="1:6" ht="75" customHeight="1">
      <c r="A1354" t="s">
        <v>334</v>
      </c>
      <c r="B1354" t="s">
        <v>1534</v>
      </c>
      <c r="C1354" t="s">
        <v>336</v>
      </c>
      <c r="D1354" t="s">
        <v>165</v>
      </c>
      <c r="E1354" s="4">
        <f>IF(AND(Responses!$WB$1="",COUNTA(Responses!$WB$2:$WB$8000)&gt;0),"Column WB on Responses has answers but no header in row 1, so nobody (and Themefinder) knows what this column is.","")</f>
        <v>0</v>
      </c>
      <c r="F1354" s="4" t="s">
        <v>1535</v>
      </c>
    </row>
    <row r="1355" spans="1:6" ht="75" customHeight="1">
      <c r="A1355" t="s">
        <v>334</v>
      </c>
      <c r="B1355" t="s">
        <v>1536</v>
      </c>
      <c r="C1355" t="s">
        <v>336</v>
      </c>
      <c r="D1355" t="s">
        <v>165</v>
      </c>
      <c r="E1355" s="4">
        <f>IF(AND(Responses!$WC$1="",COUNTA(Responses!$WC$2:$WC$8000)&gt;0),"Column WC on Responses has answers but no header in row 1, so nobody (and Themefinder) knows what this column is.","")</f>
        <v>0</v>
      </c>
      <c r="F1355" s="4" t="s">
        <v>1537</v>
      </c>
    </row>
    <row r="1356" spans="1:6" ht="75" customHeight="1">
      <c r="A1356" t="s">
        <v>334</v>
      </c>
      <c r="B1356" t="s">
        <v>1538</v>
      </c>
      <c r="C1356" t="s">
        <v>336</v>
      </c>
      <c r="D1356" t="s">
        <v>165</v>
      </c>
      <c r="E1356" s="4">
        <f>IF(AND(Responses!$WD$1="",COUNTA(Responses!$WD$2:$WD$8000)&gt;0),"Column WD on Responses has answers but no header in row 1, so nobody (and Themefinder) knows what this column is.","")</f>
        <v>0</v>
      </c>
      <c r="F1356" s="4" t="s">
        <v>1539</v>
      </c>
    </row>
    <row r="1357" spans="1:6" ht="75" customHeight="1">
      <c r="A1357" t="s">
        <v>334</v>
      </c>
      <c r="B1357" t="s">
        <v>1540</v>
      </c>
      <c r="C1357" t="s">
        <v>336</v>
      </c>
      <c r="D1357" t="s">
        <v>165</v>
      </c>
      <c r="E1357" s="4">
        <f>IF(AND(Responses!$WE$1="",COUNTA(Responses!$WE$2:$WE$8000)&gt;0),"Column WE on Responses has answers but no header in row 1, so nobody (and Themefinder) knows what this column is.","")</f>
        <v>0</v>
      </c>
      <c r="F1357" s="4" t="s">
        <v>1541</v>
      </c>
    </row>
    <row r="1358" spans="1:6" ht="75" customHeight="1">
      <c r="A1358" t="s">
        <v>334</v>
      </c>
      <c r="B1358" t="s">
        <v>1542</v>
      </c>
      <c r="C1358" t="s">
        <v>336</v>
      </c>
      <c r="D1358" t="s">
        <v>165</v>
      </c>
      <c r="E1358" s="4">
        <f>IF(AND(Responses!$WF$1="",COUNTA(Responses!$WF$2:$WF$8000)&gt;0),"Column WF on Responses has answers but no header in row 1, so nobody (and Themefinder) knows what this column is.","")</f>
        <v>0</v>
      </c>
      <c r="F1358" s="4" t="s">
        <v>1543</v>
      </c>
    </row>
    <row r="1359" spans="1:6" ht="75" customHeight="1">
      <c r="A1359" t="s">
        <v>334</v>
      </c>
      <c r="B1359" t="s">
        <v>1544</v>
      </c>
      <c r="C1359" t="s">
        <v>336</v>
      </c>
      <c r="D1359" t="s">
        <v>165</v>
      </c>
      <c r="E1359" s="4">
        <f>IF(AND(Responses!$WG$1="",COUNTA(Responses!$WG$2:$WG$8000)&gt;0),"Column WG on Responses has answers but no header in row 1, so nobody (and Themefinder) knows what this column is.","")</f>
        <v>0</v>
      </c>
      <c r="F1359" s="4" t="s">
        <v>1545</v>
      </c>
    </row>
    <row r="1360" spans="1:6" ht="75" customHeight="1">
      <c r="A1360" t="s">
        <v>334</v>
      </c>
      <c r="B1360" t="s">
        <v>1546</v>
      </c>
      <c r="C1360" t="s">
        <v>336</v>
      </c>
      <c r="D1360" t="s">
        <v>165</v>
      </c>
      <c r="E1360" s="4">
        <f>IF(AND(Responses!$WH$1="",COUNTA(Responses!$WH$2:$WH$8000)&gt;0),"Column WH on Responses has answers but no header in row 1, so nobody (and Themefinder) knows what this column is.","")</f>
        <v>0</v>
      </c>
      <c r="F1360" s="4" t="s">
        <v>1547</v>
      </c>
    </row>
    <row r="1361" spans="1:6" ht="75" customHeight="1">
      <c r="A1361" t="s">
        <v>334</v>
      </c>
      <c r="B1361" t="s">
        <v>1548</v>
      </c>
      <c r="C1361" t="s">
        <v>336</v>
      </c>
      <c r="D1361" t="s">
        <v>165</v>
      </c>
      <c r="E1361" s="4">
        <f>IF(AND(Responses!$WI$1="",COUNTA(Responses!$WI$2:$WI$8000)&gt;0),"Column WI on Responses has answers but no header in row 1, so nobody (and Themefinder) knows what this column is.","")</f>
        <v>0</v>
      </c>
      <c r="F1361" s="4" t="s">
        <v>1549</v>
      </c>
    </row>
    <row r="1362" spans="1:6" ht="75" customHeight="1">
      <c r="A1362" t="s">
        <v>334</v>
      </c>
      <c r="B1362" t="s">
        <v>1550</v>
      </c>
      <c r="C1362" t="s">
        <v>336</v>
      </c>
      <c r="D1362" t="s">
        <v>165</v>
      </c>
      <c r="E1362" s="4">
        <f>IF(AND(Responses!$WJ$1="",COUNTA(Responses!$WJ$2:$WJ$8000)&gt;0),"Column WJ on Responses has answers but no header in row 1, so nobody (and Themefinder) knows what this column is.","")</f>
        <v>0</v>
      </c>
      <c r="F1362" s="4" t="s">
        <v>1551</v>
      </c>
    </row>
    <row r="1363" spans="1:6" ht="75" customHeight="1">
      <c r="A1363" t="s">
        <v>334</v>
      </c>
      <c r="B1363" t="s">
        <v>1552</v>
      </c>
      <c r="C1363" t="s">
        <v>336</v>
      </c>
      <c r="D1363" t="s">
        <v>165</v>
      </c>
      <c r="E1363" s="4">
        <f>IF(AND(Responses!$WK$1="",COUNTA(Responses!$WK$2:$WK$8000)&gt;0),"Column WK on Responses has answers but no header in row 1, so nobody (and Themefinder) knows what this column is.","")</f>
        <v>0</v>
      </c>
      <c r="F1363" s="4" t="s">
        <v>1553</v>
      </c>
    </row>
    <row r="1364" spans="1:6" ht="75" customHeight="1">
      <c r="A1364" t="s">
        <v>334</v>
      </c>
      <c r="B1364" t="s">
        <v>1554</v>
      </c>
      <c r="C1364" t="s">
        <v>336</v>
      </c>
      <c r="D1364" t="s">
        <v>165</v>
      </c>
      <c r="E1364" s="4">
        <f>IF(AND(Responses!$WL$1="",COUNTA(Responses!$WL$2:$WL$8000)&gt;0),"Column WL on Responses has answers but no header in row 1, so nobody (and Themefinder) knows what this column is.","")</f>
        <v>0</v>
      </c>
      <c r="F1364" s="4" t="s">
        <v>1555</v>
      </c>
    </row>
    <row r="1365" spans="1:6" ht="75" customHeight="1">
      <c r="A1365" t="s">
        <v>334</v>
      </c>
      <c r="B1365" t="s">
        <v>1556</v>
      </c>
      <c r="C1365" t="s">
        <v>336</v>
      </c>
      <c r="D1365" t="s">
        <v>165</v>
      </c>
      <c r="E1365" s="4">
        <f>IF(AND(Responses!$WM$1="",COUNTA(Responses!$WM$2:$WM$8000)&gt;0),"Column WM on Responses has answers but no header in row 1, so nobody (and Themefinder) knows what this column is.","")</f>
        <v>0</v>
      </c>
      <c r="F1365" s="4" t="s">
        <v>1557</v>
      </c>
    </row>
    <row r="1366" spans="1:6" ht="75" customHeight="1">
      <c r="A1366" t="s">
        <v>334</v>
      </c>
      <c r="B1366" t="s">
        <v>1558</v>
      </c>
      <c r="C1366" t="s">
        <v>336</v>
      </c>
      <c r="D1366" t="s">
        <v>165</v>
      </c>
      <c r="E1366" s="4">
        <f>IF(AND(Responses!$WN$1="",COUNTA(Responses!$WN$2:$WN$8000)&gt;0),"Column WN on Responses has answers but no header in row 1, so nobody (and Themefinder) knows what this column is.","")</f>
        <v>0</v>
      </c>
      <c r="F1366" s="4" t="s">
        <v>1559</v>
      </c>
    </row>
    <row r="1367" spans="1:6" ht="75" customHeight="1">
      <c r="A1367" t="s">
        <v>334</v>
      </c>
      <c r="B1367" t="s">
        <v>1560</v>
      </c>
      <c r="C1367" t="s">
        <v>336</v>
      </c>
      <c r="D1367" t="s">
        <v>165</v>
      </c>
      <c r="E1367" s="4">
        <f>IF(AND(Responses!$WO$1="",COUNTA(Responses!$WO$2:$WO$8000)&gt;0),"Column WO on Responses has answers but no header in row 1, so nobody (and Themefinder) knows what this column is.","")</f>
        <v>0</v>
      </c>
      <c r="F1367" s="4" t="s">
        <v>1561</v>
      </c>
    </row>
    <row r="1368" spans="1:6" ht="75" customHeight="1">
      <c r="A1368" t="s">
        <v>334</v>
      </c>
      <c r="B1368" t="s">
        <v>1562</v>
      </c>
      <c r="C1368" t="s">
        <v>336</v>
      </c>
      <c r="D1368" t="s">
        <v>165</v>
      </c>
      <c r="E1368" s="4">
        <f>IF(AND(Responses!$WP$1="",COUNTA(Responses!$WP$2:$WP$8000)&gt;0),"Column WP on Responses has answers but no header in row 1, so nobody (and Themefinder) knows what this column is.","")</f>
        <v>0</v>
      </c>
      <c r="F1368" s="4" t="s">
        <v>1563</v>
      </c>
    </row>
    <row r="1369" spans="1:6" ht="75" customHeight="1">
      <c r="A1369" t="s">
        <v>334</v>
      </c>
      <c r="B1369" t="s">
        <v>1564</v>
      </c>
      <c r="C1369" t="s">
        <v>336</v>
      </c>
      <c r="D1369" t="s">
        <v>165</v>
      </c>
      <c r="E1369" s="4">
        <f>IF(AND(Responses!$WQ$1="",COUNTA(Responses!$WQ$2:$WQ$8000)&gt;0),"Column WQ on Responses has answers but no header in row 1, so nobody (and Themefinder) knows what this column is.","")</f>
        <v>0</v>
      </c>
      <c r="F1369" s="4" t="s">
        <v>1565</v>
      </c>
    </row>
    <row r="1370" spans="1:6" ht="75" customHeight="1">
      <c r="A1370" t="s">
        <v>334</v>
      </c>
      <c r="B1370" t="s">
        <v>1566</v>
      </c>
      <c r="C1370" t="s">
        <v>336</v>
      </c>
      <c r="D1370" t="s">
        <v>165</v>
      </c>
      <c r="E1370" s="4">
        <f>IF(AND(Responses!$WR$1="",COUNTA(Responses!$WR$2:$WR$8000)&gt;0),"Column WR on Responses has answers but no header in row 1, so nobody (and Themefinder) knows what this column is.","")</f>
        <v>0</v>
      </c>
      <c r="F1370" s="4" t="s">
        <v>1567</v>
      </c>
    </row>
    <row r="1371" spans="1:6" ht="75" customHeight="1">
      <c r="A1371" t="s">
        <v>334</v>
      </c>
      <c r="B1371" t="s">
        <v>1568</v>
      </c>
      <c r="C1371" t="s">
        <v>336</v>
      </c>
      <c r="D1371" t="s">
        <v>165</v>
      </c>
      <c r="E1371" s="4">
        <f>IF(AND(Responses!$WS$1="",COUNTA(Responses!$WS$2:$WS$8000)&gt;0),"Column WS on Responses has answers but no header in row 1, so nobody (and Themefinder) knows what this column is.","")</f>
        <v>0</v>
      </c>
      <c r="F1371" s="4" t="s">
        <v>1569</v>
      </c>
    </row>
    <row r="1372" spans="1:6" ht="75" customHeight="1">
      <c r="A1372" t="s">
        <v>334</v>
      </c>
      <c r="B1372" t="s">
        <v>1570</v>
      </c>
      <c r="C1372" t="s">
        <v>336</v>
      </c>
      <c r="D1372" t="s">
        <v>165</v>
      </c>
      <c r="E1372" s="4">
        <f>IF(AND(Responses!$WT$1="",COUNTA(Responses!$WT$2:$WT$8000)&gt;0),"Column WT on Responses has answers but no header in row 1, so nobody (and Themefinder) knows what this column is.","")</f>
        <v>0</v>
      </c>
      <c r="F1372" s="4" t="s">
        <v>1571</v>
      </c>
    </row>
    <row r="1373" spans="1:6" ht="75" customHeight="1">
      <c r="A1373" t="s">
        <v>334</v>
      </c>
      <c r="B1373" t="s">
        <v>1572</v>
      </c>
      <c r="C1373" t="s">
        <v>336</v>
      </c>
      <c r="D1373" t="s">
        <v>165</v>
      </c>
      <c r="E1373" s="4">
        <f>IF(AND(Responses!$WU$1="",COUNTA(Responses!$WU$2:$WU$8000)&gt;0),"Column WU on Responses has answers but no header in row 1, so nobody (and Themefinder) knows what this column is.","")</f>
        <v>0</v>
      </c>
      <c r="F1373" s="4" t="s">
        <v>1573</v>
      </c>
    </row>
    <row r="1374" spans="1:6" ht="75" customHeight="1">
      <c r="A1374" t="s">
        <v>334</v>
      </c>
      <c r="B1374" t="s">
        <v>1574</v>
      </c>
      <c r="C1374" t="s">
        <v>336</v>
      </c>
      <c r="D1374" t="s">
        <v>165</v>
      </c>
      <c r="E1374" s="4">
        <f>IF(AND(Responses!$WV$1="",COUNTA(Responses!$WV$2:$WV$8000)&gt;0),"Column WV on Responses has answers but no header in row 1, so nobody (and Themefinder) knows what this column is.","")</f>
        <v>0</v>
      </c>
      <c r="F1374" s="4" t="s">
        <v>1575</v>
      </c>
    </row>
    <row r="1375" spans="1:6" ht="75" customHeight="1">
      <c r="A1375" t="s">
        <v>334</v>
      </c>
      <c r="B1375" t="s">
        <v>1576</v>
      </c>
      <c r="C1375" t="s">
        <v>336</v>
      </c>
      <c r="D1375" t="s">
        <v>165</v>
      </c>
      <c r="E1375" s="4">
        <f>IF(AND(Responses!$WW$1="",COUNTA(Responses!$WW$2:$WW$8000)&gt;0),"Column WW on Responses has answers but no header in row 1, so nobody (and Themefinder) knows what this column is.","")</f>
        <v>0</v>
      </c>
      <c r="F1375" s="4" t="s">
        <v>1577</v>
      </c>
    </row>
    <row r="1376" spans="1:6" ht="75" customHeight="1">
      <c r="A1376" t="s">
        <v>334</v>
      </c>
      <c r="B1376" t="s">
        <v>1578</v>
      </c>
      <c r="C1376" t="s">
        <v>336</v>
      </c>
      <c r="D1376" t="s">
        <v>165</v>
      </c>
      <c r="E1376" s="4">
        <f>IF(AND(Responses!$WX$1="",COUNTA(Responses!$WX$2:$WX$8000)&gt;0),"Column WX on Responses has answers but no header in row 1, so nobody (and Themefinder) knows what this column is.","")</f>
        <v>0</v>
      </c>
      <c r="F1376" s="4" t="s">
        <v>1579</v>
      </c>
    </row>
    <row r="1377" spans="1:6" ht="75" customHeight="1">
      <c r="A1377" t="s">
        <v>334</v>
      </c>
      <c r="B1377" t="s">
        <v>1580</v>
      </c>
      <c r="C1377" t="s">
        <v>336</v>
      </c>
      <c r="D1377" t="s">
        <v>165</v>
      </c>
      <c r="E1377" s="4">
        <f>IF(AND(Responses!$WY$1="",COUNTA(Responses!$WY$2:$WY$8000)&gt;0),"Column WY on Responses has answers but no header in row 1, so nobody (and Themefinder) knows what this column is.","")</f>
        <v>0</v>
      </c>
      <c r="F1377" s="4" t="s">
        <v>1581</v>
      </c>
    </row>
    <row r="1378" spans="1:6" ht="75" customHeight="1">
      <c r="A1378" t="s">
        <v>334</v>
      </c>
      <c r="B1378" t="s">
        <v>1582</v>
      </c>
      <c r="C1378" t="s">
        <v>336</v>
      </c>
      <c r="D1378" t="s">
        <v>165</v>
      </c>
      <c r="E1378" s="4">
        <f>IF(AND(Responses!$WZ$1="",COUNTA(Responses!$WZ$2:$WZ$8000)&gt;0),"Column WZ on Responses has answers but no header in row 1, so nobody (and Themefinder) knows what this column is.","")</f>
        <v>0</v>
      </c>
      <c r="F1378" s="4" t="s">
        <v>1583</v>
      </c>
    </row>
    <row r="1379" spans="1:6" ht="75" customHeight="1">
      <c r="A1379" t="s">
        <v>334</v>
      </c>
      <c r="B1379" t="s">
        <v>1584</v>
      </c>
      <c r="C1379" t="s">
        <v>336</v>
      </c>
      <c r="D1379" t="s">
        <v>165</v>
      </c>
      <c r="E1379" s="4">
        <f>IF(AND(Responses!$XA$1="",COUNTA(Responses!$XA$2:$XA$8000)&gt;0),"Column XA on Responses has answers but no header in row 1, so nobody (and Themefinder) knows what this column is.","")</f>
        <v>0</v>
      </c>
      <c r="F1379" s="4" t="s">
        <v>1585</v>
      </c>
    </row>
    <row r="1380" spans="1:6" ht="75" customHeight="1">
      <c r="A1380" t="s">
        <v>334</v>
      </c>
      <c r="B1380" t="s">
        <v>1586</v>
      </c>
      <c r="C1380" t="s">
        <v>336</v>
      </c>
      <c r="D1380" t="s">
        <v>165</v>
      </c>
      <c r="E1380" s="4">
        <f>IF(AND(Responses!$XB$1="",COUNTA(Responses!$XB$2:$XB$8000)&gt;0),"Column XB on Responses has answers but no header in row 1, so nobody (and Themefinder) knows what this column is.","")</f>
        <v>0</v>
      </c>
      <c r="F1380" s="4" t="s">
        <v>1587</v>
      </c>
    </row>
    <row r="1381" spans="1:6" ht="75" customHeight="1">
      <c r="A1381" t="s">
        <v>334</v>
      </c>
      <c r="B1381" t="s">
        <v>1588</v>
      </c>
      <c r="C1381" t="s">
        <v>336</v>
      </c>
      <c r="D1381" t="s">
        <v>165</v>
      </c>
      <c r="E1381" s="4">
        <f>IF(AND(Responses!$XC$1="",COUNTA(Responses!$XC$2:$XC$8000)&gt;0),"Column XC on Responses has answers but no header in row 1, so nobody (and Themefinder) knows what this column is.","")</f>
        <v>0</v>
      </c>
      <c r="F1381" s="4" t="s">
        <v>1589</v>
      </c>
    </row>
    <row r="1382" spans="1:6" ht="75" customHeight="1">
      <c r="A1382" t="s">
        <v>334</v>
      </c>
      <c r="B1382" t="s">
        <v>1590</v>
      </c>
      <c r="C1382" t="s">
        <v>336</v>
      </c>
      <c r="D1382" t="s">
        <v>165</v>
      </c>
      <c r="E1382" s="4">
        <f>IF(AND(Responses!$XD$1="",COUNTA(Responses!$XD$2:$XD$8000)&gt;0),"Column XD on Responses has answers but no header in row 1, so nobody (and Themefinder) knows what this column is.","")</f>
        <v>0</v>
      </c>
      <c r="F1382" s="4" t="s">
        <v>1591</v>
      </c>
    </row>
    <row r="1383" spans="1:6" ht="75" customHeight="1">
      <c r="A1383" t="s">
        <v>334</v>
      </c>
      <c r="B1383" t="s">
        <v>1592</v>
      </c>
      <c r="C1383" t="s">
        <v>336</v>
      </c>
      <c r="D1383" t="s">
        <v>165</v>
      </c>
      <c r="E1383" s="4">
        <f>IF(AND(Responses!$XE$1="",COUNTA(Responses!$XE$2:$XE$8000)&gt;0),"Column XE on Responses has answers but no header in row 1, so nobody (and Themefinder) knows what this column is.","")</f>
        <v>0</v>
      </c>
      <c r="F1383" s="4" t="s">
        <v>1593</v>
      </c>
    </row>
    <row r="1384" spans="1:6" ht="75" customHeight="1">
      <c r="A1384" t="s">
        <v>334</v>
      </c>
      <c r="B1384" t="s">
        <v>1594</v>
      </c>
      <c r="C1384" t="s">
        <v>336</v>
      </c>
      <c r="D1384" t="s">
        <v>165</v>
      </c>
      <c r="E1384" s="4">
        <f>IF(AND(Responses!$XF$1="",COUNTA(Responses!$XF$2:$XF$8000)&gt;0),"Column XF on Responses has answers but no header in row 1, so nobody (and Themefinder) knows what this column is.","")</f>
        <v>0</v>
      </c>
      <c r="F1384" s="4" t="s">
        <v>1595</v>
      </c>
    </row>
    <row r="1385" spans="1:6" ht="75" customHeight="1">
      <c r="A1385" t="s">
        <v>334</v>
      </c>
      <c r="B1385" t="s">
        <v>1596</v>
      </c>
      <c r="C1385" t="s">
        <v>336</v>
      </c>
      <c r="D1385" t="s">
        <v>165</v>
      </c>
      <c r="E1385" s="4">
        <f>IF(AND(Responses!$XG$1="",COUNTA(Responses!$XG$2:$XG$8000)&gt;0),"Column XG on Responses has answers but no header in row 1, so nobody (and Themefinder) knows what this column is.","")</f>
        <v>0</v>
      </c>
      <c r="F1385" s="4" t="s">
        <v>1597</v>
      </c>
    </row>
    <row r="1386" spans="1:6" ht="75" customHeight="1">
      <c r="A1386" t="s">
        <v>334</v>
      </c>
      <c r="B1386" t="s">
        <v>1598</v>
      </c>
      <c r="C1386" t="s">
        <v>336</v>
      </c>
      <c r="D1386" t="s">
        <v>165</v>
      </c>
      <c r="E1386" s="4">
        <f>IF(AND(Responses!$XH$1="",COUNTA(Responses!$XH$2:$XH$8000)&gt;0),"Column XH on Responses has answers but no header in row 1, so nobody (and Themefinder) knows what this column is.","")</f>
        <v>0</v>
      </c>
      <c r="F1386" s="4" t="s">
        <v>1599</v>
      </c>
    </row>
    <row r="1387" spans="1:6" ht="75" customHeight="1">
      <c r="A1387" t="s">
        <v>334</v>
      </c>
      <c r="B1387" t="s">
        <v>1600</v>
      </c>
      <c r="C1387" t="s">
        <v>336</v>
      </c>
      <c r="D1387" t="s">
        <v>165</v>
      </c>
      <c r="E1387" s="4">
        <f>IF(AND(Responses!$XI$1="",COUNTA(Responses!$XI$2:$XI$8000)&gt;0),"Column XI on Responses has answers but no header in row 1, so nobody (and Themefinder) knows what this column is.","")</f>
        <v>0</v>
      </c>
      <c r="F1387" s="4" t="s">
        <v>1601</v>
      </c>
    </row>
    <row r="1388" spans="1:6" ht="75" customHeight="1">
      <c r="A1388" t="s">
        <v>334</v>
      </c>
      <c r="B1388" t="s">
        <v>1602</v>
      </c>
      <c r="C1388" t="s">
        <v>336</v>
      </c>
      <c r="D1388" t="s">
        <v>165</v>
      </c>
      <c r="E1388" s="4">
        <f>IF(AND(Responses!$XJ$1="",COUNTA(Responses!$XJ$2:$XJ$8000)&gt;0),"Column XJ on Responses has answers but no header in row 1, so nobody (and Themefinder) knows what this column is.","")</f>
        <v>0</v>
      </c>
      <c r="F1388" s="4" t="s">
        <v>1603</v>
      </c>
    </row>
    <row r="1389" spans="1:6" ht="75" customHeight="1">
      <c r="A1389" t="s">
        <v>334</v>
      </c>
      <c r="B1389" t="s">
        <v>1604</v>
      </c>
      <c r="C1389" t="s">
        <v>336</v>
      </c>
      <c r="D1389" t="s">
        <v>165</v>
      </c>
      <c r="E1389" s="4">
        <f>IF(AND(Responses!$XK$1="",COUNTA(Responses!$XK$2:$XK$8000)&gt;0),"Column XK on Responses has answers but no header in row 1, so nobody (and Themefinder) knows what this column is.","")</f>
        <v>0</v>
      </c>
      <c r="F1389" s="4" t="s">
        <v>1605</v>
      </c>
    </row>
    <row r="1390" spans="1:6" ht="75" customHeight="1">
      <c r="A1390" t="s">
        <v>334</v>
      </c>
      <c r="B1390" t="s">
        <v>1606</v>
      </c>
      <c r="C1390" t="s">
        <v>336</v>
      </c>
      <c r="D1390" t="s">
        <v>165</v>
      </c>
      <c r="E1390" s="4">
        <f>IF(AND(Responses!$XL$1="",COUNTA(Responses!$XL$2:$XL$8000)&gt;0),"Column XL on Responses has answers but no header in row 1, so nobody (and Themefinder) knows what this column is.","")</f>
        <v>0</v>
      </c>
      <c r="F1390" s="4" t="s">
        <v>1607</v>
      </c>
    </row>
    <row r="1391" spans="1:6" ht="75" customHeight="1">
      <c r="A1391" t="s">
        <v>334</v>
      </c>
      <c r="B1391" t="s">
        <v>1608</v>
      </c>
      <c r="C1391" t="s">
        <v>336</v>
      </c>
      <c r="D1391" t="s">
        <v>165</v>
      </c>
      <c r="E1391" s="4">
        <f>IF(AND(Responses!$XM$1="",COUNTA(Responses!$XM$2:$XM$8000)&gt;0),"Column XM on Responses has answers but no header in row 1, so nobody (and Themefinder) knows what this column is.","")</f>
        <v>0</v>
      </c>
      <c r="F1391" s="4" t="s">
        <v>1609</v>
      </c>
    </row>
    <row r="1392" spans="1:6" ht="75" customHeight="1">
      <c r="A1392" t="s">
        <v>334</v>
      </c>
      <c r="B1392" t="s">
        <v>1610</v>
      </c>
      <c r="C1392" t="s">
        <v>336</v>
      </c>
      <c r="D1392" t="s">
        <v>165</v>
      </c>
      <c r="E1392" s="4">
        <f>IF(AND(Responses!$XN$1="",COUNTA(Responses!$XN$2:$XN$8000)&gt;0),"Column XN on Responses has answers but no header in row 1, so nobody (and Themefinder) knows what this column is.","")</f>
        <v>0</v>
      </c>
      <c r="F1392" s="4" t="s">
        <v>1611</v>
      </c>
    </row>
    <row r="1393" spans="1:6" ht="75" customHeight="1">
      <c r="A1393" t="s">
        <v>334</v>
      </c>
      <c r="B1393" t="s">
        <v>1612</v>
      </c>
      <c r="C1393" t="s">
        <v>336</v>
      </c>
      <c r="D1393" t="s">
        <v>165</v>
      </c>
      <c r="E1393" s="4">
        <f>IF(AND(Responses!$XO$1="",COUNTA(Responses!$XO$2:$XO$8000)&gt;0),"Column XO on Responses has answers but no header in row 1, so nobody (and Themefinder) knows what this column is.","")</f>
        <v>0</v>
      </c>
      <c r="F1393" s="4" t="s">
        <v>1613</v>
      </c>
    </row>
    <row r="1394" spans="1:6" ht="75" customHeight="1">
      <c r="A1394" t="s">
        <v>334</v>
      </c>
      <c r="B1394" t="s">
        <v>1614</v>
      </c>
      <c r="C1394" t="s">
        <v>336</v>
      </c>
      <c r="D1394" t="s">
        <v>165</v>
      </c>
      <c r="E1394" s="4">
        <f>IF(AND(Responses!$XP$1="",COUNTA(Responses!$XP$2:$XP$8000)&gt;0),"Column XP on Responses has answers but no header in row 1, so nobody (and Themefinder) knows what this column is.","")</f>
        <v>0</v>
      </c>
      <c r="F1394" s="4" t="s">
        <v>1615</v>
      </c>
    </row>
    <row r="1395" spans="1:6" ht="75" customHeight="1">
      <c r="A1395" t="s">
        <v>334</v>
      </c>
      <c r="B1395" t="s">
        <v>1616</v>
      </c>
      <c r="C1395" t="s">
        <v>336</v>
      </c>
      <c r="D1395" t="s">
        <v>165</v>
      </c>
      <c r="E1395" s="4">
        <f>IF(AND(Responses!$XQ$1="",COUNTA(Responses!$XQ$2:$XQ$8000)&gt;0),"Column XQ on Responses has answers but no header in row 1, so nobody (and Themefinder) knows what this column is.","")</f>
        <v>0</v>
      </c>
      <c r="F1395" s="4" t="s">
        <v>1617</v>
      </c>
    </row>
    <row r="1396" spans="1:6" ht="75" customHeight="1">
      <c r="A1396" t="s">
        <v>334</v>
      </c>
      <c r="B1396" t="s">
        <v>1618</v>
      </c>
      <c r="C1396" t="s">
        <v>336</v>
      </c>
      <c r="D1396" t="s">
        <v>165</v>
      </c>
      <c r="E1396" s="4">
        <f>IF(AND(Responses!$XR$1="",COUNTA(Responses!$XR$2:$XR$8000)&gt;0),"Column XR on Responses has answers but no header in row 1, so nobody (and Themefinder) knows what this column is.","")</f>
        <v>0</v>
      </c>
      <c r="F1396" s="4" t="s">
        <v>1619</v>
      </c>
    </row>
    <row r="1397" spans="1:6" ht="75" customHeight="1">
      <c r="A1397" t="s">
        <v>334</v>
      </c>
      <c r="B1397" t="s">
        <v>1620</v>
      </c>
      <c r="C1397" t="s">
        <v>336</v>
      </c>
      <c r="D1397" t="s">
        <v>165</v>
      </c>
      <c r="E1397" s="4">
        <f>IF(AND(Responses!$XS$1="",COUNTA(Responses!$XS$2:$XS$8000)&gt;0),"Column XS on Responses has answers but no header in row 1, so nobody (and Themefinder) knows what this column is.","")</f>
        <v>0</v>
      </c>
      <c r="F1397" s="4" t="s">
        <v>1621</v>
      </c>
    </row>
    <row r="1398" spans="1:6" ht="75" customHeight="1">
      <c r="A1398" t="s">
        <v>334</v>
      </c>
      <c r="B1398" t="s">
        <v>1622</v>
      </c>
      <c r="C1398" t="s">
        <v>336</v>
      </c>
      <c r="D1398" t="s">
        <v>165</v>
      </c>
      <c r="E1398" s="4">
        <f>IF(AND(Responses!$XT$1="",COUNTA(Responses!$XT$2:$XT$8000)&gt;0),"Column XT on Responses has answers but no header in row 1, so nobody (and Themefinder) knows what this column is.","")</f>
        <v>0</v>
      </c>
      <c r="F1398" s="4" t="s">
        <v>1623</v>
      </c>
    </row>
    <row r="1399" spans="1:6" ht="75" customHeight="1">
      <c r="A1399" t="s">
        <v>334</v>
      </c>
      <c r="B1399" t="s">
        <v>1624</v>
      </c>
      <c r="C1399" t="s">
        <v>336</v>
      </c>
      <c r="D1399" t="s">
        <v>165</v>
      </c>
      <c r="E1399" s="4">
        <f>IF(AND(Responses!$XU$1="",COUNTA(Responses!$XU$2:$XU$8000)&gt;0),"Column XU on Responses has answers but no header in row 1, so nobody (and Themefinder) knows what this column is.","")</f>
        <v>0</v>
      </c>
      <c r="F1399" s="4" t="s">
        <v>1625</v>
      </c>
    </row>
    <row r="1400" spans="1:6" ht="75" customHeight="1">
      <c r="A1400" t="s">
        <v>334</v>
      </c>
      <c r="B1400" t="s">
        <v>1626</v>
      </c>
      <c r="C1400" t="s">
        <v>336</v>
      </c>
      <c r="D1400" t="s">
        <v>165</v>
      </c>
      <c r="E1400" s="4">
        <f>IF(AND(Responses!$XV$1="",COUNTA(Responses!$XV$2:$XV$8000)&gt;0),"Column XV on Responses has answers but no header in row 1, so nobody (and Themefinder) knows what this column is.","")</f>
        <v>0</v>
      </c>
      <c r="F1400" s="4" t="s">
        <v>1627</v>
      </c>
    </row>
    <row r="1401" spans="1:6" ht="75" customHeight="1">
      <c r="A1401" t="s">
        <v>334</v>
      </c>
      <c r="B1401" t="s">
        <v>1628</v>
      </c>
      <c r="C1401" t="s">
        <v>336</v>
      </c>
      <c r="D1401" t="s">
        <v>165</v>
      </c>
      <c r="E1401" s="4">
        <f>IF(AND(Responses!$XW$1="",COUNTA(Responses!$XW$2:$XW$8000)&gt;0),"Column XW on Responses has answers but no header in row 1, so nobody (and Themefinder) knows what this column is.","")</f>
        <v>0</v>
      </c>
      <c r="F1401" s="4" t="s">
        <v>1629</v>
      </c>
    </row>
    <row r="1402" spans="1:6" ht="75" customHeight="1">
      <c r="A1402" t="s">
        <v>334</v>
      </c>
      <c r="B1402" t="s">
        <v>1630</v>
      </c>
      <c r="C1402" t="s">
        <v>336</v>
      </c>
      <c r="D1402" t="s">
        <v>165</v>
      </c>
      <c r="E1402" s="4">
        <f>IF(AND(Responses!$XX$1="",COUNTA(Responses!$XX$2:$XX$8000)&gt;0),"Column XX on Responses has answers but no header in row 1, so nobody (and Themefinder) knows what this column is.","")</f>
        <v>0</v>
      </c>
      <c r="F1402" s="4" t="s">
        <v>1631</v>
      </c>
    </row>
    <row r="1403" spans="1:6" ht="75" customHeight="1">
      <c r="A1403" t="s">
        <v>334</v>
      </c>
      <c r="B1403" t="s">
        <v>1632</v>
      </c>
      <c r="C1403" t="s">
        <v>336</v>
      </c>
      <c r="D1403" t="s">
        <v>165</v>
      </c>
      <c r="E1403" s="4">
        <f>IF(AND(Responses!$XY$1="",COUNTA(Responses!$XY$2:$XY$8000)&gt;0),"Column XY on Responses has answers but no header in row 1, so nobody (and Themefinder) knows what this column is.","")</f>
        <v>0</v>
      </c>
      <c r="F1403" s="4" t="s">
        <v>1633</v>
      </c>
    </row>
    <row r="1404" spans="1:6" ht="75" customHeight="1">
      <c r="A1404" t="s">
        <v>334</v>
      </c>
      <c r="B1404" t="s">
        <v>1634</v>
      </c>
      <c r="C1404" t="s">
        <v>336</v>
      </c>
      <c r="D1404" t="s">
        <v>165</v>
      </c>
      <c r="E1404" s="4">
        <f>IF(AND(Responses!$XZ$1="",COUNTA(Responses!$XZ$2:$XZ$8000)&gt;0),"Column XZ on Responses has answers but no header in row 1, so nobody (and Themefinder) knows what this column is.","")</f>
        <v>0</v>
      </c>
      <c r="F1404" s="4" t="s">
        <v>1635</v>
      </c>
    </row>
    <row r="1405" spans="1:6" ht="75" customHeight="1">
      <c r="A1405" t="s">
        <v>334</v>
      </c>
      <c r="B1405" t="s">
        <v>1636</v>
      </c>
      <c r="C1405" t="s">
        <v>336</v>
      </c>
      <c r="D1405" t="s">
        <v>165</v>
      </c>
      <c r="E1405" s="4">
        <f>IF(AND(Responses!$YA$1="",COUNTA(Responses!$YA$2:$YA$8000)&gt;0),"Column YA on Responses has answers but no header in row 1, so nobody (and Themefinder) knows what this column is.","")</f>
        <v>0</v>
      </c>
      <c r="F1405" s="4" t="s">
        <v>1637</v>
      </c>
    </row>
    <row r="1406" spans="1:6" ht="75" customHeight="1">
      <c r="A1406" t="s">
        <v>334</v>
      </c>
      <c r="B1406" t="s">
        <v>1638</v>
      </c>
      <c r="C1406" t="s">
        <v>336</v>
      </c>
      <c r="D1406" t="s">
        <v>165</v>
      </c>
      <c r="E1406" s="4">
        <f>IF(AND(Responses!$YB$1="",COUNTA(Responses!$YB$2:$YB$8000)&gt;0),"Column YB on Responses has answers but no header in row 1, so nobody (and Themefinder) knows what this column is.","")</f>
        <v>0</v>
      </c>
      <c r="F1406" s="4" t="s">
        <v>1639</v>
      </c>
    </row>
    <row r="1407" spans="1:6" ht="75" customHeight="1">
      <c r="A1407" t="s">
        <v>334</v>
      </c>
      <c r="B1407" t="s">
        <v>1640</v>
      </c>
      <c r="C1407" t="s">
        <v>336</v>
      </c>
      <c r="D1407" t="s">
        <v>165</v>
      </c>
      <c r="E1407" s="4">
        <f>IF(AND(Responses!$YC$1="",COUNTA(Responses!$YC$2:$YC$8000)&gt;0),"Column YC on Responses has answers but no header in row 1, so nobody (and Themefinder) knows what this column is.","")</f>
        <v>0</v>
      </c>
      <c r="F1407" s="4" t="s">
        <v>1641</v>
      </c>
    </row>
    <row r="1408" spans="1:6" ht="75" customHeight="1">
      <c r="A1408" t="s">
        <v>334</v>
      </c>
      <c r="B1408" t="s">
        <v>1642</v>
      </c>
      <c r="C1408" t="s">
        <v>336</v>
      </c>
      <c r="D1408" t="s">
        <v>165</v>
      </c>
      <c r="E1408" s="4">
        <f>IF(AND(Responses!$YD$1="",COUNTA(Responses!$YD$2:$YD$8000)&gt;0),"Column YD on Responses has answers but no header in row 1, so nobody (and Themefinder) knows what this column is.","")</f>
        <v>0</v>
      </c>
      <c r="F1408" s="4" t="s">
        <v>1643</v>
      </c>
    </row>
    <row r="1409" spans="1:6" ht="75" customHeight="1">
      <c r="A1409" t="s">
        <v>334</v>
      </c>
      <c r="B1409" t="s">
        <v>1644</v>
      </c>
      <c r="C1409" t="s">
        <v>336</v>
      </c>
      <c r="D1409" t="s">
        <v>165</v>
      </c>
      <c r="E1409" s="4">
        <f>IF(AND(Responses!$YE$1="",COUNTA(Responses!$YE$2:$YE$8000)&gt;0),"Column YE on Responses has answers but no header in row 1, so nobody (and Themefinder) knows what this column is.","")</f>
        <v>0</v>
      </c>
      <c r="F1409" s="4" t="s">
        <v>1645</v>
      </c>
    </row>
    <row r="1410" spans="1:6" ht="75" customHeight="1">
      <c r="A1410" t="s">
        <v>334</v>
      </c>
      <c r="B1410" t="s">
        <v>1646</v>
      </c>
      <c r="C1410" t="s">
        <v>336</v>
      </c>
      <c r="D1410" t="s">
        <v>165</v>
      </c>
      <c r="E1410" s="4">
        <f>IF(AND(Responses!$YF$1="",COUNTA(Responses!$YF$2:$YF$8000)&gt;0),"Column YF on Responses has answers but no header in row 1, so nobody (and Themefinder) knows what this column is.","")</f>
        <v>0</v>
      </c>
      <c r="F1410" s="4" t="s">
        <v>1647</v>
      </c>
    </row>
    <row r="1411" spans="1:6" ht="75" customHeight="1">
      <c r="A1411" t="s">
        <v>334</v>
      </c>
      <c r="B1411" t="s">
        <v>1648</v>
      </c>
      <c r="C1411" t="s">
        <v>336</v>
      </c>
      <c r="D1411" t="s">
        <v>165</v>
      </c>
      <c r="E1411" s="4">
        <f>IF(AND(Responses!$YG$1="",COUNTA(Responses!$YG$2:$YG$8000)&gt;0),"Column YG on Responses has answers but no header in row 1, so nobody (and Themefinder) knows what this column is.","")</f>
        <v>0</v>
      </c>
      <c r="F1411" s="4" t="s">
        <v>1649</v>
      </c>
    </row>
    <row r="1412" spans="1:6" ht="75" customHeight="1">
      <c r="A1412" t="s">
        <v>334</v>
      </c>
      <c r="B1412" t="s">
        <v>1650</v>
      </c>
      <c r="C1412" t="s">
        <v>336</v>
      </c>
      <c r="D1412" t="s">
        <v>165</v>
      </c>
      <c r="E1412" s="4">
        <f>IF(AND(Responses!$YH$1="",COUNTA(Responses!$YH$2:$YH$8000)&gt;0),"Column YH on Responses has answers but no header in row 1, so nobody (and Themefinder) knows what this column is.","")</f>
        <v>0</v>
      </c>
      <c r="F1412" s="4" t="s">
        <v>1651</v>
      </c>
    </row>
    <row r="1413" spans="1:6" ht="75" customHeight="1">
      <c r="A1413" t="s">
        <v>334</v>
      </c>
      <c r="B1413" t="s">
        <v>1652</v>
      </c>
      <c r="C1413" t="s">
        <v>336</v>
      </c>
      <c r="D1413" t="s">
        <v>165</v>
      </c>
      <c r="E1413" s="4">
        <f>IF(AND(Responses!$YI$1="",COUNTA(Responses!$YI$2:$YI$8000)&gt;0),"Column YI on Responses has answers but no header in row 1, so nobody (and Themefinder) knows what this column is.","")</f>
        <v>0</v>
      </c>
      <c r="F1413" s="4" t="s">
        <v>1653</v>
      </c>
    </row>
    <row r="1414" spans="1:6" ht="75" customHeight="1">
      <c r="A1414" t="s">
        <v>334</v>
      </c>
      <c r="B1414" t="s">
        <v>1654</v>
      </c>
      <c r="C1414" t="s">
        <v>336</v>
      </c>
      <c r="D1414" t="s">
        <v>165</v>
      </c>
      <c r="E1414" s="4">
        <f>IF(AND(Responses!$YJ$1="",COUNTA(Responses!$YJ$2:$YJ$8000)&gt;0),"Column YJ on Responses has answers but no header in row 1, so nobody (and Themefinder) knows what this column is.","")</f>
        <v>0</v>
      </c>
      <c r="F1414" s="4" t="s">
        <v>1655</v>
      </c>
    </row>
    <row r="1415" spans="1:6" ht="75" customHeight="1">
      <c r="A1415" t="s">
        <v>334</v>
      </c>
      <c r="B1415" t="s">
        <v>1656</v>
      </c>
      <c r="C1415" t="s">
        <v>336</v>
      </c>
      <c r="D1415" t="s">
        <v>165</v>
      </c>
      <c r="E1415" s="4">
        <f>IF(AND(Responses!$YK$1="",COUNTA(Responses!$YK$2:$YK$8000)&gt;0),"Column YK on Responses has answers but no header in row 1, so nobody (and Themefinder) knows what this column is.","")</f>
        <v>0</v>
      </c>
      <c r="F1415" s="4" t="s">
        <v>1657</v>
      </c>
    </row>
    <row r="1416" spans="1:6" ht="75" customHeight="1">
      <c r="A1416" t="s">
        <v>334</v>
      </c>
      <c r="B1416" t="s">
        <v>1658</v>
      </c>
      <c r="C1416" t="s">
        <v>336</v>
      </c>
      <c r="D1416" t="s">
        <v>165</v>
      </c>
      <c r="E1416" s="4">
        <f>IF(AND(Responses!$YL$1="",COUNTA(Responses!$YL$2:$YL$8000)&gt;0),"Column YL on Responses has answers but no header in row 1, so nobody (and Themefinder) knows what this column is.","")</f>
        <v>0</v>
      </c>
      <c r="F1416" s="4" t="s">
        <v>1659</v>
      </c>
    </row>
    <row r="1417" spans="1:6" ht="75" customHeight="1">
      <c r="A1417" t="s">
        <v>334</v>
      </c>
      <c r="B1417" t="s">
        <v>1660</v>
      </c>
      <c r="C1417" t="s">
        <v>336</v>
      </c>
      <c r="D1417" t="s">
        <v>165</v>
      </c>
      <c r="E1417" s="4">
        <f>IF(AND(Responses!$YM$1="",COUNTA(Responses!$YM$2:$YM$8000)&gt;0),"Column YM on Responses has answers but no header in row 1, so nobody (and Themefinder) knows what this column is.","")</f>
        <v>0</v>
      </c>
      <c r="F1417" s="4" t="s">
        <v>1661</v>
      </c>
    </row>
    <row r="1418" spans="1:6" ht="75" customHeight="1">
      <c r="A1418" t="s">
        <v>334</v>
      </c>
      <c r="B1418" t="s">
        <v>1662</v>
      </c>
      <c r="C1418" t="s">
        <v>336</v>
      </c>
      <c r="D1418" t="s">
        <v>165</v>
      </c>
      <c r="E1418" s="4">
        <f>IF(AND(Responses!$YN$1="",COUNTA(Responses!$YN$2:$YN$8000)&gt;0),"Column YN on Responses has answers but no header in row 1, so nobody (and Themefinder) knows what this column is.","")</f>
        <v>0</v>
      </c>
      <c r="F1418" s="4" t="s">
        <v>1663</v>
      </c>
    </row>
    <row r="1419" spans="1:6" ht="75" customHeight="1">
      <c r="A1419" t="s">
        <v>334</v>
      </c>
      <c r="B1419" t="s">
        <v>1664</v>
      </c>
      <c r="C1419" t="s">
        <v>336</v>
      </c>
      <c r="D1419" t="s">
        <v>165</v>
      </c>
      <c r="E1419" s="4">
        <f>IF(AND(Responses!$YO$1="",COUNTA(Responses!$YO$2:$YO$8000)&gt;0),"Column YO on Responses has answers but no header in row 1, so nobody (and Themefinder) knows what this column is.","")</f>
        <v>0</v>
      </c>
      <c r="F1419" s="4" t="s">
        <v>1665</v>
      </c>
    </row>
    <row r="1420" spans="1:6" ht="75" customHeight="1">
      <c r="A1420" t="s">
        <v>334</v>
      </c>
      <c r="B1420" t="s">
        <v>1666</v>
      </c>
      <c r="C1420" t="s">
        <v>336</v>
      </c>
      <c r="D1420" t="s">
        <v>165</v>
      </c>
      <c r="E1420" s="4">
        <f>IF(AND(Responses!$YP$1="",COUNTA(Responses!$YP$2:$YP$8000)&gt;0),"Column YP on Responses has answers but no header in row 1, so nobody (and Themefinder) knows what this column is.","")</f>
        <v>0</v>
      </c>
      <c r="F1420" s="4" t="s">
        <v>1667</v>
      </c>
    </row>
    <row r="1421" spans="1:6" ht="75" customHeight="1">
      <c r="A1421" t="s">
        <v>334</v>
      </c>
      <c r="B1421" t="s">
        <v>1668</v>
      </c>
      <c r="C1421" t="s">
        <v>336</v>
      </c>
      <c r="D1421" t="s">
        <v>165</v>
      </c>
      <c r="E1421" s="4">
        <f>IF(AND(Responses!$YQ$1="",COUNTA(Responses!$YQ$2:$YQ$8000)&gt;0),"Column YQ on Responses has answers but no header in row 1, so nobody (and Themefinder) knows what this column is.","")</f>
        <v>0</v>
      </c>
      <c r="F1421" s="4" t="s">
        <v>1669</v>
      </c>
    </row>
    <row r="1422" spans="1:6" ht="75" customHeight="1">
      <c r="A1422" t="s">
        <v>334</v>
      </c>
      <c r="B1422" t="s">
        <v>1670</v>
      </c>
      <c r="C1422" t="s">
        <v>336</v>
      </c>
      <c r="D1422" t="s">
        <v>165</v>
      </c>
      <c r="E1422" s="4">
        <f>IF(AND(Responses!$YR$1="",COUNTA(Responses!$YR$2:$YR$8000)&gt;0),"Column YR on Responses has answers but no header in row 1, so nobody (and Themefinder) knows what this column is.","")</f>
        <v>0</v>
      </c>
      <c r="F1422" s="4" t="s">
        <v>1671</v>
      </c>
    </row>
    <row r="1423" spans="1:6" ht="75" customHeight="1">
      <c r="A1423" t="s">
        <v>334</v>
      </c>
      <c r="B1423" t="s">
        <v>1672</v>
      </c>
      <c r="C1423" t="s">
        <v>336</v>
      </c>
      <c r="D1423" t="s">
        <v>165</v>
      </c>
      <c r="E1423" s="4">
        <f>IF(AND(Responses!$YS$1="",COUNTA(Responses!$YS$2:$YS$8000)&gt;0),"Column YS on Responses has answers but no header in row 1, so nobody (and Themefinder) knows what this column is.","")</f>
        <v>0</v>
      </c>
      <c r="F1423" s="4" t="s">
        <v>1673</v>
      </c>
    </row>
    <row r="1424" spans="1:6" ht="75" customHeight="1">
      <c r="A1424" t="s">
        <v>334</v>
      </c>
      <c r="B1424" t="s">
        <v>1674</v>
      </c>
      <c r="C1424" t="s">
        <v>336</v>
      </c>
      <c r="D1424" t="s">
        <v>165</v>
      </c>
      <c r="E1424" s="4">
        <f>IF(AND(Responses!$YT$1="",COUNTA(Responses!$YT$2:$YT$8000)&gt;0),"Column YT on Responses has answers but no header in row 1, so nobody (and Themefinder) knows what this column is.","")</f>
        <v>0</v>
      </c>
      <c r="F1424" s="4" t="s">
        <v>1675</v>
      </c>
    </row>
    <row r="1425" spans="1:6" ht="75" customHeight="1">
      <c r="A1425" t="s">
        <v>334</v>
      </c>
      <c r="B1425" t="s">
        <v>1676</v>
      </c>
      <c r="C1425" t="s">
        <v>336</v>
      </c>
      <c r="D1425" t="s">
        <v>165</v>
      </c>
      <c r="E1425" s="4">
        <f>IF(AND(Responses!$YU$1="",COUNTA(Responses!$YU$2:$YU$8000)&gt;0),"Column YU on Responses has answers but no header in row 1, so nobody (and Themefinder) knows what this column is.","")</f>
        <v>0</v>
      </c>
      <c r="F1425" s="4" t="s">
        <v>1677</v>
      </c>
    </row>
    <row r="1426" spans="1:6" ht="75" customHeight="1">
      <c r="A1426" t="s">
        <v>334</v>
      </c>
      <c r="B1426" t="s">
        <v>1678</v>
      </c>
      <c r="C1426" t="s">
        <v>336</v>
      </c>
      <c r="D1426" t="s">
        <v>165</v>
      </c>
      <c r="E1426" s="4">
        <f>IF(AND(Responses!$YV$1="",COUNTA(Responses!$YV$2:$YV$8000)&gt;0),"Column YV on Responses has answers but no header in row 1, so nobody (and Themefinder) knows what this column is.","")</f>
        <v>0</v>
      </c>
      <c r="F1426" s="4" t="s">
        <v>1679</v>
      </c>
    </row>
    <row r="1427" spans="1:6" ht="75" customHeight="1">
      <c r="A1427" t="s">
        <v>334</v>
      </c>
      <c r="B1427" t="s">
        <v>1680</v>
      </c>
      <c r="C1427" t="s">
        <v>336</v>
      </c>
      <c r="D1427" t="s">
        <v>165</v>
      </c>
      <c r="E1427" s="4">
        <f>IF(AND(Responses!$YW$1="",COUNTA(Responses!$YW$2:$YW$8000)&gt;0),"Column YW on Responses has answers but no header in row 1, so nobody (and Themefinder) knows what this column is.","")</f>
        <v>0</v>
      </c>
      <c r="F1427" s="4" t="s">
        <v>1681</v>
      </c>
    </row>
    <row r="1428" spans="1:6" ht="75" customHeight="1">
      <c r="A1428" t="s">
        <v>334</v>
      </c>
      <c r="B1428" t="s">
        <v>1682</v>
      </c>
      <c r="C1428" t="s">
        <v>336</v>
      </c>
      <c r="D1428" t="s">
        <v>165</v>
      </c>
      <c r="E1428" s="4">
        <f>IF(AND(Responses!$YX$1="",COUNTA(Responses!$YX$2:$YX$8000)&gt;0),"Column YX on Responses has answers but no header in row 1, so nobody (and Themefinder) knows what this column is.","")</f>
        <v>0</v>
      </c>
      <c r="F1428" s="4" t="s">
        <v>1683</v>
      </c>
    </row>
    <row r="1429" spans="1:6" ht="75" customHeight="1">
      <c r="A1429" t="s">
        <v>334</v>
      </c>
      <c r="B1429" t="s">
        <v>1684</v>
      </c>
      <c r="C1429" t="s">
        <v>336</v>
      </c>
      <c r="D1429" t="s">
        <v>165</v>
      </c>
      <c r="E1429" s="4">
        <f>IF(AND(Responses!$YY$1="",COUNTA(Responses!$YY$2:$YY$8000)&gt;0),"Column YY on Responses has answers but no header in row 1, so nobody (and Themefinder) knows what this column is.","")</f>
        <v>0</v>
      </c>
      <c r="F1429" s="4" t="s">
        <v>1685</v>
      </c>
    </row>
    <row r="1430" spans="1:6" ht="75" customHeight="1">
      <c r="A1430" t="s">
        <v>334</v>
      </c>
      <c r="B1430" t="s">
        <v>1686</v>
      </c>
      <c r="C1430" t="s">
        <v>336</v>
      </c>
      <c r="D1430" t="s">
        <v>165</v>
      </c>
      <c r="E1430" s="4">
        <f>IF(AND(Responses!$YZ$1="",COUNTA(Responses!$YZ$2:$YZ$8000)&gt;0),"Column YZ on Responses has answers but no header in row 1, so nobody (and Themefinder) knows what this column is.","")</f>
        <v>0</v>
      </c>
      <c r="F1430" s="4" t="s">
        <v>1687</v>
      </c>
    </row>
    <row r="1431" spans="1:6" ht="75" customHeight="1">
      <c r="A1431" t="s">
        <v>334</v>
      </c>
      <c r="B1431" t="s">
        <v>1688</v>
      </c>
      <c r="C1431" t="s">
        <v>336</v>
      </c>
      <c r="D1431" t="s">
        <v>165</v>
      </c>
      <c r="E1431" s="4">
        <f>IF(AND(Responses!$ZA$1="",COUNTA(Responses!$ZA$2:$ZA$8000)&gt;0),"Column ZA on Responses has answers but no header in row 1, so nobody (and Themefinder) knows what this column is.","")</f>
        <v>0</v>
      </c>
      <c r="F1431" s="4" t="s">
        <v>1689</v>
      </c>
    </row>
    <row r="1432" spans="1:6" ht="75" customHeight="1">
      <c r="A1432" t="s">
        <v>334</v>
      </c>
      <c r="B1432" t="s">
        <v>1690</v>
      </c>
      <c r="C1432" t="s">
        <v>336</v>
      </c>
      <c r="D1432" t="s">
        <v>165</v>
      </c>
      <c r="E1432" s="4">
        <f>IF(AND(Responses!$ZB$1="",COUNTA(Responses!$ZB$2:$ZB$8000)&gt;0),"Column ZB on Responses has answers but no header in row 1, so nobody (and Themefinder) knows what this column is.","")</f>
        <v>0</v>
      </c>
      <c r="F1432" s="4" t="s">
        <v>1691</v>
      </c>
    </row>
    <row r="1433" spans="1:6" ht="75" customHeight="1">
      <c r="A1433" t="s">
        <v>334</v>
      </c>
      <c r="B1433" t="s">
        <v>1692</v>
      </c>
      <c r="C1433" t="s">
        <v>336</v>
      </c>
      <c r="D1433" t="s">
        <v>165</v>
      </c>
      <c r="E1433" s="4">
        <f>IF(AND(Responses!$ZC$1="",COUNTA(Responses!$ZC$2:$ZC$8000)&gt;0),"Column ZC on Responses has answers but no header in row 1, so nobody (and Themefinder) knows what this column is.","")</f>
        <v>0</v>
      </c>
      <c r="F1433" s="4" t="s">
        <v>1693</v>
      </c>
    </row>
    <row r="1434" spans="1:6" ht="75" customHeight="1">
      <c r="A1434" t="s">
        <v>334</v>
      </c>
      <c r="B1434" t="s">
        <v>1694</v>
      </c>
      <c r="C1434" t="s">
        <v>336</v>
      </c>
      <c r="D1434" t="s">
        <v>165</v>
      </c>
      <c r="E1434" s="4">
        <f>IF(AND(Responses!$ZD$1="",COUNTA(Responses!$ZD$2:$ZD$8000)&gt;0),"Column ZD on Responses has answers but no header in row 1, so nobody (and Themefinder) knows what this column is.","")</f>
        <v>0</v>
      </c>
      <c r="F1434" s="4" t="s">
        <v>1695</v>
      </c>
    </row>
    <row r="1435" spans="1:6" ht="75" customHeight="1">
      <c r="A1435" t="s">
        <v>334</v>
      </c>
      <c r="B1435" t="s">
        <v>1696</v>
      </c>
      <c r="C1435" t="s">
        <v>336</v>
      </c>
      <c r="D1435" t="s">
        <v>165</v>
      </c>
      <c r="E1435" s="4">
        <f>IF(AND(Responses!$ZE$1="",COUNTA(Responses!$ZE$2:$ZE$8000)&gt;0),"Column ZE on Responses has answers but no header in row 1, so nobody (and Themefinder) knows what this column is.","")</f>
        <v>0</v>
      </c>
      <c r="F1435" s="4" t="s">
        <v>1697</v>
      </c>
    </row>
    <row r="1436" spans="1:6" ht="75" customHeight="1">
      <c r="A1436" t="s">
        <v>334</v>
      </c>
      <c r="B1436" t="s">
        <v>1698</v>
      </c>
      <c r="C1436" t="s">
        <v>336</v>
      </c>
      <c r="D1436" t="s">
        <v>165</v>
      </c>
      <c r="E1436" s="4">
        <f>IF(AND(Responses!$ZF$1="",COUNTA(Responses!$ZF$2:$ZF$8000)&gt;0),"Column ZF on Responses has answers but no header in row 1, so nobody (and Themefinder) knows what this column is.","")</f>
        <v>0</v>
      </c>
      <c r="F1436" s="4" t="s">
        <v>1699</v>
      </c>
    </row>
    <row r="1437" spans="1:6" ht="75" customHeight="1">
      <c r="A1437" t="s">
        <v>334</v>
      </c>
      <c r="B1437" t="s">
        <v>1700</v>
      </c>
      <c r="C1437" t="s">
        <v>336</v>
      </c>
      <c r="D1437" t="s">
        <v>165</v>
      </c>
      <c r="E1437" s="4">
        <f>IF(AND(Responses!$ZG$1="",COUNTA(Responses!$ZG$2:$ZG$8000)&gt;0),"Column ZG on Responses has answers but no header in row 1, so nobody (and Themefinder) knows what this column is.","")</f>
        <v>0</v>
      </c>
      <c r="F1437" s="4" t="s">
        <v>1701</v>
      </c>
    </row>
    <row r="1438" spans="1:6" ht="75" customHeight="1">
      <c r="A1438" t="s">
        <v>334</v>
      </c>
      <c r="B1438" t="s">
        <v>1702</v>
      </c>
      <c r="C1438" t="s">
        <v>336</v>
      </c>
      <c r="D1438" t="s">
        <v>165</v>
      </c>
      <c r="E1438" s="4">
        <f>IF(AND(Responses!$ZH$1="",COUNTA(Responses!$ZH$2:$ZH$8000)&gt;0),"Column ZH on Responses has answers but no header in row 1, so nobody (and Themefinder) knows what this column is.","")</f>
        <v>0</v>
      </c>
      <c r="F1438" s="4" t="s">
        <v>1703</v>
      </c>
    </row>
    <row r="1439" spans="1:6" ht="75" customHeight="1">
      <c r="A1439" t="s">
        <v>334</v>
      </c>
      <c r="B1439" t="s">
        <v>1704</v>
      </c>
      <c r="C1439" t="s">
        <v>336</v>
      </c>
      <c r="D1439" t="s">
        <v>165</v>
      </c>
      <c r="E1439" s="4">
        <f>IF(AND(Responses!$ZI$1="",COUNTA(Responses!$ZI$2:$ZI$8000)&gt;0),"Column ZI on Responses has answers but no header in row 1, so nobody (and Themefinder) knows what this column is.","")</f>
        <v>0</v>
      </c>
      <c r="F1439" s="4" t="s">
        <v>1705</v>
      </c>
    </row>
    <row r="1440" spans="1:6" ht="75" customHeight="1">
      <c r="A1440" t="s">
        <v>334</v>
      </c>
      <c r="B1440" t="s">
        <v>1706</v>
      </c>
      <c r="C1440" t="s">
        <v>336</v>
      </c>
      <c r="D1440" t="s">
        <v>165</v>
      </c>
      <c r="E1440" s="4">
        <f>IF(AND(Responses!$ZJ$1="",COUNTA(Responses!$ZJ$2:$ZJ$8000)&gt;0),"Column ZJ on Responses has answers but no header in row 1, so nobody (and Themefinder) knows what this column is.","")</f>
        <v>0</v>
      </c>
      <c r="F1440" s="4" t="s">
        <v>1707</v>
      </c>
    </row>
    <row r="1441" spans="1:6" ht="75" customHeight="1">
      <c r="A1441" t="s">
        <v>334</v>
      </c>
      <c r="B1441" t="s">
        <v>1708</v>
      </c>
      <c r="C1441" t="s">
        <v>336</v>
      </c>
      <c r="D1441" t="s">
        <v>165</v>
      </c>
      <c r="E1441" s="4">
        <f>IF(AND(Responses!$ZK$1="",COUNTA(Responses!$ZK$2:$ZK$8000)&gt;0),"Column ZK on Responses has answers but no header in row 1, so nobody (and Themefinder) knows what this column is.","")</f>
        <v>0</v>
      </c>
      <c r="F1441" s="4" t="s">
        <v>1709</v>
      </c>
    </row>
    <row r="1442" spans="1:6" ht="75" customHeight="1">
      <c r="A1442" t="s">
        <v>334</v>
      </c>
      <c r="B1442" t="s">
        <v>1710</v>
      </c>
      <c r="C1442" t="s">
        <v>336</v>
      </c>
      <c r="D1442" t="s">
        <v>165</v>
      </c>
      <c r="E1442" s="4">
        <f>IF(AND(Responses!$ZL$1="",COUNTA(Responses!$ZL$2:$ZL$8000)&gt;0),"Column ZL on Responses has answers but no header in row 1, so nobody (and Themefinder) knows what this column is.","")</f>
        <v>0</v>
      </c>
      <c r="F1442" s="4" t="s">
        <v>1711</v>
      </c>
    </row>
    <row r="1443" spans="1:6" ht="75" customHeight="1">
      <c r="A1443" t="s">
        <v>334</v>
      </c>
      <c r="B1443" t="s">
        <v>1712</v>
      </c>
      <c r="C1443" t="s">
        <v>336</v>
      </c>
      <c r="D1443" t="s">
        <v>165</v>
      </c>
      <c r="E1443" s="4">
        <f>IF(AND(Responses!$ZM$1="",COUNTA(Responses!$ZM$2:$ZM$8000)&gt;0),"Column ZM on Responses has answers but no header in row 1, so nobody (and Themefinder) knows what this column is.","")</f>
        <v>0</v>
      </c>
      <c r="F1443" s="4" t="s">
        <v>1713</v>
      </c>
    </row>
    <row r="1444" spans="1:6" ht="75" customHeight="1">
      <c r="A1444" t="s">
        <v>334</v>
      </c>
      <c r="B1444" t="s">
        <v>1714</v>
      </c>
      <c r="C1444" t="s">
        <v>336</v>
      </c>
      <c r="D1444" t="s">
        <v>165</v>
      </c>
      <c r="E1444" s="4">
        <f>IF(AND(Responses!$ZN$1="",COUNTA(Responses!$ZN$2:$ZN$8000)&gt;0),"Column ZN on Responses has answers but no header in row 1, so nobody (and Themefinder) knows what this column is.","")</f>
        <v>0</v>
      </c>
      <c r="F1444" s="4" t="s">
        <v>1715</v>
      </c>
    </row>
    <row r="1445" spans="1:6" ht="75" customHeight="1">
      <c r="A1445" t="s">
        <v>334</v>
      </c>
      <c r="B1445" t="s">
        <v>1716</v>
      </c>
      <c r="C1445" t="s">
        <v>336</v>
      </c>
      <c r="D1445" t="s">
        <v>165</v>
      </c>
      <c r="E1445" s="4">
        <f>IF(AND(Responses!$ZO$1="",COUNTA(Responses!$ZO$2:$ZO$8000)&gt;0),"Column ZO on Responses has answers but no header in row 1, so nobody (and Themefinder) knows what this column is.","")</f>
        <v>0</v>
      </c>
      <c r="F1445" s="4" t="s">
        <v>1717</v>
      </c>
    </row>
    <row r="1446" spans="1:6" ht="75" customHeight="1">
      <c r="A1446" t="s">
        <v>334</v>
      </c>
      <c r="B1446" t="s">
        <v>1718</v>
      </c>
      <c r="C1446" t="s">
        <v>336</v>
      </c>
      <c r="D1446" t="s">
        <v>165</v>
      </c>
      <c r="E1446" s="4">
        <f>IF(AND(Responses!$ZP$1="",COUNTA(Responses!$ZP$2:$ZP$8000)&gt;0),"Column ZP on Responses has answers but no header in row 1, so nobody (and Themefinder) knows what this column is.","")</f>
        <v>0</v>
      </c>
      <c r="F1446" s="4" t="s">
        <v>1719</v>
      </c>
    </row>
    <row r="1447" spans="1:6" ht="75" customHeight="1">
      <c r="A1447" t="s">
        <v>334</v>
      </c>
      <c r="B1447" t="s">
        <v>1720</v>
      </c>
      <c r="C1447" t="s">
        <v>336</v>
      </c>
      <c r="D1447" t="s">
        <v>165</v>
      </c>
      <c r="E1447" s="4">
        <f>IF(AND(Responses!$ZQ$1="",COUNTA(Responses!$ZQ$2:$ZQ$8000)&gt;0),"Column ZQ on Responses has answers but no header in row 1, so nobody (and Themefinder) knows what this column is.","")</f>
        <v>0</v>
      </c>
      <c r="F1447" s="4" t="s">
        <v>1721</v>
      </c>
    </row>
    <row r="1448" spans="1:6" ht="75" customHeight="1">
      <c r="A1448" t="s">
        <v>334</v>
      </c>
      <c r="B1448" t="s">
        <v>1722</v>
      </c>
      <c r="C1448" t="s">
        <v>336</v>
      </c>
      <c r="D1448" t="s">
        <v>165</v>
      </c>
      <c r="E1448" s="4">
        <f>IF(AND(Responses!$ZR$1="",COUNTA(Responses!$ZR$2:$ZR$8000)&gt;0),"Column ZR on Responses has answers but no header in row 1, so nobody (and Themefinder) knows what this column is.","")</f>
        <v>0</v>
      </c>
      <c r="F1448" s="4" t="s">
        <v>1723</v>
      </c>
    </row>
    <row r="1449" spans="1:6" ht="75" customHeight="1">
      <c r="A1449" t="s">
        <v>334</v>
      </c>
      <c r="B1449" t="s">
        <v>1724</v>
      </c>
      <c r="C1449" t="s">
        <v>336</v>
      </c>
      <c r="D1449" t="s">
        <v>165</v>
      </c>
      <c r="E1449" s="4">
        <f>IF(AND(Responses!$ZS$1="",COUNTA(Responses!$ZS$2:$ZS$8000)&gt;0),"Column ZS on Responses has answers but no header in row 1, so nobody (and Themefinder) knows what this column is.","")</f>
        <v>0</v>
      </c>
      <c r="F1449" s="4" t="s">
        <v>1725</v>
      </c>
    </row>
    <row r="1450" spans="1:6" ht="75" customHeight="1">
      <c r="A1450" t="s">
        <v>334</v>
      </c>
      <c r="B1450" t="s">
        <v>1726</v>
      </c>
      <c r="C1450" t="s">
        <v>336</v>
      </c>
      <c r="D1450" t="s">
        <v>165</v>
      </c>
      <c r="E1450" s="4">
        <f>IF(AND(Responses!$ZT$1="",COUNTA(Responses!$ZT$2:$ZT$8000)&gt;0),"Column ZT on Responses has answers but no header in row 1, so nobody (and Themefinder) knows what this column is.","")</f>
        <v>0</v>
      </c>
      <c r="F1450" s="4" t="s">
        <v>1727</v>
      </c>
    </row>
    <row r="1451" spans="1:6" ht="75" customHeight="1">
      <c r="A1451" t="s">
        <v>334</v>
      </c>
      <c r="B1451" t="s">
        <v>1728</v>
      </c>
      <c r="C1451" t="s">
        <v>336</v>
      </c>
      <c r="D1451" t="s">
        <v>165</v>
      </c>
      <c r="E1451" s="4">
        <f>IF(AND(Responses!$ZU$1="",COUNTA(Responses!$ZU$2:$ZU$8000)&gt;0),"Column ZU on Responses has answers but no header in row 1, so nobody (and Themefinder) knows what this column is.","")</f>
        <v>0</v>
      </c>
      <c r="F1451" s="4" t="s">
        <v>1729</v>
      </c>
    </row>
    <row r="1452" spans="1:6" ht="75" customHeight="1">
      <c r="A1452" t="s">
        <v>334</v>
      </c>
      <c r="B1452" t="s">
        <v>1730</v>
      </c>
      <c r="C1452" t="s">
        <v>336</v>
      </c>
      <c r="D1452" t="s">
        <v>165</v>
      </c>
      <c r="E1452" s="4">
        <f>IF(AND(Responses!$ZV$1="",COUNTA(Responses!$ZV$2:$ZV$8000)&gt;0),"Column ZV on Responses has answers but no header in row 1, so nobody (and Themefinder) knows what this column is.","")</f>
        <v>0</v>
      </c>
      <c r="F1452" s="4" t="s">
        <v>1731</v>
      </c>
    </row>
    <row r="1453" spans="1:6" ht="75" customHeight="1">
      <c r="A1453" t="s">
        <v>334</v>
      </c>
      <c r="B1453" t="s">
        <v>1732</v>
      </c>
      <c r="C1453" t="s">
        <v>336</v>
      </c>
      <c r="D1453" t="s">
        <v>165</v>
      </c>
      <c r="E1453" s="4">
        <f>IF(AND(Responses!$ZW$1="",COUNTA(Responses!$ZW$2:$ZW$8000)&gt;0),"Column ZW on Responses has answers but no header in row 1, so nobody (and Themefinder) knows what this column is.","")</f>
        <v>0</v>
      </c>
      <c r="F1453" s="4" t="s">
        <v>1733</v>
      </c>
    </row>
    <row r="1454" spans="1:6" ht="75" customHeight="1">
      <c r="A1454" t="s">
        <v>334</v>
      </c>
      <c r="B1454" t="s">
        <v>1734</v>
      </c>
      <c r="C1454" t="s">
        <v>336</v>
      </c>
      <c r="D1454" t="s">
        <v>165</v>
      </c>
      <c r="E1454" s="4">
        <f>IF(AND(Responses!$ZX$1="",COUNTA(Responses!$ZX$2:$ZX$8000)&gt;0),"Column ZX on Responses has answers but no header in row 1, so nobody (and Themefinder) knows what this column is.","")</f>
        <v>0</v>
      </c>
      <c r="F1454" s="4" t="s">
        <v>1735</v>
      </c>
    </row>
    <row r="1455" spans="1:6" ht="75" customHeight="1">
      <c r="A1455" t="s">
        <v>334</v>
      </c>
      <c r="B1455" t="s">
        <v>1736</v>
      </c>
      <c r="C1455" t="s">
        <v>336</v>
      </c>
      <c r="D1455" t="s">
        <v>165</v>
      </c>
      <c r="E1455" s="4">
        <f>IF(AND(Responses!$ZY$1="",COUNTA(Responses!$ZY$2:$ZY$8000)&gt;0),"Column ZY on Responses has answers but no header in row 1, so nobody (and Themefinder) knows what this column is.","")</f>
        <v>0</v>
      </c>
      <c r="F1455" s="4" t="s">
        <v>1737</v>
      </c>
    </row>
    <row r="1456" spans="1:6" ht="75" customHeight="1">
      <c r="A1456" t="s">
        <v>334</v>
      </c>
      <c r="B1456" t="s">
        <v>1738</v>
      </c>
      <c r="C1456" t="s">
        <v>336</v>
      </c>
      <c r="D1456" t="s">
        <v>165</v>
      </c>
      <c r="E1456" s="4">
        <f>IF(AND(Responses!$ZZ$1="",COUNTA(Responses!$ZZ$2:$ZZ$8000)&gt;0),"Column ZZ on Responses has answers but no header in row 1, so nobody (and Themefinder) knows what this column is.","")</f>
        <v>0</v>
      </c>
      <c r="F1456" s="4" t="s">
        <v>1739</v>
      </c>
    </row>
    <row r="1457" spans="1:6" ht="75" customHeight="1">
      <c r="A1457" t="s">
        <v>162</v>
      </c>
      <c r="B1457" t="s">
        <v>219</v>
      </c>
      <c r="C1457" t="s">
        <v>1740</v>
      </c>
      <c r="D1457" t="s">
        <v>165</v>
      </c>
      <c r="E1457" s="4">
        <f>IF(AND('Demographics'!$B$2="",OR('Demographics'!$A$2&lt;&gt;"")),"This row has a column letter but no label, so this demographic will be unnamed in your results.","")</f>
        <v>0</v>
      </c>
      <c r="F1457" s="4" t="s">
        <v>1741</v>
      </c>
    </row>
    <row r="1458" spans="1:6" ht="75" customHeight="1">
      <c r="A1458" t="s">
        <v>162</v>
      </c>
      <c r="B1458" t="s">
        <v>222</v>
      </c>
      <c r="C1458" t="s">
        <v>1740</v>
      </c>
      <c r="D1458" t="s">
        <v>165</v>
      </c>
      <c r="E1458" s="4">
        <f>IF(AND('Demographics'!$B$3="",OR('Demographics'!$A$3&lt;&gt;"")),"This row has a column letter but no label, so this demographic will be unnamed in your results.","")</f>
        <v>0</v>
      </c>
      <c r="F1458" s="4" t="s">
        <v>1741</v>
      </c>
    </row>
    <row r="1459" spans="1:6" ht="75" customHeight="1">
      <c r="A1459" t="s">
        <v>162</v>
      </c>
      <c r="B1459" t="s">
        <v>223</v>
      </c>
      <c r="C1459" t="s">
        <v>1740</v>
      </c>
      <c r="D1459" t="s">
        <v>165</v>
      </c>
      <c r="E1459" s="4">
        <f>IF(AND('Demographics'!$B$4="",OR('Demographics'!$A$4&lt;&gt;"")),"This row has a column letter but no label, so this demographic will be unnamed in your results.","")</f>
        <v>0</v>
      </c>
      <c r="F1459" s="4" t="s">
        <v>1741</v>
      </c>
    </row>
    <row r="1460" spans="1:6" ht="75" customHeight="1">
      <c r="A1460" t="s">
        <v>162</v>
      </c>
      <c r="B1460" t="s">
        <v>224</v>
      </c>
      <c r="C1460" t="s">
        <v>1740</v>
      </c>
      <c r="D1460" t="s">
        <v>165</v>
      </c>
      <c r="E1460" s="4">
        <f>IF(AND('Demographics'!$B$5="",OR('Demographics'!$A$5&lt;&gt;"")),"This row has a column letter but no label, so this demographic will be unnamed in your results.","")</f>
        <v>0</v>
      </c>
      <c r="F1460" s="4" t="s">
        <v>1741</v>
      </c>
    </row>
    <row r="1461" spans="1:6" ht="75" customHeight="1">
      <c r="A1461" t="s">
        <v>162</v>
      </c>
      <c r="B1461" t="s">
        <v>225</v>
      </c>
      <c r="C1461" t="s">
        <v>1740</v>
      </c>
      <c r="D1461" t="s">
        <v>165</v>
      </c>
      <c r="E1461" s="4">
        <f>IF(AND('Demographics'!$B$6="",OR('Demographics'!$A$6&lt;&gt;"")),"This row has a column letter but no label, so this demographic will be unnamed in your results.","")</f>
        <v>0</v>
      </c>
      <c r="F1461" s="4" t="s">
        <v>1741</v>
      </c>
    </row>
    <row r="1462" spans="1:6" ht="75" customHeight="1">
      <c r="A1462" t="s">
        <v>162</v>
      </c>
      <c r="B1462" t="s">
        <v>226</v>
      </c>
      <c r="C1462" t="s">
        <v>1740</v>
      </c>
      <c r="D1462" t="s">
        <v>165</v>
      </c>
      <c r="E1462" s="4">
        <f>IF(AND('Demographics'!$B$7="",OR('Demographics'!$A$7&lt;&gt;"")),"This row has a column letter but no label, so this demographic will be unnamed in your results.","")</f>
        <v>0</v>
      </c>
      <c r="F1462" s="4" t="s">
        <v>1741</v>
      </c>
    </row>
    <row r="1463" spans="1:6" ht="75" customHeight="1">
      <c r="A1463" t="s">
        <v>162</v>
      </c>
      <c r="B1463" t="s">
        <v>227</v>
      </c>
      <c r="C1463" t="s">
        <v>1740</v>
      </c>
      <c r="D1463" t="s">
        <v>165</v>
      </c>
      <c r="E1463" s="4">
        <f>IF(AND('Demographics'!$B$8="",OR('Demographics'!$A$8&lt;&gt;"")),"This row has a column letter but no label, so this demographic will be unnamed in your results.","")</f>
        <v>0</v>
      </c>
      <c r="F1463" s="4" t="s">
        <v>1741</v>
      </c>
    </row>
    <row r="1464" spans="1:6" ht="75" customHeight="1">
      <c r="A1464" t="s">
        <v>162</v>
      </c>
      <c r="B1464" t="s">
        <v>228</v>
      </c>
      <c r="C1464" t="s">
        <v>1740</v>
      </c>
      <c r="D1464" t="s">
        <v>165</v>
      </c>
      <c r="E1464" s="4">
        <f>IF(AND('Demographics'!$B$9="",OR('Demographics'!$A$9&lt;&gt;"")),"This row has a column letter but no label, so this demographic will be unnamed in your results.","")</f>
        <v>0</v>
      </c>
      <c r="F1464" s="4" t="s">
        <v>1741</v>
      </c>
    </row>
    <row r="1465" spans="1:6" ht="75" customHeight="1">
      <c r="A1465" t="s">
        <v>162</v>
      </c>
      <c r="B1465" t="s">
        <v>229</v>
      </c>
      <c r="C1465" t="s">
        <v>1740</v>
      </c>
      <c r="D1465" t="s">
        <v>165</v>
      </c>
      <c r="E1465" s="4">
        <f>IF(AND('Demographics'!$B$10="",OR('Demographics'!$A$10&lt;&gt;"")),"This row has a column letter but no label, so this demographic will be unnamed in your results.","")</f>
        <v>0</v>
      </c>
      <c r="F1465" s="4" t="s">
        <v>1741</v>
      </c>
    </row>
    <row r="1466" spans="1:6" ht="75" customHeight="1">
      <c r="A1466" t="s">
        <v>162</v>
      </c>
      <c r="B1466" t="s">
        <v>230</v>
      </c>
      <c r="C1466" t="s">
        <v>1740</v>
      </c>
      <c r="D1466" t="s">
        <v>165</v>
      </c>
      <c r="E1466" s="4">
        <f>IF(AND('Demographics'!$B$11="",OR('Demographics'!$A$11&lt;&gt;"")),"This row has a column letter but no label, so this demographic will be unnamed in your results.","")</f>
        <v>0</v>
      </c>
      <c r="F1466" s="4" t="s">
        <v>1741</v>
      </c>
    </row>
    <row r="1467" spans="1:6" ht="75" customHeight="1">
      <c r="A1467" t="s">
        <v>162</v>
      </c>
      <c r="B1467" t="s">
        <v>231</v>
      </c>
      <c r="C1467" t="s">
        <v>1740</v>
      </c>
      <c r="D1467" t="s">
        <v>165</v>
      </c>
      <c r="E1467" s="4">
        <f>IF(AND('Demographics'!$B$12="",OR('Demographics'!$A$12&lt;&gt;"")),"This row has a column letter but no label, so this demographic will be unnamed in your results.","")</f>
        <v>0</v>
      </c>
      <c r="F1467" s="4" t="s">
        <v>1741</v>
      </c>
    </row>
    <row r="1468" spans="1:6" ht="75" customHeight="1">
      <c r="A1468" t="s">
        <v>162</v>
      </c>
      <c r="B1468" t="s">
        <v>232</v>
      </c>
      <c r="C1468" t="s">
        <v>1740</v>
      </c>
      <c r="D1468" t="s">
        <v>165</v>
      </c>
      <c r="E1468" s="4">
        <f>IF(AND('Demographics'!$B$13="",OR('Demographics'!$A$13&lt;&gt;"")),"This row has a column letter but no label, so this demographic will be unnamed in your results.","")</f>
        <v>0</v>
      </c>
      <c r="F1468" s="4" t="s">
        <v>1741</v>
      </c>
    </row>
    <row r="1469" spans="1:6" ht="75" customHeight="1">
      <c r="A1469" t="s">
        <v>162</v>
      </c>
      <c r="B1469" t="s">
        <v>233</v>
      </c>
      <c r="C1469" t="s">
        <v>1740</v>
      </c>
      <c r="D1469" t="s">
        <v>165</v>
      </c>
      <c r="E1469" s="4">
        <f>IF(AND('Demographics'!$B$14="",OR('Demographics'!$A$14&lt;&gt;"")),"This row has a column letter but no label, so this demographic will be unnamed in your results.","")</f>
        <v>0</v>
      </c>
      <c r="F1469" s="4" t="s">
        <v>1741</v>
      </c>
    </row>
    <row r="1470" spans="1:6" ht="75" customHeight="1">
      <c r="A1470" t="s">
        <v>162</v>
      </c>
      <c r="B1470" t="s">
        <v>234</v>
      </c>
      <c r="C1470" t="s">
        <v>1740</v>
      </c>
      <c r="D1470" t="s">
        <v>165</v>
      </c>
      <c r="E1470" s="4">
        <f>IF(AND('Demographics'!$B$15="",OR('Demographics'!$A$15&lt;&gt;"")),"This row has a column letter but no label, so this demographic will be unnamed in your results.","")</f>
        <v>0</v>
      </c>
      <c r="F1470" s="4" t="s">
        <v>1741</v>
      </c>
    </row>
    <row r="1471" spans="1:6" ht="75" customHeight="1">
      <c r="A1471" t="s">
        <v>162</v>
      </c>
      <c r="B1471" t="s">
        <v>235</v>
      </c>
      <c r="C1471" t="s">
        <v>1740</v>
      </c>
      <c r="D1471" t="s">
        <v>165</v>
      </c>
      <c r="E1471" s="4">
        <f>IF(AND('Demographics'!$B$16="",OR('Demographics'!$A$16&lt;&gt;"")),"This row has a column letter but no label, so this demographic will be unnamed in your results.","")</f>
        <v>0</v>
      </c>
      <c r="F1471" s="4" t="s">
        <v>1741</v>
      </c>
    </row>
    <row r="1472" spans="1:6" ht="75" customHeight="1">
      <c r="A1472" t="s">
        <v>162</v>
      </c>
      <c r="B1472" t="s">
        <v>236</v>
      </c>
      <c r="C1472" t="s">
        <v>1740</v>
      </c>
      <c r="D1472" t="s">
        <v>165</v>
      </c>
      <c r="E1472" s="4">
        <f>IF(AND('Demographics'!$B$17="",OR('Demographics'!$A$17&lt;&gt;"")),"This row has a column letter but no label, so this demographic will be unnamed in your results.","")</f>
        <v>0</v>
      </c>
      <c r="F1472" s="4" t="s">
        <v>1741</v>
      </c>
    </row>
    <row r="1473" spans="1:6" ht="75" customHeight="1">
      <c r="A1473" t="s">
        <v>162</v>
      </c>
      <c r="B1473" t="s">
        <v>237</v>
      </c>
      <c r="C1473" t="s">
        <v>1740</v>
      </c>
      <c r="D1473" t="s">
        <v>165</v>
      </c>
      <c r="E1473" s="4">
        <f>IF(AND('Demographics'!$B$18="",OR('Demographics'!$A$18&lt;&gt;"")),"This row has a column letter but no label, so this demographic will be unnamed in your results.","")</f>
        <v>0</v>
      </c>
      <c r="F1473" s="4" t="s">
        <v>1741</v>
      </c>
    </row>
    <row r="1474" spans="1:6" ht="75" customHeight="1">
      <c r="A1474" t="s">
        <v>162</v>
      </c>
      <c r="B1474" t="s">
        <v>238</v>
      </c>
      <c r="C1474" t="s">
        <v>1740</v>
      </c>
      <c r="D1474" t="s">
        <v>165</v>
      </c>
      <c r="E1474" s="4">
        <f>IF(AND('Demographics'!$B$19="",OR('Demographics'!$A$19&lt;&gt;"")),"This row has a column letter but no label, so this demographic will be unnamed in your results.","")</f>
        <v>0</v>
      </c>
      <c r="F1474" s="4" t="s">
        <v>1741</v>
      </c>
    </row>
    <row r="1475" spans="1:6" ht="75" customHeight="1">
      <c r="A1475" t="s">
        <v>162</v>
      </c>
      <c r="B1475" t="s">
        <v>239</v>
      </c>
      <c r="C1475" t="s">
        <v>1740</v>
      </c>
      <c r="D1475" t="s">
        <v>165</v>
      </c>
      <c r="E1475" s="4">
        <f>IF(AND('Demographics'!$B$20="",OR('Demographics'!$A$20&lt;&gt;"")),"This row has a column letter but no label, so this demographic will be unnamed in your results.","")</f>
        <v>0</v>
      </c>
      <c r="F1475" s="4" t="s">
        <v>1741</v>
      </c>
    </row>
    <row r="1476" spans="1:6" ht="75" customHeight="1">
      <c r="A1476" t="s">
        <v>162</v>
      </c>
      <c r="B1476" t="s">
        <v>240</v>
      </c>
      <c r="C1476" t="s">
        <v>1740</v>
      </c>
      <c r="D1476" t="s">
        <v>165</v>
      </c>
      <c r="E1476" s="4">
        <f>IF(AND('Demographics'!$B$21="",OR('Demographics'!$A$21&lt;&gt;"")),"This row has a column letter but no label, so this demographic will be unnamed in your results.","")</f>
        <v>0</v>
      </c>
      <c r="F1476" s="4" t="s">
        <v>1741</v>
      </c>
    </row>
    <row r="1477" spans="1:6" ht="75" customHeight="1">
      <c r="A1477" t="s">
        <v>162</v>
      </c>
      <c r="B1477" t="s">
        <v>241</v>
      </c>
      <c r="C1477" t="s">
        <v>1740</v>
      </c>
      <c r="D1477" t="s">
        <v>165</v>
      </c>
      <c r="E1477" s="4">
        <f>IF(AND('Demographics'!$B$22="",OR('Demographics'!$A$22&lt;&gt;"")),"This row has a column letter but no label, so this demographic will be unnamed in your results.","")</f>
        <v>0</v>
      </c>
      <c r="F1477" s="4" t="s">
        <v>1741</v>
      </c>
    </row>
    <row r="1478" spans="1:6" ht="75" customHeight="1">
      <c r="A1478" t="s">
        <v>162</v>
      </c>
      <c r="B1478" t="s">
        <v>242</v>
      </c>
      <c r="C1478" t="s">
        <v>1740</v>
      </c>
      <c r="D1478" t="s">
        <v>165</v>
      </c>
      <c r="E1478" s="4">
        <f>IF(AND('Demographics'!$B$23="",OR('Demographics'!$A$23&lt;&gt;"")),"This row has a column letter but no label, so this demographic will be unnamed in your results.","")</f>
        <v>0</v>
      </c>
      <c r="F1478" s="4" t="s">
        <v>1741</v>
      </c>
    </row>
    <row r="1479" spans="1:6" ht="75" customHeight="1">
      <c r="A1479" t="s">
        <v>162</v>
      </c>
      <c r="B1479" t="s">
        <v>243</v>
      </c>
      <c r="C1479" t="s">
        <v>1740</v>
      </c>
      <c r="D1479" t="s">
        <v>165</v>
      </c>
      <c r="E1479" s="4">
        <f>IF(AND('Demographics'!$B$24="",OR('Demographics'!$A$24&lt;&gt;"")),"This row has a column letter but no label, so this demographic will be unnamed in your results.","")</f>
        <v>0</v>
      </c>
      <c r="F1479" s="4" t="s">
        <v>1741</v>
      </c>
    </row>
    <row r="1480" spans="1:6" ht="75" customHeight="1">
      <c r="A1480" t="s">
        <v>162</v>
      </c>
      <c r="B1480" t="s">
        <v>244</v>
      </c>
      <c r="C1480" t="s">
        <v>1740</v>
      </c>
      <c r="D1480" t="s">
        <v>165</v>
      </c>
      <c r="E1480" s="4">
        <f>IF(AND('Demographics'!$B$25="",OR('Demographics'!$A$25&lt;&gt;"")),"This row has a column letter but no label, so this demographic will be unnamed in your results.","")</f>
        <v>0</v>
      </c>
      <c r="F1480" s="4" t="s">
        <v>1741</v>
      </c>
    </row>
    <row r="1481" spans="1:6" ht="75" customHeight="1">
      <c r="A1481" t="s">
        <v>162</v>
      </c>
      <c r="B1481" t="s">
        <v>245</v>
      </c>
      <c r="C1481" t="s">
        <v>1740</v>
      </c>
      <c r="D1481" t="s">
        <v>165</v>
      </c>
      <c r="E1481" s="4">
        <f>IF(AND('Demographics'!$B$26="",OR('Demographics'!$A$26&lt;&gt;"")),"This row has a column letter but no label, so this demographic will be unnamed in your results.","")</f>
        <v>0</v>
      </c>
      <c r="F1481" s="4" t="s">
        <v>1741</v>
      </c>
    </row>
    <row r="1482" spans="1:6" ht="75" customHeight="1">
      <c r="A1482" t="s">
        <v>162</v>
      </c>
      <c r="B1482" t="s">
        <v>246</v>
      </c>
      <c r="C1482" t="s">
        <v>1740</v>
      </c>
      <c r="D1482" t="s">
        <v>165</v>
      </c>
      <c r="E1482" s="4">
        <f>IF(AND('Demographics'!$B$27="",OR('Demographics'!$A$27&lt;&gt;"")),"This row has a column letter but no label, so this demographic will be unnamed in your results.","")</f>
        <v>0</v>
      </c>
      <c r="F1482" s="4" t="s">
        <v>1741</v>
      </c>
    </row>
    <row r="1483" spans="1:6" ht="75" customHeight="1">
      <c r="A1483" t="s">
        <v>162</v>
      </c>
      <c r="B1483" t="s">
        <v>247</v>
      </c>
      <c r="C1483" t="s">
        <v>1740</v>
      </c>
      <c r="D1483" t="s">
        <v>165</v>
      </c>
      <c r="E1483" s="4">
        <f>IF(AND('Demographics'!$B$28="",OR('Demographics'!$A$28&lt;&gt;"")),"This row has a column letter but no label, so this demographic will be unnamed in your results.","")</f>
        <v>0</v>
      </c>
      <c r="F1483" s="4" t="s">
        <v>1741</v>
      </c>
    </row>
    <row r="1484" spans="1:6" ht="75" customHeight="1">
      <c r="A1484" t="s">
        <v>162</v>
      </c>
      <c r="B1484" t="s">
        <v>248</v>
      </c>
      <c r="C1484" t="s">
        <v>1740</v>
      </c>
      <c r="D1484" t="s">
        <v>165</v>
      </c>
      <c r="E1484" s="4">
        <f>IF(AND('Demographics'!$B$29="",OR('Demographics'!$A$29&lt;&gt;"")),"This row has a column letter but no label, so this demographic will be unnamed in your results.","")</f>
        <v>0</v>
      </c>
      <c r="F1484" s="4" t="s">
        <v>1741</v>
      </c>
    </row>
    <row r="1485" spans="1:6" ht="75" customHeight="1">
      <c r="A1485" t="s">
        <v>162</v>
      </c>
      <c r="B1485" t="s">
        <v>249</v>
      </c>
      <c r="C1485" t="s">
        <v>1740</v>
      </c>
      <c r="D1485" t="s">
        <v>165</v>
      </c>
      <c r="E1485" s="4">
        <f>IF(AND('Demographics'!$B$30="",OR('Demographics'!$A$30&lt;&gt;"")),"This row has a column letter but no label, so this demographic will be unnamed in your results.","")</f>
        <v>0</v>
      </c>
      <c r="F1485" s="4" t="s">
        <v>1741</v>
      </c>
    </row>
    <row r="1486" spans="1:6" ht="75" customHeight="1">
      <c r="A1486" t="s">
        <v>162</v>
      </c>
      <c r="B1486" t="s">
        <v>250</v>
      </c>
      <c r="C1486" t="s">
        <v>1740</v>
      </c>
      <c r="D1486" t="s">
        <v>165</v>
      </c>
      <c r="E1486" s="4">
        <f>IF(AND('Demographics'!$B$31="",OR('Demographics'!$A$31&lt;&gt;"")),"This row has a column letter but no label, so this demographic will be unnamed in your results.","")</f>
        <v>0</v>
      </c>
      <c r="F1486" s="4" t="s">
        <v>1741</v>
      </c>
    </row>
    <row r="1487" spans="1:6" ht="75" customHeight="1">
      <c r="A1487" t="s">
        <v>162</v>
      </c>
      <c r="B1487" t="s">
        <v>251</v>
      </c>
      <c r="C1487" t="s">
        <v>1740</v>
      </c>
      <c r="D1487" t="s">
        <v>165</v>
      </c>
      <c r="E1487" s="4">
        <f>IF(AND('Demographics'!$B$32="",OR('Demographics'!$A$32&lt;&gt;"")),"This row has a column letter but no label, so this demographic will be unnamed in your results.","")</f>
        <v>0</v>
      </c>
      <c r="F1487" s="4" t="s">
        <v>1741</v>
      </c>
    </row>
    <row r="1488" spans="1:6" ht="75" customHeight="1">
      <c r="A1488" t="s">
        <v>162</v>
      </c>
      <c r="B1488" t="s">
        <v>252</v>
      </c>
      <c r="C1488" t="s">
        <v>1740</v>
      </c>
      <c r="D1488" t="s">
        <v>165</v>
      </c>
      <c r="E1488" s="4">
        <f>IF(AND('Demographics'!$B$33="",OR('Demographics'!$A$33&lt;&gt;"")),"This row has a column letter but no label, so this demographic will be unnamed in your results.","")</f>
        <v>0</v>
      </c>
      <c r="F1488" s="4" t="s">
        <v>1741</v>
      </c>
    </row>
    <row r="1489" spans="1:6" ht="75" customHeight="1">
      <c r="A1489" t="s">
        <v>162</v>
      </c>
      <c r="B1489" t="s">
        <v>253</v>
      </c>
      <c r="C1489" t="s">
        <v>1740</v>
      </c>
      <c r="D1489" t="s">
        <v>165</v>
      </c>
      <c r="E1489" s="4">
        <f>IF(AND('Demographics'!$B$34="",OR('Demographics'!$A$34&lt;&gt;"")),"This row has a column letter but no label, so this demographic will be unnamed in your results.","")</f>
        <v>0</v>
      </c>
      <c r="F1489" s="4" t="s">
        <v>1741</v>
      </c>
    </row>
    <row r="1490" spans="1:6" ht="75" customHeight="1">
      <c r="A1490" t="s">
        <v>162</v>
      </c>
      <c r="B1490" t="s">
        <v>254</v>
      </c>
      <c r="C1490" t="s">
        <v>1740</v>
      </c>
      <c r="D1490" t="s">
        <v>165</v>
      </c>
      <c r="E1490" s="4">
        <f>IF(AND('Demographics'!$B$35="",OR('Demographics'!$A$35&lt;&gt;"")),"This row has a column letter but no label, so this demographic will be unnamed in your results.","")</f>
        <v>0</v>
      </c>
      <c r="F1490" s="4" t="s">
        <v>1741</v>
      </c>
    </row>
    <row r="1491" spans="1:6" ht="75" customHeight="1">
      <c r="A1491" t="s">
        <v>162</v>
      </c>
      <c r="B1491" t="s">
        <v>255</v>
      </c>
      <c r="C1491" t="s">
        <v>1740</v>
      </c>
      <c r="D1491" t="s">
        <v>165</v>
      </c>
      <c r="E1491" s="4">
        <f>IF(AND('Demographics'!$B$36="",OR('Demographics'!$A$36&lt;&gt;"")),"This row has a column letter but no label, so this demographic will be unnamed in your results.","")</f>
        <v>0</v>
      </c>
      <c r="F1491" s="4" t="s">
        <v>1741</v>
      </c>
    </row>
    <row r="1492" spans="1:6" ht="75" customHeight="1">
      <c r="A1492" t="s">
        <v>162</v>
      </c>
      <c r="B1492" t="s">
        <v>256</v>
      </c>
      <c r="C1492" t="s">
        <v>1740</v>
      </c>
      <c r="D1492" t="s">
        <v>165</v>
      </c>
      <c r="E1492" s="4">
        <f>IF(AND('Demographics'!$B$37="",OR('Demographics'!$A$37&lt;&gt;"")),"This row has a column letter but no label, so this demographic will be unnamed in your results.","")</f>
        <v>0</v>
      </c>
      <c r="F1492" s="4" t="s">
        <v>1741</v>
      </c>
    </row>
    <row r="1493" spans="1:6" ht="75" customHeight="1">
      <c r="A1493" t="s">
        <v>162</v>
      </c>
      <c r="B1493" t="s">
        <v>257</v>
      </c>
      <c r="C1493" t="s">
        <v>1740</v>
      </c>
      <c r="D1493" t="s">
        <v>165</v>
      </c>
      <c r="E1493" s="4">
        <f>IF(AND('Demographics'!$B$38="",OR('Demographics'!$A$38&lt;&gt;"")),"This row has a column letter but no label, so this demographic will be unnamed in your results.","")</f>
        <v>0</v>
      </c>
      <c r="F1493" s="4" t="s">
        <v>1741</v>
      </c>
    </row>
    <row r="1494" spans="1:6" ht="75" customHeight="1">
      <c r="A1494" t="s">
        <v>162</v>
      </c>
      <c r="B1494" t="s">
        <v>258</v>
      </c>
      <c r="C1494" t="s">
        <v>1740</v>
      </c>
      <c r="D1494" t="s">
        <v>165</v>
      </c>
      <c r="E1494" s="4">
        <f>IF(AND('Demographics'!$B$39="",OR('Demographics'!$A$39&lt;&gt;"")),"This row has a column letter but no label, so this demographic will be unnamed in your results.","")</f>
        <v>0</v>
      </c>
      <c r="F1494" s="4" t="s">
        <v>1741</v>
      </c>
    </row>
    <row r="1495" spans="1:6" ht="75" customHeight="1">
      <c r="A1495" t="s">
        <v>162</v>
      </c>
      <c r="B1495" t="s">
        <v>259</v>
      </c>
      <c r="C1495" t="s">
        <v>1740</v>
      </c>
      <c r="D1495" t="s">
        <v>165</v>
      </c>
      <c r="E1495" s="4">
        <f>IF(AND('Demographics'!$B$40="",OR('Demographics'!$A$40&lt;&gt;"")),"This row has a column letter but no label, so this demographic will be unnamed in your results.","")</f>
        <v>0</v>
      </c>
      <c r="F1495" s="4" t="s">
        <v>1741</v>
      </c>
    </row>
    <row r="1496" spans="1:6" ht="75" customHeight="1">
      <c r="A1496" t="s">
        <v>162</v>
      </c>
      <c r="B1496" t="s">
        <v>260</v>
      </c>
      <c r="C1496" t="s">
        <v>1740</v>
      </c>
      <c r="D1496" t="s">
        <v>165</v>
      </c>
      <c r="E1496" s="4">
        <f>IF(AND('Demographics'!$B$41="",OR('Demographics'!$A$41&lt;&gt;"")),"This row has a column letter but no label, so this demographic will be unnamed in your results.","")</f>
        <v>0</v>
      </c>
      <c r="F1496" s="4" t="s">
        <v>1741</v>
      </c>
    </row>
    <row r="1497" spans="1:6" ht="75" customHeight="1">
      <c r="A1497" t="s">
        <v>162</v>
      </c>
      <c r="B1497" t="s">
        <v>261</v>
      </c>
      <c r="C1497" t="s">
        <v>1740</v>
      </c>
      <c r="D1497" t="s">
        <v>165</v>
      </c>
      <c r="E1497" s="4">
        <f>IF(AND('Demographics'!$B$42="",OR('Demographics'!$A$42&lt;&gt;"")),"This row has a column letter but no label, so this demographic will be unnamed in your results.","")</f>
        <v>0</v>
      </c>
      <c r="F1497" s="4" t="s">
        <v>1741</v>
      </c>
    </row>
    <row r="1498" spans="1:6" ht="75" customHeight="1">
      <c r="A1498" t="s">
        <v>162</v>
      </c>
      <c r="B1498" t="s">
        <v>262</v>
      </c>
      <c r="C1498" t="s">
        <v>1740</v>
      </c>
      <c r="D1498" t="s">
        <v>165</v>
      </c>
      <c r="E1498" s="4">
        <f>IF(AND('Demographics'!$B$43="",OR('Demographics'!$A$43&lt;&gt;"")),"This row has a column letter but no label, so this demographic will be unnamed in your results.","")</f>
        <v>0</v>
      </c>
      <c r="F1498" s="4" t="s">
        <v>1741</v>
      </c>
    </row>
    <row r="1499" spans="1:6" ht="75" customHeight="1">
      <c r="A1499" t="s">
        <v>162</v>
      </c>
      <c r="B1499" t="s">
        <v>263</v>
      </c>
      <c r="C1499" t="s">
        <v>1740</v>
      </c>
      <c r="D1499" t="s">
        <v>165</v>
      </c>
      <c r="E1499" s="4">
        <f>IF(AND('Demographics'!$B$44="",OR('Demographics'!$A$44&lt;&gt;"")),"This row has a column letter but no label, so this demographic will be unnamed in your results.","")</f>
        <v>0</v>
      </c>
      <c r="F1499" s="4" t="s">
        <v>1741</v>
      </c>
    </row>
    <row r="1500" spans="1:6" ht="75" customHeight="1">
      <c r="A1500" t="s">
        <v>162</v>
      </c>
      <c r="B1500" t="s">
        <v>264</v>
      </c>
      <c r="C1500" t="s">
        <v>1740</v>
      </c>
      <c r="D1500" t="s">
        <v>165</v>
      </c>
      <c r="E1500" s="4">
        <f>IF(AND('Demographics'!$B$45="",OR('Demographics'!$A$45&lt;&gt;"")),"This row has a column letter but no label, so this demographic will be unnamed in your results.","")</f>
        <v>0</v>
      </c>
      <c r="F1500" s="4" t="s">
        <v>1741</v>
      </c>
    </row>
    <row r="1501" spans="1:6" ht="75" customHeight="1">
      <c r="A1501" t="s">
        <v>162</v>
      </c>
      <c r="B1501" t="s">
        <v>265</v>
      </c>
      <c r="C1501" t="s">
        <v>1740</v>
      </c>
      <c r="D1501" t="s">
        <v>165</v>
      </c>
      <c r="E1501" s="4">
        <f>IF(AND('Demographics'!$B$46="",OR('Demographics'!$A$46&lt;&gt;"")),"This row has a column letter but no label, so this demographic will be unnamed in your results.","")</f>
        <v>0</v>
      </c>
      <c r="F1501" s="4" t="s">
        <v>1741</v>
      </c>
    </row>
    <row r="1502" spans="1:6" ht="75" customHeight="1">
      <c r="A1502" t="s">
        <v>162</v>
      </c>
      <c r="B1502" t="s">
        <v>266</v>
      </c>
      <c r="C1502" t="s">
        <v>1740</v>
      </c>
      <c r="D1502" t="s">
        <v>165</v>
      </c>
      <c r="E1502" s="4">
        <f>IF(AND('Demographics'!$B$47="",OR('Demographics'!$A$47&lt;&gt;"")),"This row has a column letter but no label, so this demographic will be unnamed in your results.","")</f>
        <v>0</v>
      </c>
      <c r="F1502" s="4" t="s">
        <v>1741</v>
      </c>
    </row>
    <row r="1503" spans="1:6" ht="75" customHeight="1">
      <c r="A1503" t="s">
        <v>162</v>
      </c>
      <c r="B1503" t="s">
        <v>267</v>
      </c>
      <c r="C1503" t="s">
        <v>1740</v>
      </c>
      <c r="D1503" t="s">
        <v>165</v>
      </c>
      <c r="E1503" s="4">
        <f>IF(AND('Demographics'!$B$48="",OR('Demographics'!$A$48&lt;&gt;"")),"This row has a column letter but no label, so this demographic will be unnamed in your results.","")</f>
        <v>0</v>
      </c>
      <c r="F1503" s="4" t="s">
        <v>1741</v>
      </c>
    </row>
    <row r="1504" spans="1:6" ht="75" customHeight="1">
      <c r="A1504" t="s">
        <v>162</v>
      </c>
      <c r="B1504" t="s">
        <v>268</v>
      </c>
      <c r="C1504" t="s">
        <v>1740</v>
      </c>
      <c r="D1504" t="s">
        <v>165</v>
      </c>
      <c r="E1504" s="4">
        <f>IF(AND('Demographics'!$B$49="",OR('Demographics'!$A$49&lt;&gt;"")),"This row has a column letter but no label, so this demographic will be unnamed in your results.","")</f>
        <v>0</v>
      </c>
      <c r="F1504" s="4" t="s">
        <v>1741</v>
      </c>
    </row>
    <row r="1505" spans="1:6" ht="75" customHeight="1">
      <c r="A1505" t="s">
        <v>162</v>
      </c>
      <c r="B1505" t="s">
        <v>269</v>
      </c>
      <c r="C1505" t="s">
        <v>1740</v>
      </c>
      <c r="D1505" t="s">
        <v>165</v>
      </c>
      <c r="E1505" s="4">
        <f>IF(AND('Demographics'!$B$50="",OR('Demographics'!$A$50&lt;&gt;"")),"This row has a column letter but no label, so this demographic will be unnamed in your results.","")</f>
        <v>0</v>
      </c>
      <c r="F1505" s="4" t="s">
        <v>1741</v>
      </c>
    </row>
    <row r="1506" spans="1:6" ht="75" customHeight="1">
      <c r="A1506" t="s">
        <v>162</v>
      </c>
      <c r="B1506" t="s">
        <v>270</v>
      </c>
      <c r="C1506" t="s">
        <v>1740</v>
      </c>
      <c r="D1506" t="s">
        <v>165</v>
      </c>
      <c r="E1506" s="4">
        <f>IF(AND('Demographics'!$B$51="",OR('Demographics'!$A$51&lt;&gt;"")),"This row has a column letter but no label, so this demographic will be unnamed in your results.","")</f>
        <v>0</v>
      </c>
      <c r="F1506" s="4" t="s">
        <v>1741</v>
      </c>
    </row>
    <row r="1507" spans="1:6" ht="75" customHeight="1">
      <c r="A1507" t="s">
        <v>271</v>
      </c>
      <c r="B1507" t="s">
        <v>163</v>
      </c>
      <c r="C1507" t="s">
        <v>1742</v>
      </c>
      <c r="D1507" t="s">
        <v>165</v>
      </c>
      <c r="E1507" s="4">
        <f>IF(AND('Hybrid Questions'!$A$2="",OR('Hybrid Questions'!$B$2&lt;&gt;"",'Hybrid Questions'!$C$2&lt;&gt;"",'Hybrid Questions'!$D$2&lt;&gt;"")),"This row has question details but no column letter for the free-text part, so Themefinder won't know where those answers live.","")</f>
        <v>0</v>
      </c>
      <c r="F1507" s="4" t="s">
        <v>1743</v>
      </c>
    </row>
    <row r="1508" spans="1:6" ht="75" customHeight="1">
      <c r="A1508" t="s">
        <v>271</v>
      </c>
      <c r="B1508" t="s">
        <v>167</v>
      </c>
      <c r="C1508" t="s">
        <v>1742</v>
      </c>
      <c r="D1508" t="s">
        <v>165</v>
      </c>
      <c r="E1508" s="4">
        <f>IF(AND('Hybrid Questions'!$A$3="",OR('Hybrid Questions'!$B$3&lt;&gt;"",'Hybrid Questions'!$C$3&lt;&gt;"",'Hybrid Questions'!$D$3&lt;&gt;"")),"This row has question details but no column letter for the free-text part, so Themefinder won't know where those answers live.","")</f>
        <v>0</v>
      </c>
      <c r="F1508" s="4" t="s">
        <v>1743</v>
      </c>
    </row>
    <row r="1509" spans="1:6" ht="75" customHeight="1">
      <c r="A1509" t="s">
        <v>271</v>
      </c>
      <c r="B1509" t="s">
        <v>168</v>
      </c>
      <c r="C1509" t="s">
        <v>1742</v>
      </c>
      <c r="D1509" t="s">
        <v>165</v>
      </c>
      <c r="E1509" s="4">
        <f>IF(AND('Hybrid Questions'!$A$4="",OR('Hybrid Questions'!$B$4&lt;&gt;"",'Hybrid Questions'!$C$4&lt;&gt;"",'Hybrid Questions'!$D$4&lt;&gt;"")),"This row has question details but no column letter for the free-text part, so Themefinder won't know where those answers live.","")</f>
        <v>0</v>
      </c>
      <c r="F1509" s="4" t="s">
        <v>1743</v>
      </c>
    </row>
    <row r="1510" spans="1:6" ht="75" customHeight="1">
      <c r="A1510" t="s">
        <v>271</v>
      </c>
      <c r="B1510" t="s">
        <v>169</v>
      </c>
      <c r="C1510" t="s">
        <v>1742</v>
      </c>
      <c r="D1510" t="s">
        <v>165</v>
      </c>
      <c r="E1510" s="4">
        <f>IF(AND('Hybrid Questions'!$A$5="",OR('Hybrid Questions'!$B$5&lt;&gt;"",'Hybrid Questions'!$C$5&lt;&gt;"",'Hybrid Questions'!$D$5&lt;&gt;"")),"This row has question details but no column letter for the free-text part, so Themefinder won't know where those answers live.","")</f>
        <v>0</v>
      </c>
      <c r="F1510" s="4" t="s">
        <v>1743</v>
      </c>
    </row>
    <row r="1511" spans="1:6" ht="75" customHeight="1">
      <c r="A1511" t="s">
        <v>271</v>
      </c>
      <c r="B1511" t="s">
        <v>170</v>
      </c>
      <c r="C1511" t="s">
        <v>1742</v>
      </c>
      <c r="D1511" t="s">
        <v>165</v>
      </c>
      <c r="E1511" s="4">
        <f>IF(AND('Hybrid Questions'!$A$6="",OR('Hybrid Questions'!$B$6&lt;&gt;"",'Hybrid Questions'!$C$6&lt;&gt;"",'Hybrid Questions'!$D$6&lt;&gt;"")),"This row has question details but no column letter for the free-text part, so Themefinder won't know where those answers live.","")</f>
        <v>0</v>
      </c>
      <c r="F1511" s="4" t="s">
        <v>1743</v>
      </c>
    </row>
    <row r="1512" spans="1:6" ht="75" customHeight="1">
      <c r="A1512" t="s">
        <v>271</v>
      </c>
      <c r="B1512" t="s">
        <v>171</v>
      </c>
      <c r="C1512" t="s">
        <v>1742</v>
      </c>
      <c r="D1512" t="s">
        <v>165</v>
      </c>
      <c r="E1512" s="4">
        <f>IF(AND('Hybrid Questions'!$A$7="",OR('Hybrid Questions'!$B$7&lt;&gt;"",'Hybrid Questions'!$C$7&lt;&gt;"",'Hybrid Questions'!$D$7&lt;&gt;"")),"This row has question details but no column letter for the free-text part, so Themefinder won't know where those answers live.","")</f>
        <v>0</v>
      </c>
      <c r="F1512" s="4" t="s">
        <v>1743</v>
      </c>
    </row>
    <row r="1513" spans="1:6" ht="75" customHeight="1">
      <c r="A1513" t="s">
        <v>271</v>
      </c>
      <c r="B1513" t="s">
        <v>172</v>
      </c>
      <c r="C1513" t="s">
        <v>1742</v>
      </c>
      <c r="D1513" t="s">
        <v>165</v>
      </c>
      <c r="E1513" s="4">
        <f>IF(AND('Hybrid Questions'!$A$8="",OR('Hybrid Questions'!$B$8&lt;&gt;"",'Hybrid Questions'!$C$8&lt;&gt;"",'Hybrid Questions'!$D$8&lt;&gt;"")),"This row has question details but no column letter for the free-text part, so Themefinder won't know where those answers live.","")</f>
        <v>0</v>
      </c>
      <c r="F1513" s="4" t="s">
        <v>1743</v>
      </c>
    </row>
    <row r="1514" spans="1:6" ht="75" customHeight="1">
      <c r="A1514" t="s">
        <v>271</v>
      </c>
      <c r="B1514" t="s">
        <v>173</v>
      </c>
      <c r="C1514" t="s">
        <v>1742</v>
      </c>
      <c r="D1514" t="s">
        <v>165</v>
      </c>
      <c r="E1514" s="4">
        <f>IF(AND('Hybrid Questions'!$A$9="",OR('Hybrid Questions'!$B$9&lt;&gt;"",'Hybrid Questions'!$C$9&lt;&gt;"",'Hybrid Questions'!$D$9&lt;&gt;"")),"This row has question details but no column letter for the free-text part, so Themefinder won't know where those answers live.","")</f>
        <v>0</v>
      </c>
      <c r="F1514" s="4" t="s">
        <v>1743</v>
      </c>
    </row>
    <row r="1515" spans="1:6" ht="75" customHeight="1">
      <c r="A1515" t="s">
        <v>271</v>
      </c>
      <c r="B1515" t="s">
        <v>174</v>
      </c>
      <c r="C1515" t="s">
        <v>1742</v>
      </c>
      <c r="D1515" t="s">
        <v>165</v>
      </c>
      <c r="E1515" s="4">
        <f>IF(AND('Hybrid Questions'!$A$10="",OR('Hybrid Questions'!$B$10&lt;&gt;"",'Hybrid Questions'!$C$10&lt;&gt;"",'Hybrid Questions'!$D$10&lt;&gt;"")),"This row has question details but no column letter for the free-text part, so Themefinder won't know where those answers live.","")</f>
        <v>0</v>
      </c>
      <c r="F1515" s="4" t="s">
        <v>1743</v>
      </c>
    </row>
    <row r="1516" spans="1:6" ht="75" customHeight="1">
      <c r="A1516" t="s">
        <v>271</v>
      </c>
      <c r="B1516" t="s">
        <v>175</v>
      </c>
      <c r="C1516" t="s">
        <v>1742</v>
      </c>
      <c r="D1516" t="s">
        <v>165</v>
      </c>
      <c r="E1516" s="4">
        <f>IF(AND('Hybrid Questions'!$A$11="",OR('Hybrid Questions'!$B$11&lt;&gt;"",'Hybrid Questions'!$C$11&lt;&gt;"",'Hybrid Questions'!$D$11&lt;&gt;"")),"This row has question details but no column letter for the free-text part, so Themefinder won't know where those answers live.","")</f>
        <v>0</v>
      </c>
      <c r="F1516" s="4" t="s">
        <v>1743</v>
      </c>
    </row>
    <row r="1517" spans="1:6" ht="75" customHeight="1">
      <c r="A1517" t="s">
        <v>271</v>
      </c>
      <c r="B1517" t="s">
        <v>176</v>
      </c>
      <c r="C1517" t="s">
        <v>1742</v>
      </c>
      <c r="D1517" t="s">
        <v>165</v>
      </c>
      <c r="E1517" s="4">
        <f>IF(AND('Hybrid Questions'!$A$12="",OR('Hybrid Questions'!$B$12&lt;&gt;"",'Hybrid Questions'!$C$12&lt;&gt;"",'Hybrid Questions'!$D$12&lt;&gt;"")),"This row has question details but no column letter for the free-text part, so Themefinder won't know where those answers live.","")</f>
        <v>0</v>
      </c>
      <c r="F1517" s="4" t="s">
        <v>1743</v>
      </c>
    </row>
    <row r="1518" spans="1:6" ht="75" customHeight="1">
      <c r="A1518" t="s">
        <v>271</v>
      </c>
      <c r="B1518" t="s">
        <v>177</v>
      </c>
      <c r="C1518" t="s">
        <v>1742</v>
      </c>
      <c r="D1518" t="s">
        <v>165</v>
      </c>
      <c r="E1518" s="4">
        <f>IF(AND('Hybrid Questions'!$A$13="",OR('Hybrid Questions'!$B$13&lt;&gt;"",'Hybrid Questions'!$C$13&lt;&gt;"",'Hybrid Questions'!$D$13&lt;&gt;"")),"This row has question details but no column letter for the free-text part, so Themefinder won't know where those answers live.","")</f>
        <v>0</v>
      </c>
      <c r="F1518" s="4" t="s">
        <v>1743</v>
      </c>
    </row>
    <row r="1519" spans="1:6" ht="75" customHeight="1">
      <c r="A1519" t="s">
        <v>271</v>
      </c>
      <c r="B1519" t="s">
        <v>178</v>
      </c>
      <c r="C1519" t="s">
        <v>1742</v>
      </c>
      <c r="D1519" t="s">
        <v>165</v>
      </c>
      <c r="E1519" s="4">
        <f>IF(AND('Hybrid Questions'!$A$14="",OR('Hybrid Questions'!$B$14&lt;&gt;"",'Hybrid Questions'!$C$14&lt;&gt;"",'Hybrid Questions'!$D$14&lt;&gt;"")),"This row has question details but no column letter for the free-text part, so Themefinder won't know where those answers live.","")</f>
        <v>0</v>
      </c>
      <c r="F1519" s="4" t="s">
        <v>1743</v>
      </c>
    </row>
    <row r="1520" spans="1:6" ht="75" customHeight="1">
      <c r="A1520" t="s">
        <v>271</v>
      </c>
      <c r="B1520" t="s">
        <v>179</v>
      </c>
      <c r="C1520" t="s">
        <v>1742</v>
      </c>
      <c r="D1520" t="s">
        <v>165</v>
      </c>
      <c r="E1520" s="4">
        <f>IF(AND('Hybrid Questions'!$A$15="",OR('Hybrid Questions'!$B$15&lt;&gt;"",'Hybrid Questions'!$C$15&lt;&gt;"",'Hybrid Questions'!$D$15&lt;&gt;"")),"This row has question details but no column letter for the free-text part, so Themefinder won't know where those answers live.","")</f>
        <v>0</v>
      </c>
      <c r="F1520" s="4" t="s">
        <v>1743</v>
      </c>
    </row>
    <row r="1521" spans="1:6" ht="75" customHeight="1">
      <c r="A1521" t="s">
        <v>271</v>
      </c>
      <c r="B1521" t="s">
        <v>180</v>
      </c>
      <c r="C1521" t="s">
        <v>1742</v>
      </c>
      <c r="D1521" t="s">
        <v>165</v>
      </c>
      <c r="E1521" s="4">
        <f>IF(AND('Hybrid Questions'!$A$16="",OR('Hybrid Questions'!$B$16&lt;&gt;"",'Hybrid Questions'!$C$16&lt;&gt;"",'Hybrid Questions'!$D$16&lt;&gt;"")),"This row has question details but no column letter for the free-text part, so Themefinder won't know where those answers live.","")</f>
        <v>0</v>
      </c>
      <c r="F1521" s="4" t="s">
        <v>1743</v>
      </c>
    </row>
    <row r="1522" spans="1:6" ht="75" customHeight="1">
      <c r="A1522" t="s">
        <v>271</v>
      </c>
      <c r="B1522" t="s">
        <v>181</v>
      </c>
      <c r="C1522" t="s">
        <v>1742</v>
      </c>
      <c r="D1522" t="s">
        <v>165</v>
      </c>
      <c r="E1522" s="4">
        <f>IF(AND('Hybrid Questions'!$A$17="",OR('Hybrid Questions'!$B$17&lt;&gt;"",'Hybrid Questions'!$C$17&lt;&gt;"",'Hybrid Questions'!$D$17&lt;&gt;"")),"This row has question details but no column letter for the free-text part, so Themefinder won't know where those answers live.","")</f>
        <v>0</v>
      </c>
      <c r="F1522" s="4" t="s">
        <v>1743</v>
      </c>
    </row>
    <row r="1523" spans="1:6" ht="75" customHeight="1">
      <c r="A1523" t="s">
        <v>271</v>
      </c>
      <c r="B1523" t="s">
        <v>182</v>
      </c>
      <c r="C1523" t="s">
        <v>1742</v>
      </c>
      <c r="D1523" t="s">
        <v>165</v>
      </c>
      <c r="E1523" s="4">
        <f>IF(AND('Hybrid Questions'!$A$18="",OR('Hybrid Questions'!$B$18&lt;&gt;"",'Hybrid Questions'!$C$18&lt;&gt;"",'Hybrid Questions'!$D$18&lt;&gt;"")),"This row has question details but no column letter for the free-text part, so Themefinder won't know where those answers live.","")</f>
        <v>0</v>
      </c>
      <c r="F1523" s="4" t="s">
        <v>1743</v>
      </c>
    </row>
    <row r="1524" spans="1:6" ht="75" customHeight="1">
      <c r="A1524" t="s">
        <v>271</v>
      </c>
      <c r="B1524" t="s">
        <v>183</v>
      </c>
      <c r="C1524" t="s">
        <v>1742</v>
      </c>
      <c r="D1524" t="s">
        <v>165</v>
      </c>
      <c r="E1524" s="4">
        <f>IF(AND('Hybrid Questions'!$A$19="",OR('Hybrid Questions'!$B$19&lt;&gt;"",'Hybrid Questions'!$C$19&lt;&gt;"",'Hybrid Questions'!$D$19&lt;&gt;"")),"This row has question details but no column letter for the free-text part, so Themefinder won't know where those answers live.","")</f>
        <v>0</v>
      </c>
      <c r="F1524" s="4" t="s">
        <v>1743</v>
      </c>
    </row>
    <row r="1525" spans="1:6" ht="75" customHeight="1">
      <c r="A1525" t="s">
        <v>271</v>
      </c>
      <c r="B1525" t="s">
        <v>184</v>
      </c>
      <c r="C1525" t="s">
        <v>1742</v>
      </c>
      <c r="D1525" t="s">
        <v>165</v>
      </c>
      <c r="E1525" s="4">
        <f>IF(AND('Hybrid Questions'!$A$20="",OR('Hybrid Questions'!$B$20&lt;&gt;"",'Hybrid Questions'!$C$20&lt;&gt;"",'Hybrid Questions'!$D$20&lt;&gt;"")),"This row has question details but no column letter for the free-text part, so Themefinder won't know where those answers live.","")</f>
        <v>0</v>
      </c>
      <c r="F1525" s="4" t="s">
        <v>1743</v>
      </c>
    </row>
    <row r="1526" spans="1:6" ht="75" customHeight="1">
      <c r="A1526" t="s">
        <v>271</v>
      </c>
      <c r="B1526" t="s">
        <v>185</v>
      </c>
      <c r="C1526" t="s">
        <v>1742</v>
      </c>
      <c r="D1526" t="s">
        <v>165</v>
      </c>
      <c r="E1526" s="4">
        <f>IF(AND('Hybrid Questions'!$A$21="",OR('Hybrid Questions'!$B$21&lt;&gt;"",'Hybrid Questions'!$C$21&lt;&gt;"",'Hybrid Questions'!$D$21&lt;&gt;"")),"This row has question details but no column letter for the free-text part, so Themefinder won't know where those answers live.","")</f>
        <v>0</v>
      </c>
      <c r="F1526" s="4" t="s">
        <v>1743</v>
      </c>
    </row>
    <row r="1527" spans="1:6" ht="75" customHeight="1">
      <c r="A1527" t="s">
        <v>271</v>
      </c>
      <c r="B1527" t="s">
        <v>186</v>
      </c>
      <c r="C1527" t="s">
        <v>1742</v>
      </c>
      <c r="D1527" t="s">
        <v>165</v>
      </c>
      <c r="E1527" s="4">
        <f>IF(AND('Hybrid Questions'!$A$22="",OR('Hybrid Questions'!$B$22&lt;&gt;"",'Hybrid Questions'!$C$22&lt;&gt;"",'Hybrid Questions'!$D$22&lt;&gt;"")),"This row has question details but no column letter for the free-text part, so Themefinder won't know where those answers live.","")</f>
        <v>0</v>
      </c>
      <c r="F1527" s="4" t="s">
        <v>1743</v>
      </c>
    </row>
    <row r="1528" spans="1:6" ht="75" customHeight="1">
      <c r="A1528" t="s">
        <v>271</v>
      </c>
      <c r="B1528" t="s">
        <v>187</v>
      </c>
      <c r="C1528" t="s">
        <v>1742</v>
      </c>
      <c r="D1528" t="s">
        <v>165</v>
      </c>
      <c r="E1528" s="4">
        <f>IF(AND('Hybrid Questions'!$A$23="",OR('Hybrid Questions'!$B$23&lt;&gt;"",'Hybrid Questions'!$C$23&lt;&gt;"",'Hybrid Questions'!$D$23&lt;&gt;"")),"This row has question details but no column letter for the free-text part, so Themefinder won't know where those answers live.","")</f>
        <v>0</v>
      </c>
      <c r="F1528" s="4" t="s">
        <v>1743</v>
      </c>
    </row>
    <row r="1529" spans="1:6" ht="75" customHeight="1">
      <c r="A1529" t="s">
        <v>271</v>
      </c>
      <c r="B1529" t="s">
        <v>188</v>
      </c>
      <c r="C1529" t="s">
        <v>1742</v>
      </c>
      <c r="D1529" t="s">
        <v>165</v>
      </c>
      <c r="E1529" s="4">
        <f>IF(AND('Hybrid Questions'!$A$24="",OR('Hybrid Questions'!$B$24&lt;&gt;"",'Hybrid Questions'!$C$24&lt;&gt;"",'Hybrid Questions'!$D$24&lt;&gt;"")),"This row has question details but no column letter for the free-text part, so Themefinder won't know where those answers live.","")</f>
        <v>0</v>
      </c>
      <c r="F1529" s="4" t="s">
        <v>1743</v>
      </c>
    </row>
    <row r="1530" spans="1:6" ht="75" customHeight="1">
      <c r="A1530" t="s">
        <v>271</v>
      </c>
      <c r="B1530" t="s">
        <v>189</v>
      </c>
      <c r="C1530" t="s">
        <v>1742</v>
      </c>
      <c r="D1530" t="s">
        <v>165</v>
      </c>
      <c r="E1530" s="4">
        <f>IF(AND('Hybrid Questions'!$A$25="",OR('Hybrid Questions'!$B$25&lt;&gt;"",'Hybrid Questions'!$C$25&lt;&gt;"",'Hybrid Questions'!$D$25&lt;&gt;"")),"This row has question details but no column letter for the free-text part, so Themefinder won't know where those answers live.","")</f>
        <v>0</v>
      </c>
      <c r="F1530" s="4" t="s">
        <v>1743</v>
      </c>
    </row>
    <row r="1531" spans="1:6" ht="75" customHeight="1">
      <c r="A1531" t="s">
        <v>271</v>
      </c>
      <c r="B1531" t="s">
        <v>190</v>
      </c>
      <c r="C1531" t="s">
        <v>1742</v>
      </c>
      <c r="D1531" t="s">
        <v>165</v>
      </c>
      <c r="E1531" s="4">
        <f>IF(AND('Hybrid Questions'!$A$26="",OR('Hybrid Questions'!$B$26&lt;&gt;"",'Hybrid Questions'!$C$26&lt;&gt;"",'Hybrid Questions'!$D$26&lt;&gt;"")),"This row has question details but no column letter for the free-text part, so Themefinder won't know where those answers live.","")</f>
        <v>0</v>
      </c>
      <c r="F1531" s="4" t="s">
        <v>1743</v>
      </c>
    </row>
    <row r="1532" spans="1:6" ht="75" customHeight="1">
      <c r="A1532" t="s">
        <v>271</v>
      </c>
      <c r="B1532" t="s">
        <v>191</v>
      </c>
      <c r="C1532" t="s">
        <v>1742</v>
      </c>
      <c r="D1532" t="s">
        <v>165</v>
      </c>
      <c r="E1532" s="4">
        <f>IF(AND('Hybrid Questions'!$A$27="",OR('Hybrid Questions'!$B$27&lt;&gt;"",'Hybrid Questions'!$C$27&lt;&gt;"",'Hybrid Questions'!$D$27&lt;&gt;"")),"This row has question details but no column letter for the free-text part, so Themefinder won't know where those answers live.","")</f>
        <v>0</v>
      </c>
      <c r="F1532" s="4" t="s">
        <v>1743</v>
      </c>
    </row>
    <row r="1533" spans="1:6" ht="75" customHeight="1">
      <c r="A1533" t="s">
        <v>271</v>
      </c>
      <c r="B1533" t="s">
        <v>192</v>
      </c>
      <c r="C1533" t="s">
        <v>1742</v>
      </c>
      <c r="D1533" t="s">
        <v>165</v>
      </c>
      <c r="E1533" s="4">
        <f>IF(AND('Hybrid Questions'!$A$28="",OR('Hybrid Questions'!$B$28&lt;&gt;"",'Hybrid Questions'!$C$28&lt;&gt;"",'Hybrid Questions'!$D$28&lt;&gt;"")),"This row has question details but no column letter for the free-text part, so Themefinder won't know where those answers live.","")</f>
        <v>0</v>
      </c>
      <c r="F1533" s="4" t="s">
        <v>1743</v>
      </c>
    </row>
    <row r="1534" spans="1:6" ht="75" customHeight="1">
      <c r="A1534" t="s">
        <v>271</v>
      </c>
      <c r="B1534" t="s">
        <v>193</v>
      </c>
      <c r="C1534" t="s">
        <v>1742</v>
      </c>
      <c r="D1534" t="s">
        <v>165</v>
      </c>
      <c r="E1534" s="4">
        <f>IF(AND('Hybrid Questions'!$A$29="",OR('Hybrid Questions'!$B$29&lt;&gt;"",'Hybrid Questions'!$C$29&lt;&gt;"",'Hybrid Questions'!$D$29&lt;&gt;"")),"This row has question details but no column letter for the free-text part, so Themefinder won't know where those answers live.","")</f>
        <v>0</v>
      </c>
      <c r="F1534" s="4" t="s">
        <v>1743</v>
      </c>
    </row>
    <row r="1535" spans="1:6" ht="75" customHeight="1">
      <c r="A1535" t="s">
        <v>271</v>
      </c>
      <c r="B1535" t="s">
        <v>194</v>
      </c>
      <c r="C1535" t="s">
        <v>1742</v>
      </c>
      <c r="D1535" t="s">
        <v>165</v>
      </c>
      <c r="E1535" s="4">
        <f>IF(AND('Hybrid Questions'!$A$30="",OR('Hybrid Questions'!$B$30&lt;&gt;"",'Hybrid Questions'!$C$30&lt;&gt;"",'Hybrid Questions'!$D$30&lt;&gt;"")),"This row has question details but no column letter for the free-text part, so Themefinder won't know where those answers live.","")</f>
        <v>0</v>
      </c>
      <c r="F1535" s="4" t="s">
        <v>1743</v>
      </c>
    </row>
    <row r="1536" spans="1:6" ht="75" customHeight="1">
      <c r="A1536" t="s">
        <v>271</v>
      </c>
      <c r="B1536" t="s">
        <v>195</v>
      </c>
      <c r="C1536" t="s">
        <v>1742</v>
      </c>
      <c r="D1536" t="s">
        <v>165</v>
      </c>
      <c r="E1536" s="4">
        <f>IF(AND('Hybrid Questions'!$A$31="",OR('Hybrid Questions'!$B$31&lt;&gt;"",'Hybrid Questions'!$C$31&lt;&gt;"",'Hybrid Questions'!$D$31&lt;&gt;"")),"This row has question details but no column letter for the free-text part, so Themefinder won't know where those answers live.","")</f>
        <v>0</v>
      </c>
      <c r="F1536" s="4" t="s">
        <v>1743</v>
      </c>
    </row>
    <row r="1537" spans="1:6" ht="75" customHeight="1">
      <c r="A1537" t="s">
        <v>271</v>
      </c>
      <c r="B1537" t="s">
        <v>196</v>
      </c>
      <c r="C1537" t="s">
        <v>1742</v>
      </c>
      <c r="D1537" t="s">
        <v>165</v>
      </c>
      <c r="E1537" s="4">
        <f>IF(AND('Hybrid Questions'!$A$32="",OR('Hybrid Questions'!$B$32&lt;&gt;"",'Hybrid Questions'!$C$32&lt;&gt;"",'Hybrid Questions'!$D$32&lt;&gt;"")),"This row has question details but no column letter for the free-text part, so Themefinder won't know where those answers live.","")</f>
        <v>0</v>
      </c>
      <c r="F1537" s="4" t="s">
        <v>1743</v>
      </c>
    </row>
    <row r="1538" spans="1:6" ht="75" customHeight="1">
      <c r="A1538" t="s">
        <v>271</v>
      </c>
      <c r="B1538" t="s">
        <v>197</v>
      </c>
      <c r="C1538" t="s">
        <v>1742</v>
      </c>
      <c r="D1538" t="s">
        <v>165</v>
      </c>
      <c r="E1538" s="4">
        <f>IF(AND('Hybrid Questions'!$A$33="",OR('Hybrid Questions'!$B$33&lt;&gt;"",'Hybrid Questions'!$C$33&lt;&gt;"",'Hybrid Questions'!$D$33&lt;&gt;"")),"This row has question details but no column letter for the free-text part, so Themefinder won't know where those answers live.","")</f>
        <v>0</v>
      </c>
      <c r="F1538" s="4" t="s">
        <v>1743</v>
      </c>
    </row>
    <row r="1539" spans="1:6" ht="75" customHeight="1">
      <c r="A1539" t="s">
        <v>271</v>
      </c>
      <c r="B1539" t="s">
        <v>198</v>
      </c>
      <c r="C1539" t="s">
        <v>1742</v>
      </c>
      <c r="D1539" t="s">
        <v>165</v>
      </c>
      <c r="E1539" s="4">
        <f>IF(AND('Hybrid Questions'!$A$34="",OR('Hybrid Questions'!$B$34&lt;&gt;"",'Hybrid Questions'!$C$34&lt;&gt;"",'Hybrid Questions'!$D$34&lt;&gt;"")),"This row has question details but no column letter for the free-text part, so Themefinder won't know where those answers live.","")</f>
        <v>0</v>
      </c>
      <c r="F1539" s="4" t="s">
        <v>1743</v>
      </c>
    </row>
    <row r="1540" spans="1:6" ht="75" customHeight="1">
      <c r="A1540" t="s">
        <v>271</v>
      </c>
      <c r="B1540" t="s">
        <v>199</v>
      </c>
      <c r="C1540" t="s">
        <v>1742</v>
      </c>
      <c r="D1540" t="s">
        <v>165</v>
      </c>
      <c r="E1540" s="4">
        <f>IF(AND('Hybrid Questions'!$A$35="",OR('Hybrid Questions'!$B$35&lt;&gt;"",'Hybrid Questions'!$C$35&lt;&gt;"",'Hybrid Questions'!$D$35&lt;&gt;"")),"This row has question details but no column letter for the free-text part, so Themefinder won't know where those answers live.","")</f>
        <v>0</v>
      </c>
      <c r="F1540" s="4" t="s">
        <v>1743</v>
      </c>
    </row>
    <row r="1541" spans="1:6" ht="75" customHeight="1">
      <c r="A1541" t="s">
        <v>271</v>
      </c>
      <c r="B1541" t="s">
        <v>200</v>
      </c>
      <c r="C1541" t="s">
        <v>1742</v>
      </c>
      <c r="D1541" t="s">
        <v>165</v>
      </c>
      <c r="E1541" s="4">
        <f>IF(AND('Hybrid Questions'!$A$36="",OR('Hybrid Questions'!$B$36&lt;&gt;"",'Hybrid Questions'!$C$36&lt;&gt;"",'Hybrid Questions'!$D$36&lt;&gt;"")),"This row has question details but no column letter for the free-text part, so Themefinder won't know where those answers live.","")</f>
        <v>0</v>
      </c>
      <c r="F1541" s="4" t="s">
        <v>1743</v>
      </c>
    </row>
    <row r="1542" spans="1:6" ht="75" customHeight="1">
      <c r="A1542" t="s">
        <v>271</v>
      </c>
      <c r="B1542" t="s">
        <v>201</v>
      </c>
      <c r="C1542" t="s">
        <v>1742</v>
      </c>
      <c r="D1542" t="s">
        <v>165</v>
      </c>
      <c r="E1542" s="4">
        <f>IF(AND('Hybrid Questions'!$A$37="",OR('Hybrid Questions'!$B$37&lt;&gt;"",'Hybrid Questions'!$C$37&lt;&gt;"",'Hybrid Questions'!$D$37&lt;&gt;"")),"This row has question details but no column letter for the free-text part, so Themefinder won't know where those answers live.","")</f>
        <v>0</v>
      </c>
      <c r="F1542" s="4" t="s">
        <v>1743</v>
      </c>
    </row>
    <row r="1543" spans="1:6" ht="75" customHeight="1">
      <c r="A1543" t="s">
        <v>271</v>
      </c>
      <c r="B1543" t="s">
        <v>202</v>
      </c>
      <c r="C1543" t="s">
        <v>1742</v>
      </c>
      <c r="D1543" t="s">
        <v>165</v>
      </c>
      <c r="E1543" s="4">
        <f>IF(AND('Hybrid Questions'!$A$38="",OR('Hybrid Questions'!$B$38&lt;&gt;"",'Hybrid Questions'!$C$38&lt;&gt;"",'Hybrid Questions'!$D$38&lt;&gt;"")),"This row has question details but no column letter for the free-text part, so Themefinder won't know where those answers live.","")</f>
        <v>0</v>
      </c>
      <c r="F1543" s="4" t="s">
        <v>1743</v>
      </c>
    </row>
    <row r="1544" spans="1:6" ht="75" customHeight="1">
      <c r="A1544" t="s">
        <v>271</v>
      </c>
      <c r="B1544" t="s">
        <v>203</v>
      </c>
      <c r="C1544" t="s">
        <v>1742</v>
      </c>
      <c r="D1544" t="s">
        <v>165</v>
      </c>
      <c r="E1544" s="4">
        <f>IF(AND('Hybrid Questions'!$A$39="",OR('Hybrid Questions'!$B$39&lt;&gt;"",'Hybrid Questions'!$C$39&lt;&gt;"",'Hybrid Questions'!$D$39&lt;&gt;"")),"This row has question details but no column letter for the free-text part, so Themefinder won't know where those answers live.","")</f>
        <v>0</v>
      </c>
      <c r="F1544" s="4" t="s">
        <v>1743</v>
      </c>
    </row>
    <row r="1545" spans="1:6" ht="75" customHeight="1">
      <c r="A1545" t="s">
        <v>271</v>
      </c>
      <c r="B1545" t="s">
        <v>204</v>
      </c>
      <c r="C1545" t="s">
        <v>1742</v>
      </c>
      <c r="D1545" t="s">
        <v>165</v>
      </c>
      <c r="E1545" s="4">
        <f>IF(AND('Hybrid Questions'!$A$40="",OR('Hybrid Questions'!$B$40&lt;&gt;"",'Hybrid Questions'!$C$40&lt;&gt;"",'Hybrid Questions'!$D$40&lt;&gt;"")),"This row has question details but no column letter for the free-text part, so Themefinder won't know where those answers live.","")</f>
        <v>0</v>
      </c>
      <c r="F1545" s="4" t="s">
        <v>1743</v>
      </c>
    </row>
    <row r="1546" spans="1:6" ht="75" customHeight="1">
      <c r="A1546" t="s">
        <v>271</v>
      </c>
      <c r="B1546" t="s">
        <v>205</v>
      </c>
      <c r="C1546" t="s">
        <v>1742</v>
      </c>
      <c r="D1546" t="s">
        <v>165</v>
      </c>
      <c r="E1546" s="4">
        <f>IF(AND('Hybrid Questions'!$A$41="",OR('Hybrid Questions'!$B$41&lt;&gt;"",'Hybrid Questions'!$C$41&lt;&gt;"",'Hybrid Questions'!$D$41&lt;&gt;"")),"This row has question details but no column letter for the free-text part, so Themefinder won't know where those answers live.","")</f>
        <v>0</v>
      </c>
      <c r="F1546" s="4" t="s">
        <v>1743</v>
      </c>
    </row>
    <row r="1547" spans="1:6" ht="75" customHeight="1">
      <c r="A1547" t="s">
        <v>271</v>
      </c>
      <c r="B1547" t="s">
        <v>206</v>
      </c>
      <c r="C1547" t="s">
        <v>1742</v>
      </c>
      <c r="D1547" t="s">
        <v>165</v>
      </c>
      <c r="E1547" s="4">
        <f>IF(AND('Hybrid Questions'!$A$42="",OR('Hybrid Questions'!$B$42&lt;&gt;"",'Hybrid Questions'!$C$42&lt;&gt;"",'Hybrid Questions'!$D$42&lt;&gt;"")),"This row has question details but no column letter for the free-text part, so Themefinder won't know where those answers live.","")</f>
        <v>0</v>
      </c>
      <c r="F1547" s="4" t="s">
        <v>1743</v>
      </c>
    </row>
    <row r="1548" spans="1:6" ht="75" customHeight="1">
      <c r="A1548" t="s">
        <v>271</v>
      </c>
      <c r="B1548" t="s">
        <v>207</v>
      </c>
      <c r="C1548" t="s">
        <v>1742</v>
      </c>
      <c r="D1548" t="s">
        <v>165</v>
      </c>
      <c r="E1548" s="4">
        <f>IF(AND('Hybrid Questions'!$A$43="",OR('Hybrid Questions'!$B$43&lt;&gt;"",'Hybrid Questions'!$C$43&lt;&gt;"",'Hybrid Questions'!$D$43&lt;&gt;"")),"This row has question details but no column letter for the free-text part, so Themefinder won't know where those answers live.","")</f>
        <v>0</v>
      </c>
      <c r="F1548" s="4" t="s">
        <v>1743</v>
      </c>
    </row>
    <row r="1549" spans="1:6" ht="75" customHeight="1">
      <c r="A1549" t="s">
        <v>271</v>
      </c>
      <c r="B1549" t="s">
        <v>208</v>
      </c>
      <c r="C1549" t="s">
        <v>1742</v>
      </c>
      <c r="D1549" t="s">
        <v>165</v>
      </c>
      <c r="E1549" s="4">
        <f>IF(AND('Hybrid Questions'!$A$44="",OR('Hybrid Questions'!$B$44&lt;&gt;"",'Hybrid Questions'!$C$44&lt;&gt;"",'Hybrid Questions'!$D$44&lt;&gt;"")),"This row has question details but no column letter for the free-text part, so Themefinder won't know where those answers live.","")</f>
        <v>0</v>
      </c>
      <c r="F1549" s="4" t="s">
        <v>1743</v>
      </c>
    </row>
    <row r="1550" spans="1:6" ht="75" customHeight="1">
      <c r="A1550" t="s">
        <v>271</v>
      </c>
      <c r="B1550" t="s">
        <v>209</v>
      </c>
      <c r="C1550" t="s">
        <v>1742</v>
      </c>
      <c r="D1550" t="s">
        <v>165</v>
      </c>
      <c r="E1550" s="4">
        <f>IF(AND('Hybrid Questions'!$A$45="",OR('Hybrid Questions'!$B$45&lt;&gt;"",'Hybrid Questions'!$C$45&lt;&gt;"",'Hybrid Questions'!$D$45&lt;&gt;"")),"This row has question details but no column letter for the free-text part, so Themefinder won't know where those answers live.","")</f>
        <v>0</v>
      </c>
      <c r="F1550" s="4" t="s">
        <v>1743</v>
      </c>
    </row>
    <row r="1551" spans="1:6" ht="75" customHeight="1">
      <c r="A1551" t="s">
        <v>271</v>
      </c>
      <c r="B1551" t="s">
        <v>210</v>
      </c>
      <c r="C1551" t="s">
        <v>1742</v>
      </c>
      <c r="D1551" t="s">
        <v>165</v>
      </c>
      <c r="E1551" s="4">
        <f>IF(AND('Hybrid Questions'!$A$46="",OR('Hybrid Questions'!$B$46&lt;&gt;"",'Hybrid Questions'!$C$46&lt;&gt;"",'Hybrid Questions'!$D$46&lt;&gt;"")),"This row has question details but no column letter for the free-text part, so Themefinder won't know where those answers live.","")</f>
        <v>0</v>
      </c>
      <c r="F1551" s="4" t="s">
        <v>1743</v>
      </c>
    </row>
    <row r="1552" spans="1:6" ht="75" customHeight="1">
      <c r="A1552" t="s">
        <v>271</v>
      </c>
      <c r="B1552" t="s">
        <v>211</v>
      </c>
      <c r="C1552" t="s">
        <v>1742</v>
      </c>
      <c r="D1552" t="s">
        <v>165</v>
      </c>
      <c r="E1552" s="4">
        <f>IF(AND('Hybrid Questions'!$A$47="",OR('Hybrid Questions'!$B$47&lt;&gt;"",'Hybrid Questions'!$C$47&lt;&gt;"",'Hybrid Questions'!$D$47&lt;&gt;"")),"This row has question details but no column letter for the free-text part, so Themefinder won't know where those answers live.","")</f>
        <v>0</v>
      </c>
      <c r="F1552" s="4" t="s">
        <v>1743</v>
      </c>
    </row>
    <row r="1553" spans="1:6" ht="75" customHeight="1">
      <c r="A1553" t="s">
        <v>271</v>
      </c>
      <c r="B1553" t="s">
        <v>212</v>
      </c>
      <c r="C1553" t="s">
        <v>1742</v>
      </c>
      <c r="D1553" t="s">
        <v>165</v>
      </c>
      <c r="E1553" s="4">
        <f>IF(AND('Hybrid Questions'!$A$48="",OR('Hybrid Questions'!$B$48&lt;&gt;"",'Hybrid Questions'!$C$48&lt;&gt;"",'Hybrid Questions'!$D$48&lt;&gt;"")),"This row has question details but no column letter for the free-text part, so Themefinder won't know where those answers live.","")</f>
        <v>0</v>
      </c>
      <c r="F1553" s="4" t="s">
        <v>1743</v>
      </c>
    </row>
    <row r="1554" spans="1:6" ht="75" customHeight="1">
      <c r="A1554" t="s">
        <v>271</v>
      </c>
      <c r="B1554" t="s">
        <v>213</v>
      </c>
      <c r="C1554" t="s">
        <v>1742</v>
      </c>
      <c r="D1554" t="s">
        <v>165</v>
      </c>
      <c r="E1554" s="4">
        <f>IF(AND('Hybrid Questions'!$A$49="",OR('Hybrid Questions'!$B$49&lt;&gt;"",'Hybrid Questions'!$C$49&lt;&gt;"",'Hybrid Questions'!$D$49&lt;&gt;"")),"This row has question details but no column letter for the free-text part, so Themefinder won't know where those answers live.","")</f>
        <v>0</v>
      </c>
      <c r="F1554" s="4" t="s">
        <v>1743</v>
      </c>
    </row>
    <row r="1555" spans="1:6" ht="75" customHeight="1">
      <c r="A1555" t="s">
        <v>271</v>
      </c>
      <c r="B1555" t="s">
        <v>214</v>
      </c>
      <c r="C1555" t="s">
        <v>1742</v>
      </c>
      <c r="D1555" t="s">
        <v>165</v>
      </c>
      <c r="E1555" s="4">
        <f>IF(AND('Hybrid Questions'!$A$50="",OR('Hybrid Questions'!$B$50&lt;&gt;"",'Hybrid Questions'!$C$50&lt;&gt;"",'Hybrid Questions'!$D$50&lt;&gt;"")),"This row has question details but no column letter for the free-text part, so Themefinder won't know where those answers live.","")</f>
        <v>0</v>
      </c>
      <c r="F1555" s="4" t="s">
        <v>1743</v>
      </c>
    </row>
    <row r="1556" spans="1:6" ht="75" customHeight="1">
      <c r="A1556" t="s">
        <v>271</v>
      </c>
      <c r="B1556" t="s">
        <v>215</v>
      </c>
      <c r="C1556" t="s">
        <v>1742</v>
      </c>
      <c r="D1556" t="s">
        <v>165</v>
      </c>
      <c r="E1556" s="4">
        <f>IF(AND('Hybrid Questions'!$A$51="",OR('Hybrid Questions'!$B$51&lt;&gt;"",'Hybrid Questions'!$C$51&lt;&gt;"",'Hybrid Questions'!$D$51&lt;&gt;"")),"This row has question details but no column letter for the free-text part, so Themefinder won't know where those answers live.","")</f>
        <v>0</v>
      </c>
      <c r="F1556" s="4" t="s">
        <v>1743</v>
      </c>
    </row>
    <row r="1557" spans="1:6" ht="75" customHeight="1">
      <c r="A1557" t="s">
        <v>216</v>
      </c>
      <c r="B1557" t="s">
        <v>219</v>
      </c>
      <c r="C1557" t="s">
        <v>1744</v>
      </c>
      <c r="D1557" t="s">
        <v>165</v>
      </c>
      <c r="E1557" s="4">
        <f>IF(AND('Open Questions'!$B$2="",OR('Open Questions'!$A$2&lt;&gt;"",'Open Questions'!$C$2&lt;&gt;"")),"This row has no question number. Numbers identify each question in your results and are used as output folder names.","")</f>
        <v>0</v>
      </c>
      <c r="F1557" s="4" t="s">
        <v>1745</v>
      </c>
    </row>
    <row r="1558" spans="1:6" ht="75" customHeight="1">
      <c r="A1558" t="s">
        <v>216</v>
      </c>
      <c r="B1558" t="s">
        <v>222</v>
      </c>
      <c r="C1558" t="s">
        <v>1744</v>
      </c>
      <c r="D1558" t="s">
        <v>165</v>
      </c>
      <c r="E1558" s="4">
        <f>IF(AND('Open Questions'!$B$3="",OR('Open Questions'!$A$3&lt;&gt;"",'Open Questions'!$C$3&lt;&gt;"")),"This row has no question number. Numbers identify each question in your results and are used as output folder names.","")</f>
        <v>0</v>
      </c>
      <c r="F1558" s="4" t="s">
        <v>1745</v>
      </c>
    </row>
    <row r="1559" spans="1:6" ht="75" customHeight="1">
      <c r="A1559" t="s">
        <v>216</v>
      </c>
      <c r="B1559" t="s">
        <v>223</v>
      </c>
      <c r="C1559" t="s">
        <v>1744</v>
      </c>
      <c r="D1559" t="s">
        <v>165</v>
      </c>
      <c r="E1559" s="4">
        <f>IF(AND('Open Questions'!$B$4="",OR('Open Questions'!$A$4&lt;&gt;"",'Open Questions'!$C$4&lt;&gt;"")),"This row has no question number. Numbers identify each question in your results and are used as output folder names.","")</f>
        <v>0</v>
      </c>
      <c r="F1559" s="4" t="s">
        <v>1745</v>
      </c>
    </row>
    <row r="1560" spans="1:6" ht="75" customHeight="1">
      <c r="A1560" t="s">
        <v>216</v>
      </c>
      <c r="B1560" t="s">
        <v>224</v>
      </c>
      <c r="C1560" t="s">
        <v>1744</v>
      </c>
      <c r="D1560" t="s">
        <v>165</v>
      </c>
      <c r="E1560" s="4">
        <f>IF(AND('Open Questions'!$B$5="",OR('Open Questions'!$A$5&lt;&gt;"",'Open Questions'!$C$5&lt;&gt;"")),"This row has no question number. Numbers identify each question in your results and are used as output folder names.","")</f>
        <v>0</v>
      </c>
      <c r="F1560" s="4" t="s">
        <v>1745</v>
      </c>
    </row>
    <row r="1561" spans="1:6" ht="75" customHeight="1">
      <c r="A1561" t="s">
        <v>216</v>
      </c>
      <c r="B1561" t="s">
        <v>225</v>
      </c>
      <c r="C1561" t="s">
        <v>1744</v>
      </c>
      <c r="D1561" t="s">
        <v>165</v>
      </c>
      <c r="E1561" s="4">
        <f>IF(AND('Open Questions'!$B$6="",OR('Open Questions'!$A$6&lt;&gt;"",'Open Questions'!$C$6&lt;&gt;"")),"This row has no question number. Numbers identify each question in your results and are used as output folder names.","")</f>
        <v>0</v>
      </c>
      <c r="F1561" s="4" t="s">
        <v>1745</v>
      </c>
    </row>
    <row r="1562" spans="1:6" ht="75" customHeight="1">
      <c r="A1562" t="s">
        <v>216</v>
      </c>
      <c r="B1562" t="s">
        <v>226</v>
      </c>
      <c r="C1562" t="s">
        <v>1744</v>
      </c>
      <c r="D1562" t="s">
        <v>165</v>
      </c>
      <c r="E1562" s="4">
        <f>IF(AND('Open Questions'!$B$7="",OR('Open Questions'!$A$7&lt;&gt;"",'Open Questions'!$C$7&lt;&gt;"")),"This row has no question number. Numbers identify each question in your results and are used as output folder names.","")</f>
        <v>0</v>
      </c>
      <c r="F1562" s="4" t="s">
        <v>1745</v>
      </c>
    </row>
    <row r="1563" spans="1:6" ht="75" customHeight="1">
      <c r="A1563" t="s">
        <v>216</v>
      </c>
      <c r="B1563" t="s">
        <v>227</v>
      </c>
      <c r="C1563" t="s">
        <v>1744</v>
      </c>
      <c r="D1563" t="s">
        <v>165</v>
      </c>
      <c r="E1563" s="4">
        <f>IF(AND('Open Questions'!$B$8="",OR('Open Questions'!$A$8&lt;&gt;"",'Open Questions'!$C$8&lt;&gt;"")),"This row has no question number. Numbers identify each question in your results and are used as output folder names.","")</f>
        <v>0</v>
      </c>
      <c r="F1563" s="4" t="s">
        <v>1745</v>
      </c>
    </row>
    <row r="1564" spans="1:6" ht="75" customHeight="1">
      <c r="A1564" t="s">
        <v>216</v>
      </c>
      <c r="B1564" t="s">
        <v>228</v>
      </c>
      <c r="C1564" t="s">
        <v>1744</v>
      </c>
      <c r="D1564" t="s">
        <v>165</v>
      </c>
      <c r="E1564" s="4">
        <f>IF(AND('Open Questions'!$B$9="",OR('Open Questions'!$A$9&lt;&gt;"",'Open Questions'!$C$9&lt;&gt;"")),"This row has no question number. Numbers identify each question in your results and are used as output folder names.","")</f>
        <v>0</v>
      </c>
      <c r="F1564" s="4" t="s">
        <v>1745</v>
      </c>
    </row>
    <row r="1565" spans="1:6" ht="75" customHeight="1">
      <c r="A1565" t="s">
        <v>216</v>
      </c>
      <c r="B1565" t="s">
        <v>229</v>
      </c>
      <c r="C1565" t="s">
        <v>1744</v>
      </c>
      <c r="D1565" t="s">
        <v>165</v>
      </c>
      <c r="E1565" s="4">
        <f>IF(AND('Open Questions'!$B$10="",OR('Open Questions'!$A$10&lt;&gt;"",'Open Questions'!$C$10&lt;&gt;"")),"This row has no question number. Numbers identify each question in your results and are used as output folder names.","")</f>
        <v>0</v>
      </c>
      <c r="F1565" s="4" t="s">
        <v>1745</v>
      </c>
    </row>
    <row r="1566" spans="1:6" ht="75" customHeight="1">
      <c r="A1566" t="s">
        <v>216</v>
      </c>
      <c r="B1566" t="s">
        <v>230</v>
      </c>
      <c r="C1566" t="s">
        <v>1744</v>
      </c>
      <c r="D1566" t="s">
        <v>165</v>
      </c>
      <c r="E1566" s="4">
        <f>IF(AND('Open Questions'!$B$11="",OR('Open Questions'!$A$11&lt;&gt;"",'Open Questions'!$C$11&lt;&gt;"")),"This row has no question number. Numbers identify each question in your results and are used as output folder names.","")</f>
        <v>0</v>
      </c>
      <c r="F1566" s="4" t="s">
        <v>1745</v>
      </c>
    </row>
    <row r="1567" spans="1:6" ht="75" customHeight="1">
      <c r="A1567" t="s">
        <v>216</v>
      </c>
      <c r="B1567" t="s">
        <v>231</v>
      </c>
      <c r="C1567" t="s">
        <v>1744</v>
      </c>
      <c r="D1567" t="s">
        <v>165</v>
      </c>
      <c r="E1567" s="4">
        <f>IF(AND('Open Questions'!$B$12="",OR('Open Questions'!$A$12&lt;&gt;"",'Open Questions'!$C$12&lt;&gt;"")),"This row has no question number. Numbers identify each question in your results and are used as output folder names.","")</f>
        <v>0</v>
      </c>
      <c r="F1567" s="4" t="s">
        <v>1745</v>
      </c>
    </row>
    <row r="1568" spans="1:6" ht="75" customHeight="1">
      <c r="A1568" t="s">
        <v>216</v>
      </c>
      <c r="B1568" t="s">
        <v>232</v>
      </c>
      <c r="C1568" t="s">
        <v>1744</v>
      </c>
      <c r="D1568" t="s">
        <v>165</v>
      </c>
      <c r="E1568" s="4">
        <f>IF(AND('Open Questions'!$B$13="",OR('Open Questions'!$A$13&lt;&gt;"",'Open Questions'!$C$13&lt;&gt;"")),"This row has no question number. Numbers identify each question in your results and are used as output folder names.","")</f>
        <v>0</v>
      </c>
      <c r="F1568" s="4" t="s">
        <v>1745</v>
      </c>
    </row>
    <row r="1569" spans="1:6" ht="75" customHeight="1">
      <c r="A1569" t="s">
        <v>216</v>
      </c>
      <c r="B1569" t="s">
        <v>233</v>
      </c>
      <c r="C1569" t="s">
        <v>1744</v>
      </c>
      <c r="D1569" t="s">
        <v>165</v>
      </c>
      <c r="E1569" s="4">
        <f>IF(AND('Open Questions'!$B$14="",OR('Open Questions'!$A$14&lt;&gt;"",'Open Questions'!$C$14&lt;&gt;"")),"This row has no question number. Numbers identify each question in your results and are used as output folder names.","")</f>
        <v>0</v>
      </c>
      <c r="F1569" s="4" t="s">
        <v>1745</v>
      </c>
    </row>
    <row r="1570" spans="1:6" ht="75" customHeight="1">
      <c r="A1570" t="s">
        <v>216</v>
      </c>
      <c r="B1570" t="s">
        <v>234</v>
      </c>
      <c r="C1570" t="s">
        <v>1744</v>
      </c>
      <c r="D1570" t="s">
        <v>165</v>
      </c>
      <c r="E1570" s="4">
        <f>IF(AND('Open Questions'!$B$15="",OR('Open Questions'!$A$15&lt;&gt;"",'Open Questions'!$C$15&lt;&gt;"")),"This row has no question number. Numbers identify each question in your results and are used as output folder names.","")</f>
        <v>0</v>
      </c>
      <c r="F1570" s="4" t="s">
        <v>1745</v>
      </c>
    </row>
    <row r="1571" spans="1:6" ht="75" customHeight="1">
      <c r="A1571" t="s">
        <v>216</v>
      </c>
      <c r="B1571" t="s">
        <v>235</v>
      </c>
      <c r="C1571" t="s">
        <v>1744</v>
      </c>
      <c r="D1571" t="s">
        <v>165</v>
      </c>
      <c r="E1571" s="4">
        <f>IF(AND('Open Questions'!$B$16="",OR('Open Questions'!$A$16&lt;&gt;"",'Open Questions'!$C$16&lt;&gt;"")),"This row has no question number. Numbers identify each question in your results and are used as output folder names.","")</f>
        <v>0</v>
      </c>
      <c r="F1571" s="4" t="s">
        <v>1745</v>
      </c>
    </row>
    <row r="1572" spans="1:6" ht="75" customHeight="1">
      <c r="A1572" t="s">
        <v>216</v>
      </c>
      <c r="B1572" t="s">
        <v>236</v>
      </c>
      <c r="C1572" t="s">
        <v>1744</v>
      </c>
      <c r="D1572" t="s">
        <v>165</v>
      </c>
      <c r="E1572" s="4">
        <f>IF(AND('Open Questions'!$B$17="",OR('Open Questions'!$A$17&lt;&gt;"",'Open Questions'!$C$17&lt;&gt;"")),"This row has no question number. Numbers identify each question in your results and are used as output folder names.","")</f>
        <v>0</v>
      </c>
      <c r="F1572" s="4" t="s">
        <v>1745</v>
      </c>
    </row>
    <row r="1573" spans="1:6" ht="75" customHeight="1">
      <c r="A1573" t="s">
        <v>216</v>
      </c>
      <c r="B1573" t="s">
        <v>237</v>
      </c>
      <c r="C1573" t="s">
        <v>1744</v>
      </c>
      <c r="D1573" t="s">
        <v>165</v>
      </c>
      <c r="E1573" s="4">
        <f>IF(AND('Open Questions'!$B$18="",OR('Open Questions'!$A$18&lt;&gt;"",'Open Questions'!$C$18&lt;&gt;"")),"This row has no question number. Numbers identify each question in your results and are used as output folder names.","")</f>
        <v>0</v>
      </c>
      <c r="F1573" s="4" t="s">
        <v>1745</v>
      </c>
    </row>
    <row r="1574" spans="1:6" ht="75" customHeight="1">
      <c r="A1574" t="s">
        <v>216</v>
      </c>
      <c r="B1574" t="s">
        <v>238</v>
      </c>
      <c r="C1574" t="s">
        <v>1744</v>
      </c>
      <c r="D1574" t="s">
        <v>165</v>
      </c>
      <c r="E1574" s="4">
        <f>IF(AND('Open Questions'!$B$19="",OR('Open Questions'!$A$19&lt;&gt;"",'Open Questions'!$C$19&lt;&gt;"")),"This row has no question number. Numbers identify each question in your results and are used as output folder names.","")</f>
        <v>0</v>
      </c>
      <c r="F1574" s="4" t="s">
        <v>1745</v>
      </c>
    </row>
    <row r="1575" spans="1:6" ht="75" customHeight="1">
      <c r="A1575" t="s">
        <v>216</v>
      </c>
      <c r="B1575" t="s">
        <v>239</v>
      </c>
      <c r="C1575" t="s">
        <v>1744</v>
      </c>
      <c r="D1575" t="s">
        <v>165</v>
      </c>
      <c r="E1575" s="4">
        <f>IF(AND('Open Questions'!$B$20="",OR('Open Questions'!$A$20&lt;&gt;"",'Open Questions'!$C$20&lt;&gt;"")),"This row has no question number. Numbers identify each question in your results and are used as output folder names.","")</f>
        <v>0</v>
      </c>
      <c r="F1575" s="4" t="s">
        <v>1745</v>
      </c>
    </row>
    <row r="1576" spans="1:6" ht="75" customHeight="1">
      <c r="A1576" t="s">
        <v>216</v>
      </c>
      <c r="B1576" t="s">
        <v>240</v>
      </c>
      <c r="C1576" t="s">
        <v>1744</v>
      </c>
      <c r="D1576" t="s">
        <v>165</v>
      </c>
      <c r="E1576" s="4">
        <f>IF(AND('Open Questions'!$B$21="",OR('Open Questions'!$A$21&lt;&gt;"",'Open Questions'!$C$21&lt;&gt;"")),"This row has no question number. Numbers identify each question in your results and are used as output folder names.","")</f>
        <v>0</v>
      </c>
      <c r="F1576" s="4" t="s">
        <v>1745</v>
      </c>
    </row>
    <row r="1577" spans="1:6" ht="75" customHeight="1">
      <c r="A1577" t="s">
        <v>216</v>
      </c>
      <c r="B1577" t="s">
        <v>241</v>
      </c>
      <c r="C1577" t="s">
        <v>1744</v>
      </c>
      <c r="D1577" t="s">
        <v>165</v>
      </c>
      <c r="E1577" s="4">
        <f>IF(AND('Open Questions'!$B$22="",OR('Open Questions'!$A$22&lt;&gt;"",'Open Questions'!$C$22&lt;&gt;"")),"This row has no question number. Numbers identify each question in your results and are used as output folder names.","")</f>
        <v>0</v>
      </c>
      <c r="F1577" s="4" t="s">
        <v>1745</v>
      </c>
    </row>
    <row r="1578" spans="1:6" ht="75" customHeight="1">
      <c r="A1578" t="s">
        <v>216</v>
      </c>
      <c r="B1578" t="s">
        <v>242</v>
      </c>
      <c r="C1578" t="s">
        <v>1744</v>
      </c>
      <c r="D1578" t="s">
        <v>165</v>
      </c>
      <c r="E1578" s="4">
        <f>IF(AND('Open Questions'!$B$23="",OR('Open Questions'!$A$23&lt;&gt;"",'Open Questions'!$C$23&lt;&gt;"")),"This row has no question number. Numbers identify each question in your results and are used as output folder names.","")</f>
        <v>0</v>
      </c>
      <c r="F1578" s="4" t="s">
        <v>1745</v>
      </c>
    </row>
    <row r="1579" spans="1:6" ht="75" customHeight="1">
      <c r="A1579" t="s">
        <v>216</v>
      </c>
      <c r="B1579" t="s">
        <v>243</v>
      </c>
      <c r="C1579" t="s">
        <v>1744</v>
      </c>
      <c r="D1579" t="s">
        <v>165</v>
      </c>
      <c r="E1579" s="4">
        <f>IF(AND('Open Questions'!$B$24="",OR('Open Questions'!$A$24&lt;&gt;"",'Open Questions'!$C$24&lt;&gt;"")),"This row has no question number. Numbers identify each question in your results and are used as output folder names.","")</f>
        <v>0</v>
      </c>
      <c r="F1579" s="4" t="s">
        <v>1745</v>
      </c>
    </row>
    <row r="1580" spans="1:6" ht="75" customHeight="1">
      <c r="A1580" t="s">
        <v>216</v>
      </c>
      <c r="B1580" t="s">
        <v>244</v>
      </c>
      <c r="C1580" t="s">
        <v>1744</v>
      </c>
      <c r="D1580" t="s">
        <v>165</v>
      </c>
      <c r="E1580" s="4">
        <f>IF(AND('Open Questions'!$B$25="",OR('Open Questions'!$A$25&lt;&gt;"",'Open Questions'!$C$25&lt;&gt;"")),"This row has no question number. Numbers identify each question in your results and are used as output folder names.","")</f>
        <v>0</v>
      </c>
      <c r="F1580" s="4" t="s">
        <v>1745</v>
      </c>
    </row>
    <row r="1581" spans="1:6" ht="75" customHeight="1">
      <c r="A1581" t="s">
        <v>216</v>
      </c>
      <c r="B1581" t="s">
        <v>245</v>
      </c>
      <c r="C1581" t="s">
        <v>1744</v>
      </c>
      <c r="D1581" t="s">
        <v>165</v>
      </c>
      <c r="E1581" s="4">
        <f>IF(AND('Open Questions'!$B$26="",OR('Open Questions'!$A$26&lt;&gt;"",'Open Questions'!$C$26&lt;&gt;"")),"This row has no question number. Numbers identify each question in your results and are used as output folder names.","")</f>
        <v>0</v>
      </c>
      <c r="F1581" s="4" t="s">
        <v>1745</v>
      </c>
    </row>
    <row r="1582" spans="1:6" ht="75" customHeight="1">
      <c r="A1582" t="s">
        <v>216</v>
      </c>
      <c r="B1582" t="s">
        <v>246</v>
      </c>
      <c r="C1582" t="s">
        <v>1744</v>
      </c>
      <c r="D1582" t="s">
        <v>165</v>
      </c>
      <c r="E1582" s="4">
        <f>IF(AND('Open Questions'!$B$27="",OR('Open Questions'!$A$27&lt;&gt;"",'Open Questions'!$C$27&lt;&gt;"")),"This row has no question number. Numbers identify each question in your results and are used as output folder names.","")</f>
        <v>0</v>
      </c>
      <c r="F1582" s="4" t="s">
        <v>1745</v>
      </c>
    </row>
    <row r="1583" spans="1:6" ht="75" customHeight="1">
      <c r="A1583" t="s">
        <v>216</v>
      </c>
      <c r="B1583" t="s">
        <v>247</v>
      </c>
      <c r="C1583" t="s">
        <v>1744</v>
      </c>
      <c r="D1583" t="s">
        <v>165</v>
      </c>
      <c r="E1583" s="4">
        <f>IF(AND('Open Questions'!$B$28="",OR('Open Questions'!$A$28&lt;&gt;"",'Open Questions'!$C$28&lt;&gt;"")),"This row has no question number. Numbers identify each question in your results and are used as output folder names.","")</f>
        <v>0</v>
      </c>
      <c r="F1583" s="4" t="s">
        <v>1745</v>
      </c>
    </row>
    <row r="1584" spans="1:6" ht="75" customHeight="1">
      <c r="A1584" t="s">
        <v>216</v>
      </c>
      <c r="B1584" t="s">
        <v>248</v>
      </c>
      <c r="C1584" t="s">
        <v>1744</v>
      </c>
      <c r="D1584" t="s">
        <v>165</v>
      </c>
      <c r="E1584" s="4">
        <f>IF(AND('Open Questions'!$B$29="",OR('Open Questions'!$A$29&lt;&gt;"",'Open Questions'!$C$29&lt;&gt;"")),"This row has no question number. Numbers identify each question in your results and are used as output folder names.","")</f>
        <v>0</v>
      </c>
      <c r="F1584" s="4" t="s">
        <v>1745</v>
      </c>
    </row>
    <row r="1585" spans="1:6" ht="75" customHeight="1">
      <c r="A1585" t="s">
        <v>216</v>
      </c>
      <c r="B1585" t="s">
        <v>249</v>
      </c>
      <c r="C1585" t="s">
        <v>1744</v>
      </c>
      <c r="D1585" t="s">
        <v>165</v>
      </c>
      <c r="E1585" s="4">
        <f>IF(AND('Open Questions'!$B$30="",OR('Open Questions'!$A$30&lt;&gt;"",'Open Questions'!$C$30&lt;&gt;"")),"This row has no question number. Numbers identify each question in your results and are used as output folder names.","")</f>
        <v>0</v>
      </c>
      <c r="F1585" s="4" t="s">
        <v>1745</v>
      </c>
    </row>
    <row r="1586" spans="1:6" ht="75" customHeight="1">
      <c r="A1586" t="s">
        <v>216</v>
      </c>
      <c r="B1586" t="s">
        <v>250</v>
      </c>
      <c r="C1586" t="s">
        <v>1744</v>
      </c>
      <c r="D1586" t="s">
        <v>165</v>
      </c>
      <c r="E1586" s="4">
        <f>IF(AND('Open Questions'!$B$31="",OR('Open Questions'!$A$31&lt;&gt;"",'Open Questions'!$C$31&lt;&gt;"")),"This row has no question number. Numbers identify each question in your results and are used as output folder names.","")</f>
        <v>0</v>
      </c>
      <c r="F1586" s="4" t="s">
        <v>1745</v>
      </c>
    </row>
    <row r="1587" spans="1:6" ht="75" customHeight="1">
      <c r="A1587" t="s">
        <v>216</v>
      </c>
      <c r="B1587" t="s">
        <v>251</v>
      </c>
      <c r="C1587" t="s">
        <v>1744</v>
      </c>
      <c r="D1587" t="s">
        <v>165</v>
      </c>
      <c r="E1587" s="4">
        <f>IF(AND('Open Questions'!$B$32="",OR('Open Questions'!$A$32&lt;&gt;"",'Open Questions'!$C$32&lt;&gt;"")),"This row has no question number. Numbers identify each question in your results and are used as output folder names.","")</f>
        <v>0</v>
      </c>
      <c r="F1587" s="4" t="s">
        <v>1745</v>
      </c>
    </row>
    <row r="1588" spans="1:6" ht="75" customHeight="1">
      <c r="A1588" t="s">
        <v>216</v>
      </c>
      <c r="B1588" t="s">
        <v>252</v>
      </c>
      <c r="C1588" t="s">
        <v>1744</v>
      </c>
      <c r="D1588" t="s">
        <v>165</v>
      </c>
      <c r="E1588" s="4">
        <f>IF(AND('Open Questions'!$B$33="",OR('Open Questions'!$A$33&lt;&gt;"",'Open Questions'!$C$33&lt;&gt;"")),"This row has no question number. Numbers identify each question in your results and are used as output folder names.","")</f>
        <v>0</v>
      </c>
      <c r="F1588" s="4" t="s">
        <v>1745</v>
      </c>
    </row>
    <row r="1589" spans="1:6" ht="75" customHeight="1">
      <c r="A1589" t="s">
        <v>216</v>
      </c>
      <c r="B1589" t="s">
        <v>253</v>
      </c>
      <c r="C1589" t="s">
        <v>1744</v>
      </c>
      <c r="D1589" t="s">
        <v>165</v>
      </c>
      <c r="E1589" s="4">
        <f>IF(AND('Open Questions'!$B$34="",OR('Open Questions'!$A$34&lt;&gt;"",'Open Questions'!$C$34&lt;&gt;"")),"This row has no question number. Numbers identify each question in your results and are used as output folder names.","")</f>
        <v>0</v>
      </c>
      <c r="F1589" s="4" t="s">
        <v>1745</v>
      </c>
    </row>
    <row r="1590" spans="1:6" ht="75" customHeight="1">
      <c r="A1590" t="s">
        <v>216</v>
      </c>
      <c r="B1590" t="s">
        <v>254</v>
      </c>
      <c r="C1590" t="s">
        <v>1744</v>
      </c>
      <c r="D1590" t="s">
        <v>165</v>
      </c>
      <c r="E1590" s="4">
        <f>IF(AND('Open Questions'!$B$35="",OR('Open Questions'!$A$35&lt;&gt;"",'Open Questions'!$C$35&lt;&gt;"")),"This row has no question number. Numbers identify each question in your results and are used as output folder names.","")</f>
        <v>0</v>
      </c>
      <c r="F1590" s="4" t="s">
        <v>1745</v>
      </c>
    </row>
    <row r="1591" spans="1:6" ht="75" customHeight="1">
      <c r="A1591" t="s">
        <v>216</v>
      </c>
      <c r="B1591" t="s">
        <v>255</v>
      </c>
      <c r="C1591" t="s">
        <v>1744</v>
      </c>
      <c r="D1591" t="s">
        <v>165</v>
      </c>
      <c r="E1591" s="4">
        <f>IF(AND('Open Questions'!$B$36="",OR('Open Questions'!$A$36&lt;&gt;"",'Open Questions'!$C$36&lt;&gt;"")),"This row has no question number. Numbers identify each question in your results and are used as output folder names.","")</f>
        <v>0</v>
      </c>
      <c r="F1591" s="4" t="s">
        <v>1745</v>
      </c>
    </row>
    <row r="1592" spans="1:6" ht="75" customHeight="1">
      <c r="A1592" t="s">
        <v>216</v>
      </c>
      <c r="B1592" t="s">
        <v>256</v>
      </c>
      <c r="C1592" t="s">
        <v>1744</v>
      </c>
      <c r="D1592" t="s">
        <v>165</v>
      </c>
      <c r="E1592" s="4">
        <f>IF(AND('Open Questions'!$B$37="",OR('Open Questions'!$A$37&lt;&gt;"",'Open Questions'!$C$37&lt;&gt;"")),"This row has no question number. Numbers identify each question in your results and are used as output folder names.","")</f>
        <v>0</v>
      </c>
      <c r="F1592" s="4" t="s">
        <v>1745</v>
      </c>
    </row>
    <row r="1593" spans="1:6" ht="75" customHeight="1">
      <c r="A1593" t="s">
        <v>216</v>
      </c>
      <c r="B1593" t="s">
        <v>257</v>
      </c>
      <c r="C1593" t="s">
        <v>1744</v>
      </c>
      <c r="D1593" t="s">
        <v>165</v>
      </c>
      <c r="E1593" s="4">
        <f>IF(AND('Open Questions'!$B$38="",OR('Open Questions'!$A$38&lt;&gt;"",'Open Questions'!$C$38&lt;&gt;"")),"This row has no question number. Numbers identify each question in your results and are used as output folder names.","")</f>
        <v>0</v>
      </c>
      <c r="F1593" s="4" t="s">
        <v>1745</v>
      </c>
    </row>
    <row r="1594" spans="1:6" ht="75" customHeight="1">
      <c r="A1594" t="s">
        <v>216</v>
      </c>
      <c r="B1594" t="s">
        <v>258</v>
      </c>
      <c r="C1594" t="s">
        <v>1744</v>
      </c>
      <c r="D1594" t="s">
        <v>165</v>
      </c>
      <c r="E1594" s="4">
        <f>IF(AND('Open Questions'!$B$39="",OR('Open Questions'!$A$39&lt;&gt;"",'Open Questions'!$C$39&lt;&gt;"")),"This row has no question number. Numbers identify each question in your results and are used as output folder names.","")</f>
        <v>0</v>
      </c>
      <c r="F1594" s="4" t="s">
        <v>1745</v>
      </c>
    </row>
    <row r="1595" spans="1:6" ht="75" customHeight="1">
      <c r="A1595" t="s">
        <v>216</v>
      </c>
      <c r="B1595" t="s">
        <v>259</v>
      </c>
      <c r="C1595" t="s">
        <v>1744</v>
      </c>
      <c r="D1595" t="s">
        <v>165</v>
      </c>
      <c r="E1595" s="4">
        <f>IF(AND('Open Questions'!$B$40="",OR('Open Questions'!$A$40&lt;&gt;"",'Open Questions'!$C$40&lt;&gt;"")),"This row has no question number. Numbers identify each question in your results and are used as output folder names.","")</f>
        <v>0</v>
      </c>
      <c r="F1595" s="4" t="s">
        <v>1745</v>
      </c>
    </row>
    <row r="1596" spans="1:6" ht="75" customHeight="1">
      <c r="A1596" t="s">
        <v>216</v>
      </c>
      <c r="B1596" t="s">
        <v>260</v>
      </c>
      <c r="C1596" t="s">
        <v>1744</v>
      </c>
      <c r="D1596" t="s">
        <v>165</v>
      </c>
      <c r="E1596" s="4">
        <f>IF(AND('Open Questions'!$B$41="",OR('Open Questions'!$A$41&lt;&gt;"",'Open Questions'!$C$41&lt;&gt;"")),"This row has no question number. Numbers identify each question in your results and are used as output folder names.","")</f>
        <v>0</v>
      </c>
      <c r="F1596" s="4" t="s">
        <v>1745</v>
      </c>
    </row>
    <row r="1597" spans="1:6" ht="75" customHeight="1">
      <c r="A1597" t="s">
        <v>216</v>
      </c>
      <c r="B1597" t="s">
        <v>261</v>
      </c>
      <c r="C1597" t="s">
        <v>1744</v>
      </c>
      <c r="D1597" t="s">
        <v>165</v>
      </c>
      <c r="E1597" s="4">
        <f>IF(AND('Open Questions'!$B$42="",OR('Open Questions'!$A$42&lt;&gt;"",'Open Questions'!$C$42&lt;&gt;"")),"This row has no question number. Numbers identify each question in your results and are used as output folder names.","")</f>
        <v>0</v>
      </c>
      <c r="F1597" s="4" t="s">
        <v>1745</v>
      </c>
    </row>
    <row r="1598" spans="1:6" ht="75" customHeight="1">
      <c r="A1598" t="s">
        <v>216</v>
      </c>
      <c r="B1598" t="s">
        <v>262</v>
      </c>
      <c r="C1598" t="s">
        <v>1744</v>
      </c>
      <c r="D1598" t="s">
        <v>165</v>
      </c>
      <c r="E1598" s="4">
        <f>IF(AND('Open Questions'!$B$43="",OR('Open Questions'!$A$43&lt;&gt;"",'Open Questions'!$C$43&lt;&gt;"")),"This row has no question number. Numbers identify each question in your results and are used as output folder names.","")</f>
        <v>0</v>
      </c>
      <c r="F1598" s="4" t="s">
        <v>1745</v>
      </c>
    </row>
    <row r="1599" spans="1:6" ht="75" customHeight="1">
      <c r="A1599" t="s">
        <v>216</v>
      </c>
      <c r="B1599" t="s">
        <v>263</v>
      </c>
      <c r="C1599" t="s">
        <v>1744</v>
      </c>
      <c r="D1599" t="s">
        <v>165</v>
      </c>
      <c r="E1599" s="4">
        <f>IF(AND('Open Questions'!$B$44="",OR('Open Questions'!$A$44&lt;&gt;"",'Open Questions'!$C$44&lt;&gt;"")),"This row has no question number. Numbers identify each question in your results and are used as output folder names.","")</f>
        <v>0</v>
      </c>
      <c r="F1599" s="4" t="s">
        <v>1745</v>
      </c>
    </row>
    <row r="1600" spans="1:6" ht="75" customHeight="1">
      <c r="A1600" t="s">
        <v>216</v>
      </c>
      <c r="B1600" t="s">
        <v>264</v>
      </c>
      <c r="C1600" t="s">
        <v>1744</v>
      </c>
      <c r="D1600" t="s">
        <v>165</v>
      </c>
      <c r="E1600" s="4">
        <f>IF(AND('Open Questions'!$B$45="",OR('Open Questions'!$A$45&lt;&gt;"",'Open Questions'!$C$45&lt;&gt;"")),"This row has no question number. Numbers identify each question in your results and are used as output folder names.","")</f>
        <v>0</v>
      </c>
      <c r="F1600" s="4" t="s">
        <v>1745</v>
      </c>
    </row>
    <row r="1601" spans="1:6" ht="75" customHeight="1">
      <c r="A1601" t="s">
        <v>216</v>
      </c>
      <c r="B1601" t="s">
        <v>265</v>
      </c>
      <c r="C1601" t="s">
        <v>1744</v>
      </c>
      <c r="D1601" t="s">
        <v>165</v>
      </c>
      <c r="E1601" s="4">
        <f>IF(AND('Open Questions'!$B$46="",OR('Open Questions'!$A$46&lt;&gt;"",'Open Questions'!$C$46&lt;&gt;"")),"This row has no question number. Numbers identify each question in your results and are used as output folder names.","")</f>
        <v>0</v>
      </c>
      <c r="F1601" s="4" t="s">
        <v>1745</v>
      </c>
    </row>
    <row r="1602" spans="1:6" ht="75" customHeight="1">
      <c r="A1602" t="s">
        <v>216</v>
      </c>
      <c r="B1602" t="s">
        <v>266</v>
      </c>
      <c r="C1602" t="s">
        <v>1744</v>
      </c>
      <c r="D1602" t="s">
        <v>165</v>
      </c>
      <c r="E1602" s="4">
        <f>IF(AND('Open Questions'!$B$47="",OR('Open Questions'!$A$47&lt;&gt;"",'Open Questions'!$C$47&lt;&gt;"")),"This row has no question number. Numbers identify each question in your results and are used as output folder names.","")</f>
        <v>0</v>
      </c>
      <c r="F1602" s="4" t="s">
        <v>1745</v>
      </c>
    </row>
    <row r="1603" spans="1:6" ht="75" customHeight="1">
      <c r="A1603" t="s">
        <v>216</v>
      </c>
      <c r="B1603" t="s">
        <v>267</v>
      </c>
      <c r="C1603" t="s">
        <v>1744</v>
      </c>
      <c r="D1603" t="s">
        <v>165</v>
      </c>
      <c r="E1603" s="4">
        <f>IF(AND('Open Questions'!$B$48="",OR('Open Questions'!$A$48&lt;&gt;"",'Open Questions'!$C$48&lt;&gt;"")),"This row has no question number. Numbers identify each question in your results and are used as output folder names.","")</f>
        <v>0</v>
      </c>
      <c r="F1603" s="4" t="s">
        <v>1745</v>
      </c>
    </row>
    <row r="1604" spans="1:6" ht="75" customHeight="1">
      <c r="A1604" t="s">
        <v>216</v>
      </c>
      <c r="B1604" t="s">
        <v>268</v>
      </c>
      <c r="C1604" t="s">
        <v>1744</v>
      </c>
      <c r="D1604" t="s">
        <v>165</v>
      </c>
      <c r="E1604" s="4">
        <f>IF(AND('Open Questions'!$B$49="",OR('Open Questions'!$A$49&lt;&gt;"",'Open Questions'!$C$49&lt;&gt;"")),"This row has no question number. Numbers identify each question in your results and are used as output folder names.","")</f>
        <v>0</v>
      </c>
      <c r="F1604" s="4" t="s">
        <v>1745</v>
      </c>
    </row>
    <row r="1605" spans="1:6" ht="75" customHeight="1">
      <c r="A1605" t="s">
        <v>216</v>
      </c>
      <c r="B1605" t="s">
        <v>269</v>
      </c>
      <c r="C1605" t="s">
        <v>1744</v>
      </c>
      <c r="D1605" t="s">
        <v>165</v>
      </c>
      <c r="E1605" s="4">
        <f>IF(AND('Open Questions'!$B$50="",OR('Open Questions'!$A$50&lt;&gt;"",'Open Questions'!$C$50&lt;&gt;"")),"This row has no question number. Numbers identify each question in your results and are used as output folder names.","")</f>
        <v>0</v>
      </c>
      <c r="F1605" s="4" t="s">
        <v>1745</v>
      </c>
    </row>
    <row r="1606" spans="1:6" ht="75" customHeight="1">
      <c r="A1606" t="s">
        <v>216</v>
      </c>
      <c r="B1606" t="s">
        <v>270</v>
      </c>
      <c r="C1606" t="s">
        <v>1744</v>
      </c>
      <c r="D1606" t="s">
        <v>165</v>
      </c>
      <c r="E1606" s="4">
        <f>IF(AND('Open Questions'!$B$51="",OR('Open Questions'!$A$51&lt;&gt;"",'Open Questions'!$C$51&lt;&gt;"")),"This row has no question number. Numbers identify each question in your results and are used as output folder names.","")</f>
        <v>0</v>
      </c>
      <c r="F1606" s="4" t="s">
        <v>1745</v>
      </c>
    </row>
    <row r="1607" spans="1:6" ht="75" customHeight="1">
      <c r="A1607" t="s">
        <v>218</v>
      </c>
      <c r="B1607" t="s">
        <v>219</v>
      </c>
      <c r="C1607" t="s">
        <v>1744</v>
      </c>
      <c r="D1607" t="s">
        <v>165</v>
      </c>
      <c r="E1607" s="4">
        <f>IF(AND('Multiple Choice Questions'!$B$2="",OR('Multiple Choice Questions'!$A$2&lt;&gt;"",'Multiple Choice Questions'!$C$2&lt;&gt;"")),"This row has no question number. Numbers identify each question in your results and are used as output folder names.","")</f>
        <v>0</v>
      </c>
      <c r="F1607" s="4" t="s">
        <v>1745</v>
      </c>
    </row>
    <row r="1608" spans="1:6" ht="75" customHeight="1">
      <c r="A1608" t="s">
        <v>218</v>
      </c>
      <c r="B1608" t="s">
        <v>222</v>
      </c>
      <c r="C1608" t="s">
        <v>1744</v>
      </c>
      <c r="D1608" t="s">
        <v>165</v>
      </c>
      <c r="E1608" s="4">
        <f>IF(AND('Multiple Choice Questions'!$B$3="",OR('Multiple Choice Questions'!$A$3&lt;&gt;"",'Multiple Choice Questions'!$C$3&lt;&gt;"")),"This row has no question number. Numbers identify each question in your results and are used as output folder names.","")</f>
        <v>0</v>
      </c>
      <c r="F1608" s="4" t="s">
        <v>1745</v>
      </c>
    </row>
    <row r="1609" spans="1:6" ht="75" customHeight="1">
      <c r="A1609" t="s">
        <v>218</v>
      </c>
      <c r="B1609" t="s">
        <v>223</v>
      </c>
      <c r="C1609" t="s">
        <v>1744</v>
      </c>
      <c r="D1609" t="s">
        <v>165</v>
      </c>
      <c r="E1609" s="4">
        <f>IF(AND('Multiple Choice Questions'!$B$4="",OR('Multiple Choice Questions'!$A$4&lt;&gt;"",'Multiple Choice Questions'!$C$4&lt;&gt;"")),"This row has no question number. Numbers identify each question in your results and are used as output folder names.","")</f>
        <v>0</v>
      </c>
      <c r="F1609" s="4" t="s">
        <v>1745</v>
      </c>
    </row>
    <row r="1610" spans="1:6" ht="75" customHeight="1">
      <c r="A1610" t="s">
        <v>218</v>
      </c>
      <c r="B1610" t="s">
        <v>224</v>
      </c>
      <c r="C1610" t="s">
        <v>1744</v>
      </c>
      <c r="D1610" t="s">
        <v>165</v>
      </c>
      <c r="E1610" s="4">
        <f>IF(AND('Multiple Choice Questions'!$B$5="",OR('Multiple Choice Questions'!$A$5&lt;&gt;"",'Multiple Choice Questions'!$C$5&lt;&gt;"")),"This row has no question number. Numbers identify each question in your results and are used as output folder names.","")</f>
        <v>0</v>
      </c>
      <c r="F1610" s="4" t="s">
        <v>1745</v>
      </c>
    </row>
    <row r="1611" spans="1:6" ht="75" customHeight="1">
      <c r="A1611" t="s">
        <v>218</v>
      </c>
      <c r="B1611" t="s">
        <v>225</v>
      </c>
      <c r="C1611" t="s">
        <v>1744</v>
      </c>
      <c r="D1611" t="s">
        <v>165</v>
      </c>
      <c r="E1611" s="4">
        <f>IF(AND('Multiple Choice Questions'!$B$6="",OR('Multiple Choice Questions'!$A$6&lt;&gt;"",'Multiple Choice Questions'!$C$6&lt;&gt;"")),"This row has no question number. Numbers identify each question in your results and are used as output folder names.","")</f>
        <v>0</v>
      </c>
      <c r="F1611" s="4" t="s">
        <v>1745</v>
      </c>
    </row>
    <row r="1612" spans="1:6" ht="75" customHeight="1">
      <c r="A1612" t="s">
        <v>218</v>
      </c>
      <c r="B1612" t="s">
        <v>226</v>
      </c>
      <c r="C1612" t="s">
        <v>1744</v>
      </c>
      <c r="D1612" t="s">
        <v>165</v>
      </c>
      <c r="E1612" s="4">
        <f>IF(AND('Multiple Choice Questions'!$B$7="",OR('Multiple Choice Questions'!$A$7&lt;&gt;"",'Multiple Choice Questions'!$C$7&lt;&gt;"")),"This row has no question number. Numbers identify each question in your results and are used as output folder names.","")</f>
        <v>0</v>
      </c>
      <c r="F1612" s="4" t="s">
        <v>1745</v>
      </c>
    </row>
    <row r="1613" spans="1:6" ht="75" customHeight="1">
      <c r="A1613" t="s">
        <v>218</v>
      </c>
      <c r="B1613" t="s">
        <v>227</v>
      </c>
      <c r="C1613" t="s">
        <v>1744</v>
      </c>
      <c r="D1613" t="s">
        <v>165</v>
      </c>
      <c r="E1613" s="4">
        <f>IF(AND('Multiple Choice Questions'!$B$8="",OR('Multiple Choice Questions'!$A$8&lt;&gt;"",'Multiple Choice Questions'!$C$8&lt;&gt;"")),"This row has no question number. Numbers identify each question in your results and are used as output folder names.","")</f>
        <v>0</v>
      </c>
      <c r="F1613" s="4" t="s">
        <v>1745</v>
      </c>
    </row>
    <row r="1614" spans="1:6" ht="75" customHeight="1">
      <c r="A1614" t="s">
        <v>218</v>
      </c>
      <c r="B1614" t="s">
        <v>228</v>
      </c>
      <c r="C1614" t="s">
        <v>1744</v>
      </c>
      <c r="D1614" t="s">
        <v>165</v>
      </c>
      <c r="E1614" s="4">
        <f>IF(AND('Multiple Choice Questions'!$B$9="",OR('Multiple Choice Questions'!$A$9&lt;&gt;"",'Multiple Choice Questions'!$C$9&lt;&gt;"")),"This row has no question number. Numbers identify each question in your results and are used as output folder names.","")</f>
        <v>0</v>
      </c>
      <c r="F1614" s="4" t="s">
        <v>1745</v>
      </c>
    </row>
    <row r="1615" spans="1:6" ht="75" customHeight="1">
      <c r="A1615" t="s">
        <v>218</v>
      </c>
      <c r="B1615" t="s">
        <v>229</v>
      </c>
      <c r="C1615" t="s">
        <v>1744</v>
      </c>
      <c r="D1615" t="s">
        <v>165</v>
      </c>
      <c r="E1615" s="4">
        <f>IF(AND('Multiple Choice Questions'!$B$10="",OR('Multiple Choice Questions'!$A$10&lt;&gt;"",'Multiple Choice Questions'!$C$10&lt;&gt;"")),"This row has no question number. Numbers identify each question in your results and are used as output folder names.","")</f>
        <v>0</v>
      </c>
      <c r="F1615" s="4" t="s">
        <v>1745</v>
      </c>
    </row>
    <row r="1616" spans="1:6" ht="75" customHeight="1">
      <c r="A1616" t="s">
        <v>218</v>
      </c>
      <c r="B1616" t="s">
        <v>230</v>
      </c>
      <c r="C1616" t="s">
        <v>1744</v>
      </c>
      <c r="D1616" t="s">
        <v>165</v>
      </c>
      <c r="E1616" s="4">
        <f>IF(AND('Multiple Choice Questions'!$B$11="",OR('Multiple Choice Questions'!$A$11&lt;&gt;"",'Multiple Choice Questions'!$C$11&lt;&gt;"")),"This row has no question number. Numbers identify each question in your results and are used as output folder names.","")</f>
        <v>0</v>
      </c>
      <c r="F1616" s="4" t="s">
        <v>1745</v>
      </c>
    </row>
    <row r="1617" spans="1:6" ht="75" customHeight="1">
      <c r="A1617" t="s">
        <v>218</v>
      </c>
      <c r="B1617" t="s">
        <v>231</v>
      </c>
      <c r="C1617" t="s">
        <v>1744</v>
      </c>
      <c r="D1617" t="s">
        <v>165</v>
      </c>
      <c r="E1617" s="4">
        <f>IF(AND('Multiple Choice Questions'!$B$12="",OR('Multiple Choice Questions'!$A$12&lt;&gt;"",'Multiple Choice Questions'!$C$12&lt;&gt;"")),"This row has no question number. Numbers identify each question in your results and are used as output folder names.","")</f>
        <v>0</v>
      </c>
      <c r="F1617" s="4" t="s">
        <v>1745</v>
      </c>
    </row>
    <row r="1618" spans="1:6" ht="75" customHeight="1">
      <c r="A1618" t="s">
        <v>218</v>
      </c>
      <c r="B1618" t="s">
        <v>232</v>
      </c>
      <c r="C1618" t="s">
        <v>1744</v>
      </c>
      <c r="D1618" t="s">
        <v>165</v>
      </c>
      <c r="E1618" s="4">
        <f>IF(AND('Multiple Choice Questions'!$B$13="",OR('Multiple Choice Questions'!$A$13&lt;&gt;"",'Multiple Choice Questions'!$C$13&lt;&gt;"")),"This row has no question number. Numbers identify each question in your results and are used as output folder names.","")</f>
        <v>0</v>
      </c>
      <c r="F1618" s="4" t="s">
        <v>1745</v>
      </c>
    </row>
    <row r="1619" spans="1:6" ht="75" customHeight="1">
      <c r="A1619" t="s">
        <v>218</v>
      </c>
      <c r="B1619" t="s">
        <v>233</v>
      </c>
      <c r="C1619" t="s">
        <v>1744</v>
      </c>
      <c r="D1619" t="s">
        <v>165</v>
      </c>
      <c r="E1619" s="4">
        <f>IF(AND('Multiple Choice Questions'!$B$14="",OR('Multiple Choice Questions'!$A$14&lt;&gt;"",'Multiple Choice Questions'!$C$14&lt;&gt;"")),"This row has no question number. Numbers identify each question in your results and are used as output folder names.","")</f>
        <v>0</v>
      </c>
      <c r="F1619" s="4" t="s">
        <v>1745</v>
      </c>
    </row>
    <row r="1620" spans="1:6" ht="75" customHeight="1">
      <c r="A1620" t="s">
        <v>218</v>
      </c>
      <c r="B1620" t="s">
        <v>234</v>
      </c>
      <c r="C1620" t="s">
        <v>1744</v>
      </c>
      <c r="D1620" t="s">
        <v>165</v>
      </c>
      <c r="E1620" s="4">
        <f>IF(AND('Multiple Choice Questions'!$B$15="",OR('Multiple Choice Questions'!$A$15&lt;&gt;"",'Multiple Choice Questions'!$C$15&lt;&gt;"")),"This row has no question number. Numbers identify each question in your results and are used as output folder names.","")</f>
        <v>0</v>
      </c>
      <c r="F1620" s="4" t="s">
        <v>1745</v>
      </c>
    </row>
    <row r="1621" spans="1:6" ht="75" customHeight="1">
      <c r="A1621" t="s">
        <v>218</v>
      </c>
      <c r="B1621" t="s">
        <v>235</v>
      </c>
      <c r="C1621" t="s">
        <v>1744</v>
      </c>
      <c r="D1621" t="s">
        <v>165</v>
      </c>
      <c r="E1621" s="4">
        <f>IF(AND('Multiple Choice Questions'!$B$16="",OR('Multiple Choice Questions'!$A$16&lt;&gt;"",'Multiple Choice Questions'!$C$16&lt;&gt;"")),"This row has no question number. Numbers identify each question in your results and are used as output folder names.","")</f>
        <v>0</v>
      </c>
      <c r="F1621" s="4" t="s">
        <v>1745</v>
      </c>
    </row>
    <row r="1622" spans="1:6" ht="75" customHeight="1">
      <c r="A1622" t="s">
        <v>218</v>
      </c>
      <c r="B1622" t="s">
        <v>236</v>
      </c>
      <c r="C1622" t="s">
        <v>1744</v>
      </c>
      <c r="D1622" t="s">
        <v>165</v>
      </c>
      <c r="E1622" s="4">
        <f>IF(AND('Multiple Choice Questions'!$B$17="",OR('Multiple Choice Questions'!$A$17&lt;&gt;"",'Multiple Choice Questions'!$C$17&lt;&gt;"")),"This row has no question number. Numbers identify each question in your results and are used as output folder names.","")</f>
        <v>0</v>
      </c>
      <c r="F1622" s="4" t="s">
        <v>1745</v>
      </c>
    </row>
    <row r="1623" spans="1:6" ht="75" customHeight="1">
      <c r="A1623" t="s">
        <v>218</v>
      </c>
      <c r="B1623" t="s">
        <v>237</v>
      </c>
      <c r="C1623" t="s">
        <v>1744</v>
      </c>
      <c r="D1623" t="s">
        <v>165</v>
      </c>
      <c r="E1623" s="4">
        <f>IF(AND('Multiple Choice Questions'!$B$18="",OR('Multiple Choice Questions'!$A$18&lt;&gt;"",'Multiple Choice Questions'!$C$18&lt;&gt;"")),"This row has no question number. Numbers identify each question in your results and are used as output folder names.","")</f>
        <v>0</v>
      </c>
      <c r="F1623" s="4" t="s">
        <v>1745</v>
      </c>
    </row>
    <row r="1624" spans="1:6" ht="75" customHeight="1">
      <c r="A1624" t="s">
        <v>218</v>
      </c>
      <c r="B1624" t="s">
        <v>238</v>
      </c>
      <c r="C1624" t="s">
        <v>1744</v>
      </c>
      <c r="D1624" t="s">
        <v>165</v>
      </c>
      <c r="E1624" s="4">
        <f>IF(AND('Multiple Choice Questions'!$B$19="",OR('Multiple Choice Questions'!$A$19&lt;&gt;"",'Multiple Choice Questions'!$C$19&lt;&gt;"")),"This row has no question number. Numbers identify each question in your results and are used as output folder names.","")</f>
        <v>0</v>
      </c>
      <c r="F1624" s="4" t="s">
        <v>1745</v>
      </c>
    </row>
    <row r="1625" spans="1:6" ht="75" customHeight="1">
      <c r="A1625" t="s">
        <v>218</v>
      </c>
      <c r="B1625" t="s">
        <v>239</v>
      </c>
      <c r="C1625" t="s">
        <v>1744</v>
      </c>
      <c r="D1625" t="s">
        <v>165</v>
      </c>
      <c r="E1625" s="4">
        <f>IF(AND('Multiple Choice Questions'!$B$20="",OR('Multiple Choice Questions'!$A$20&lt;&gt;"",'Multiple Choice Questions'!$C$20&lt;&gt;"")),"This row has no question number. Numbers identify each question in your results and are used as output folder names.","")</f>
        <v>0</v>
      </c>
      <c r="F1625" s="4" t="s">
        <v>1745</v>
      </c>
    </row>
    <row r="1626" spans="1:6" ht="75" customHeight="1">
      <c r="A1626" t="s">
        <v>218</v>
      </c>
      <c r="B1626" t="s">
        <v>240</v>
      </c>
      <c r="C1626" t="s">
        <v>1744</v>
      </c>
      <c r="D1626" t="s">
        <v>165</v>
      </c>
      <c r="E1626" s="4">
        <f>IF(AND('Multiple Choice Questions'!$B$21="",OR('Multiple Choice Questions'!$A$21&lt;&gt;"",'Multiple Choice Questions'!$C$21&lt;&gt;"")),"This row has no question number. Numbers identify each question in your results and are used as output folder names.","")</f>
        <v>0</v>
      </c>
      <c r="F1626" s="4" t="s">
        <v>1745</v>
      </c>
    </row>
    <row r="1627" spans="1:6" ht="75" customHeight="1">
      <c r="A1627" t="s">
        <v>218</v>
      </c>
      <c r="B1627" t="s">
        <v>241</v>
      </c>
      <c r="C1627" t="s">
        <v>1744</v>
      </c>
      <c r="D1627" t="s">
        <v>165</v>
      </c>
      <c r="E1627" s="4">
        <f>IF(AND('Multiple Choice Questions'!$B$22="",OR('Multiple Choice Questions'!$A$22&lt;&gt;"",'Multiple Choice Questions'!$C$22&lt;&gt;"")),"This row has no question number. Numbers identify each question in your results and are used as output folder names.","")</f>
        <v>0</v>
      </c>
      <c r="F1627" s="4" t="s">
        <v>1745</v>
      </c>
    </row>
    <row r="1628" spans="1:6" ht="75" customHeight="1">
      <c r="A1628" t="s">
        <v>218</v>
      </c>
      <c r="B1628" t="s">
        <v>242</v>
      </c>
      <c r="C1628" t="s">
        <v>1744</v>
      </c>
      <c r="D1628" t="s">
        <v>165</v>
      </c>
      <c r="E1628" s="4">
        <f>IF(AND('Multiple Choice Questions'!$B$23="",OR('Multiple Choice Questions'!$A$23&lt;&gt;"",'Multiple Choice Questions'!$C$23&lt;&gt;"")),"This row has no question number. Numbers identify each question in your results and are used as output folder names.","")</f>
        <v>0</v>
      </c>
      <c r="F1628" s="4" t="s">
        <v>1745</v>
      </c>
    </row>
    <row r="1629" spans="1:6" ht="75" customHeight="1">
      <c r="A1629" t="s">
        <v>218</v>
      </c>
      <c r="B1629" t="s">
        <v>243</v>
      </c>
      <c r="C1629" t="s">
        <v>1744</v>
      </c>
      <c r="D1629" t="s">
        <v>165</v>
      </c>
      <c r="E1629" s="4">
        <f>IF(AND('Multiple Choice Questions'!$B$24="",OR('Multiple Choice Questions'!$A$24&lt;&gt;"",'Multiple Choice Questions'!$C$24&lt;&gt;"")),"This row has no question number. Numbers identify each question in your results and are used as output folder names.","")</f>
        <v>0</v>
      </c>
      <c r="F1629" s="4" t="s">
        <v>1745</v>
      </c>
    </row>
    <row r="1630" spans="1:6" ht="75" customHeight="1">
      <c r="A1630" t="s">
        <v>218</v>
      </c>
      <c r="B1630" t="s">
        <v>244</v>
      </c>
      <c r="C1630" t="s">
        <v>1744</v>
      </c>
      <c r="D1630" t="s">
        <v>165</v>
      </c>
      <c r="E1630" s="4">
        <f>IF(AND('Multiple Choice Questions'!$B$25="",OR('Multiple Choice Questions'!$A$25&lt;&gt;"",'Multiple Choice Questions'!$C$25&lt;&gt;"")),"This row has no question number. Numbers identify each question in your results and are used as output folder names.","")</f>
        <v>0</v>
      </c>
      <c r="F1630" s="4" t="s">
        <v>1745</v>
      </c>
    </row>
    <row r="1631" spans="1:6" ht="75" customHeight="1">
      <c r="A1631" t="s">
        <v>218</v>
      </c>
      <c r="B1631" t="s">
        <v>245</v>
      </c>
      <c r="C1631" t="s">
        <v>1744</v>
      </c>
      <c r="D1631" t="s">
        <v>165</v>
      </c>
      <c r="E1631" s="4">
        <f>IF(AND('Multiple Choice Questions'!$B$26="",OR('Multiple Choice Questions'!$A$26&lt;&gt;"",'Multiple Choice Questions'!$C$26&lt;&gt;"")),"This row has no question number. Numbers identify each question in your results and are used as output folder names.","")</f>
        <v>0</v>
      </c>
      <c r="F1631" s="4" t="s">
        <v>1745</v>
      </c>
    </row>
    <row r="1632" spans="1:6" ht="75" customHeight="1">
      <c r="A1632" t="s">
        <v>218</v>
      </c>
      <c r="B1632" t="s">
        <v>246</v>
      </c>
      <c r="C1632" t="s">
        <v>1744</v>
      </c>
      <c r="D1632" t="s">
        <v>165</v>
      </c>
      <c r="E1632" s="4">
        <f>IF(AND('Multiple Choice Questions'!$B$27="",OR('Multiple Choice Questions'!$A$27&lt;&gt;"",'Multiple Choice Questions'!$C$27&lt;&gt;"")),"This row has no question number. Numbers identify each question in your results and are used as output folder names.","")</f>
        <v>0</v>
      </c>
      <c r="F1632" s="4" t="s">
        <v>1745</v>
      </c>
    </row>
    <row r="1633" spans="1:6" ht="75" customHeight="1">
      <c r="A1633" t="s">
        <v>218</v>
      </c>
      <c r="B1633" t="s">
        <v>247</v>
      </c>
      <c r="C1633" t="s">
        <v>1744</v>
      </c>
      <c r="D1633" t="s">
        <v>165</v>
      </c>
      <c r="E1633" s="4">
        <f>IF(AND('Multiple Choice Questions'!$B$28="",OR('Multiple Choice Questions'!$A$28&lt;&gt;"",'Multiple Choice Questions'!$C$28&lt;&gt;"")),"This row has no question number. Numbers identify each question in your results and are used as output folder names.","")</f>
        <v>0</v>
      </c>
      <c r="F1633" s="4" t="s">
        <v>1745</v>
      </c>
    </row>
    <row r="1634" spans="1:6" ht="75" customHeight="1">
      <c r="A1634" t="s">
        <v>218</v>
      </c>
      <c r="B1634" t="s">
        <v>248</v>
      </c>
      <c r="C1634" t="s">
        <v>1744</v>
      </c>
      <c r="D1634" t="s">
        <v>165</v>
      </c>
      <c r="E1634" s="4">
        <f>IF(AND('Multiple Choice Questions'!$B$29="",OR('Multiple Choice Questions'!$A$29&lt;&gt;"",'Multiple Choice Questions'!$C$29&lt;&gt;"")),"This row has no question number. Numbers identify each question in your results and are used as output folder names.","")</f>
        <v>0</v>
      </c>
      <c r="F1634" s="4" t="s">
        <v>1745</v>
      </c>
    </row>
    <row r="1635" spans="1:6" ht="75" customHeight="1">
      <c r="A1635" t="s">
        <v>218</v>
      </c>
      <c r="B1635" t="s">
        <v>249</v>
      </c>
      <c r="C1635" t="s">
        <v>1744</v>
      </c>
      <c r="D1635" t="s">
        <v>165</v>
      </c>
      <c r="E1635" s="4">
        <f>IF(AND('Multiple Choice Questions'!$B$30="",OR('Multiple Choice Questions'!$A$30&lt;&gt;"",'Multiple Choice Questions'!$C$30&lt;&gt;"")),"This row has no question number. Numbers identify each question in your results and are used as output folder names.","")</f>
        <v>0</v>
      </c>
      <c r="F1635" s="4" t="s">
        <v>1745</v>
      </c>
    </row>
    <row r="1636" spans="1:6" ht="75" customHeight="1">
      <c r="A1636" t="s">
        <v>218</v>
      </c>
      <c r="B1636" t="s">
        <v>250</v>
      </c>
      <c r="C1636" t="s">
        <v>1744</v>
      </c>
      <c r="D1636" t="s">
        <v>165</v>
      </c>
      <c r="E1636" s="4">
        <f>IF(AND('Multiple Choice Questions'!$B$31="",OR('Multiple Choice Questions'!$A$31&lt;&gt;"",'Multiple Choice Questions'!$C$31&lt;&gt;"")),"This row has no question number. Numbers identify each question in your results and are used as output folder names.","")</f>
        <v>0</v>
      </c>
      <c r="F1636" s="4" t="s">
        <v>1745</v>
      </c>
    </row>
    <row r="1637" spans="1:6" ht="75" customHeight="1">
      <c r="A1637" t="s">
        <v>218</v>
      </c>
      <c r="B1637" t="s">
        <v>251</v>
      </c>
      <c r="C1637" t="s">
        <v>1744</v>
      </c>
      <c r="D1637" t="s">
        <v>165</v>
      </c>
      <c r="E1637" s="4">
        <f>IF(AND('Multiple Choice Questions'!$B$32="",OR('Multiple Choice Questions'!$A$32&lt;&gt;"",'Multiple Choice Questions'!$C$32&lt;&gt;"")),"This row has no question number. Numbers identify each question in your results and are used as output folder names.","")</f>
        <v>0</v>
      </c>
      <c r="F1637" s="4" t="s">
        <v>1745</v>
      </c>
    </row>
    <row r="1638" spans="1:6" ht="75" customHeight="1">
      <c r="A1638" t="s">
        <v>218</v>
      </c>
      <c r="B1638" t="s">
        <v>252</v>
      </c>
      <c r="C1638" t="s">
        <v>1744</v>
      </c>
      <c r="D1638" t="s">
        <v>165</v>
      </c>
      <c r="E1638" s="4">
        <f>IF(AND('Multiple Choice Questions'!$B$33="",OR('Multiple Choice Questions'!$A$33&lt;&gt;"",'Multiple Choice Questions'!$C$33&lt;&gt;"")),"This row has no question number. Numbers identify each question in your results and are used as output folder names.","")</f>
        <v>0</v>
      </c>
      <c r="F1638" s="4" t="s">
        <v>1745</v>
      </c>
    </row>
    <row r="1639" spans="1:6" ht="75" customHeight="1">
      <c r="A1639" t="s">
        <v>218</v>
      </c>
      <c r="B1639" t="s">
        <v>253</v>
      </c>
      <c r="C1639" t="s">
        <v>1744</v>
      </c>
      <c r="D1639" t="s">
        <v>165</v>
      </c>
      <c r="E1639" s="4">
        <f>IF(AND('Multiple Choice Questions'!$B$34="",OR('Multiple Choice Questions'!$A$34&lt;&gt;"",'Multiple Choice Questions'!$C$34&lt;&gt;"")),"This row has no question number. Numbers identify each question in your results and are used as output folder names.","")</f>
        <v>0</v>
      </c>
      <c r="F1639" s="4" t="s">
        <v>1745</v>
      </c>
    </row>
    <row r="1640" spans="1:6" ht="75" customHeight="1">
      <c r="A1640" t="s">
        <v>218</v>
      </c>
      <c r="B1640" t="s">
        <v>254</v>
      </c>
      <c r="C1640" t="s">
        <v>1744</v>
      </c>
      <c r="D1640" t="s">
        <v>165</v>
      </c>
      <c r="E1640" s="4">
        <f>IF(AND('Multiple Choice Questions'!$B$35="",OR('Multiple Choice Questions'!$A$35&lt;&gt;"",'Multiple Choice Questions'!$C$35&lt;&gt;"")),"This row has no question number. Numbers identify each question in your results and are used as output folder names.","")</f>
        <v>0</v>
      </c>
      <c r="F1640" s="4" t="s">
        <v>1745</v>
      </c>
    </row>
    <row r="1641" spans="1:6" ht="75" customHeight="1">
      <c r="A1641" t="s">
        <v>218</v>
      </c>
      <c r="B1641" t="s">
        <v>255</v>
      </c>
      <c r="C1641" t="s">
        <v>1744</v>
      </c>
      <c r="D1641" t="s">
        <v>165</v>
      </c>
      <c r="E1641" s="4">
        <f>IF(AND('Multiple Choice Questions'!$B$36="",OR('Multiple Choice Questions'!$A$36&lt;&gt;"",'Multiple Choice Questions'!$C$36&lt;&gt;"")),"This row has no question number. Numbers identify each question in your results and are used as output folder names.","")</f>
        <v>0</v>
      </c>
      <c r="F1641" s="4" t="s">
        <v>1745</v>
      </c>
    </row>
    <row r="1642" spans="1:6" ht="75" customHeight="1">
      <c r="A1642" t="s">
        <v>218</v>
      </c>
      <c r="B1642" t="s">
        <v>256</v>
      </c>
      <c r="C1642" t="s">
        <v>1744</v>
      </c>
      <c r="D1642" t="s">
        <v>165</v>
      </c>
      <c r="E1642" s="4">
        <f>IF(AND('Multiple Choice Questions'!$B$37="",OR('Multiple Choice Questions'!$A$37&lt;&gt;"",'Multiple Choice Questions'!$C$37&lt;&gt;"")),"This row has no question number. Numbers identify each question in your results and are used as output folder names.","")</f>
        <v>0</v>
      </c>
      <c r="F1642" s="4" t="s">
        <v>1745</v>
      </c>
    </row>
    <row r="1643" spans="1:6" ht="75" customHeight="1">
      <c r="A1643" t="s">
        <v>218</v>
      </c>
      <c r="B1643" t="s">
        <v>257</v>
      </c>
      <c r="C1643" t="s">
        <v>1744</v>
      </c>
      <c r="D1643" t="s">
        <v>165</v>
      </c>
      <c r="E1643" s="4">
        <f>IF(AND('Multiple Choice Questions'!$B$38="",OR('Multiple Choice Questions'!$A$38&lt;&gt;"",'Multiple Choice Questions'!$C$38&lt;&gt;"")),"This row has no question number. Numbers identify each question in your results and are used as output folder names.","")</f>
        <v>0</v>
      </c>
      <c r="F1643" s="4" t="s">
        <v>1745</v>
      </c>
    </row>
    <row r="1644" spans="1:6" ht="75" customHeight="1">
      <c r="A1644" t="s">
        <v>218</v>
      </c>
      <c r="B1644" t="s">
        <v>258</v>
      </c>
      <c r="C1644" t="s">
        <v>1744</v>
      </c>
      <c r="D1644" t="s">
        <v>165</v>
      </c>
      <c r="E1644" s="4">
        <f>IF(AND('Multiple Choice Questions'!$B$39="",OR('Multiple Choice Questions'!$A$39&lt;&gt;"",'Multiple Choice Questions'!$C$39&lt;&gt;"")),"This row has no question number. Numbers identify each question in your results and are used as output folder names.","")</f>
        <v>0</v>
      </c>
      <c r="F1644" s="4" t="s">
        <v>1745</v>
      </c>
    </row>
    <row r="1645" spans="1:6" ht="75" customHeight="1">
      <c r="A1645" t="s">
        <v>218</v>
      </c>
      <c r="B1645" t="s">
        <v>259</v>
      </c>
      <c r="C1645" t="s">
        <v>1744</v>
      </c>
      <c r="D1645" t="s">
        <v>165</v>
      </c>
      <c r="E1645" s="4">
        <f>IF(AND('Multiple Choice Questions'!$B$40="",OR('Multiple Choice Questions'!$A$40&lt;&gt;"",'Multiple Choice Questions'!$C$40&lt;&gt;"")),"This row has no question number. Numbers identify each question in your results and are used as output folder names.","")</f>
        <v>0</v>
      </c>
      <c r="F1645" s="4" t="s">
        <v>1745</v>
      </c>
    </row>
    <row r="1646" spans="1:6" ht="75" customHeight="1">
      <c r="A1646" t="s">
        <v>218</v>
      </c>
      <c r="B1646" t="s">
        <v>260</v>
      </c>
      <c r="C1646" t="s">
        <v>1744</v>
      </c>
      <c r="D1646" t="s">
        <v>165</v>
      </c>
      <c r="E1646" s="4">
        <f>IF(AND('Multiple Choice Questions'!$B$41="",OR('Multiple Choice Questions'!$A$41&lt;&gt;"",'Multiple Choice Questions'!$C$41&lt;&gt;"")),"This row has no question number. Numbers identify each question in your results and are used as output folder names.","")</f>
        <v>0</v>
      </c>
      <c r="F1646" s="4" t="s">
        <v>1745</v>
      </c>
    </row>
    <row r="1647" spans="1:6" ht="75" customHeight="1">
      <c r="A1647" t="s">
        <v>218</v>
      </c>
      <c r="B1647" t="s">
        <v>261</v>
      </c>
      <c r="C1647" t="s">
        <v>1744</v>
      </c>
      <c r="D1647" t="s">
        <v>165</v>
      </c>
      <c r="E1647" s="4">
        <f>IF(AND('Multiple Choice Questions'!$B$42="",OR('Multiple Choice Questions'!$A$42&lt;&gt;"",'Multiple Choice Questions'!$C$42&lt;&gt;"")),"This row has no question number. Numbers identify each question in your results and are used as output folder names.","")</f>
        <v>0</v>
      </c>
      <c r="F1647" s="4" t="s">
        <v>1745</v>
      </c>
    </row>
    <row r="1648" spans="1:6" ht="75" customHeight="1">
      <c r="A1648" t="s">
        <v>218</v>
      </c>
      <c r="B1648" t="s">
        <v>262</v>
      </c>
      <c r="C1648" t="s">
        <v>1744</v>
      </c>
      <c r="D1648" t="s">
        <v>165</v>
      </c>
      <c r="E1648" s="4">
        <f>IF(AND('Multiple Choice Questions'!$B$43="",OR('Multiple Choice Questions'!$A$43&lt;&gt;"",'Multiple Choice Questions'!$C$43&lt;&gt;"")),"This row has no question number. Numbers identify each question in your results and are used as output folder names.","")</f>
        <v>0</v>
      </c>
      <c r="F1648" s="4" t="s">
        <v>1745</v>
      </c>
    </row>
    <row r="1649" spans="1:6" ht="75" customHeight="1">
      <c r="A1649" t="s">
        <v>218</v>
      </c>
      <c r="B1649" t="s">
        <v>263</v>
      </c>
      <c r="C1649" t="s">
        <v>1744</v>
      </c>
      <c r="D1649" t="s">
        <v>165</v>
      </c>
      <c r="E1649" s="4">
        <f>IF(AND('Multiple Choice Questions'!$B$44="",OR('Multiple Choice Questions'!$A$44&lt;&gt;"",'Multiple Choice Questions'!$C$44&lt;&gt;"")),"This row has no question number. Numbers identify each question in your results and are used as output folder names.","")</f>
        <v>0</v>
      </c>
      <c r="F1649" s="4" t="s">
        <v>1745</v>
      </c>
    </row>
    <row r="1650" spans="1:6" ht="75" customHeight="1">
      <c r="A1650" t="s">
        <v>218</v>
      </c>
      <c r="B1650" t="s">
        <v>264</v>
      </c>
      <c r="C1650" t="s">
        <v>1744</v>
      </c>
      <c r="D1650" t="s">
        <v>165</v>
      </c>
      <c r="E1650" s="4">
        <f>IF(AND('Multiple Choice Questions'!$B$45="",OR('Multiple Choice Questions'!$A$45&lt;&gt;"",'Multiple Choice Questions'!$C$45&lt;&gt;"")),"This row has no question number. Numbers identify each question in your results and are used as output folder names.","")</f>
        <v>0</v>
      </c>
      <c r="F1650" s="4" t="s">
        <v>1745</v>
      </c>
    </row>
    <row r="1651" spans="1:6" ht="75" customHeight="1">
      <c r="A1651" t="s">
        <v>218</v>
      </c>
      <c r="B1651" t="s">
        <v>265</v>
      </c>
      <c r="C1651" t="s">
        <v>1744</v>
      </c>
      <c r="D1651" t="s">
        <v>165</v>
      </c>
      <c r="E1651" s="4">
        <f>IF(AND('Multiple Choice Questions'!$B$46="",OR('Multiple Choice Questions'!$A$46&lt;&gt;"",'Multiple Choice Questions'!$C$46&lt;&gt;"")),"This row has no question number. Numbers identify each question in your results and are used as output folder names.","")</f>
        <v>0</v>
      </c>
      <c r="F1651" s="4" t="s">
        <v>1745</v>
      </c>
    </row>
    <row r="1652" spans="1:6" ht="75" customHeight="1">
      <c r="A1652" t="s">
        <v>218</v>
      </c>
      <c r="B1652" t="s">
        <v>266</v>
      </c>
      <c r="C1652" t="s">
        <v>1744</v>
      </c>
      <c r="D1652" t="s">
        <v>165</v>
      </c>
      <c r="E1652" s="4">
        <f>IF(AND('Multiple Choice Questions'!$B$47="",OR('Multiple Choice Questions'!$A$47&lt;&gt;"",'Multiple Choice Questions'!$C$47&lt;&gt;"")),"This row has no question number. Numbers identify each question in your results and are used as output folder names.","")</f>
        <v>0</v>
      </c>
      <c r="F1652" s="4" t="s">
        <v>1745</v>
      </c>
    </row>
    <row r="1653" spans="1:6" ht="75" customHeight="1">
      <c r="A1653" t="s">
        <v>218</v>
      </c>
      <c r="B1653" t="s">
        <v>267</v>
      </c>
      <c r="C1653" t="s">
        <v>1744</v>
      </c>
      <c r="D1653" t="s">
        <v>165</v>
      </c>
      <c r="E1653" s="4">
        <f>IF(AND('Multiple Choice Questions'!$B$48="",OR('Multiple Choice Questions'!$A$48&lt;&gt;"",'Multiple Choice Questions'!$C$48&lt;&gt;"")),"This row has no question number. Numbers identify each question in your results and are used as output folder names.","")</f>
        <v>0</v>
      </c>
      <c r="F1653" s="4" t="s">
        <v>1745</v>
      </c>
    </row>
    <row r="1654" spans="1:6" ht="75" customHeight="1">
      <c r="A1654" t="s">
        <v>218</v>
      </c>
      <c r="B1654" t="s">
        <v>268</v>
      </c>
      <c r="C1654" t="s">
        <v>1744</v>
      </c>
      <c r="D1654" t="s">
        <v>165</v>
      </c>
      <c r="E1654" s="4">
        <f>IF(AND('Multiple Choice Questions'!$B$49="",OR('Multiple Choice Questions'!$A$49&lt;&gt;"",'Multiple Choice Questions'!$C$49&lt;&gt;"")),"This row has no question number. Numbers identify each question in your results and are used as output folder names.","")</f>
        <v>0</v>
      </c>
      <c r="F1654" s="4" t="s">
        <v>1745</v>
      </c>
    </row>
    <row r="1655" spans="1:6" ht="75" customHeight="1">
      <c r="A1655" t="s">
        <v>218</v>
      </c>
      <c r="B1655" t="s">
        <v>269</v>
      </c>
      <c r="C1655" t="s">
        <v>1744</v>
      </c>
      <c r="D1655" t="s">
        <v>165</v>
      </c>
      <c r="E1655" s="4">
        <f>IF(AND('Multiple Choice Questions'!$B$50="",OR('Multiple Choice Questions'!$A$50&lt;&gt;"",'Multiple Choice Questions'!$C$50&lt;&gt;"")),"This row has no question number. Numbers identify each question in your results and are used as output folder names.","")</f>
        <v>0</v>
      </c>
      <c r="F1655" s="4" t="s">
        <v>1745</v>
      </c>
    </row>
    <row r="1656" spans="1:6" ht="75" customHeight="1">
      <c r="A1656" t="s">
        <v>218</v>
      </c>
      <c r="B1656" t="s">
        <v>270</v>
      </c>
      <c r="C1656" t="s">
        <v>1744</v>
      </c>
      <c r="D1656" t="s">
        <v>165</v>
      </c>
      <c r="E1656" s="4">
        <f>IF(AND('Multiple Choice Questions'!$B$51="",OR('Multiple Choice Questions'!$A$51&lt;&gt;"",'Multiple Choice Questions'!$C$51&lt;&gt;"")),"This row has no question number. Numbers identify each question in your results and are used as output folder names.","")</f>
        <v>0</v>
      </c>
      <c r="F1656" s="4" t="s">
        <v>1745</v>
      </c>
    </row>
    <row r="1657" spans="1:6" ht="75" customHeight="1">
      <c r="A1657" t="s">
        <v>271</v>
      </c>
      <c r="B1657" t="s">
        <v>219</v>
      </c>
      <c r="C1657" t="s">
        <v>1744</v>
      </c>
      <c r="D1657" t="s">
        <v>165</v>
      </c>
      <c r="E1657" s="4">
        <f>IF(AND('Hybrid Questions'!$B$2="",OR('Hybrid Questions'!$A$2&lt;&gt;"",'Hybrid Questions'!$C$2&lt;&gt;"",'Hybrid Questions'!$D$2&lt;&gt;"")),"This row has no question number. Numbers identify each question in your results and are used as output folder names.","")</f>
        <v>0</v>
      </c>
      <c r="F1657" s="4" t="s">
        <v>1745</v>
      </c>
    </row>
    <row r="1658" spans="1:6" ht="75" customHeight="1">
      <c r="A1658" t="s">
        <v>271</v>
      </c>
      <c r="B1658" t="s">
        <v>222</v>
      </c>
      <c r="C1658" t="s">
        <v>1744</v>
      </c>
      <c r="D1658" t="s">
        <v>165</v>
      </c>
      <c r="E1658" s="4">
        <f>IF(AND('Hybrid Questions'!$B$3="",OR('Hybrid Questions'!$A$3&lt;&gt;"",'Hybrid Questions'!$C$3&lt;&gt;"",'Hybrid Questions'!$D$3&lt;&gt;"")),"This row has no question number. Numbers identify each question in your results and are used as output folder names.","")</f>
        <v>0</v>
      </c>
      <c r="F1658" s="4" t="s">
        <v>1745</v>
      </c>
    </row>
    <row r="1659" spans="1:6" ht="75" customHeight="1">
      <c r="A1659" t="s">
        <v>271</v>
      </c>
      <c r="B1659" t="s">
        <v>223</v>
      </c>
      <c r="C1659" t="s">
        <v>1744</v>
      </c>
      <c r="D1659" t="s">
        <v>165</v>
      </c>
      <c r="E1659" s="4">
        <f>IF(AND('Hybrid Questions'!$B$4="",OR('Hybrid Questions'!$A$4&lt;&gt;"",'Hybrid Questions'!$C$4&lt;&gt;"",'Hybrid Questions'!$D$4&lt;&gt;"")),"This row has no question number. Numbers identify each question in your results and are used as output folder names.","")</f>
        <v>0</v>
      </c>
      <c r="F1659" s="4" t="s">
        <v>1745</v>
      </c>
    </row>
    <row r="1660" spans="1:6" ht="75" customHeight="1">
      <c r="A1660" t="s">
        <v>271</v>
      </c>
      <c r="B1660" t="s">
        <v>224</v>
      </c>
      <c r="C1660" t="s">
        <v>1744</v>
      </c>
      <c r="D1660" t="s">
        <v>165</v>
      </c>
      <c r="E1660" s="4">
        <f>IF(AND('Hybrid Questions'!$B$5="",OR('Hybrid Questions'!$A$5&lt;&gt;"",'Hybrid Questions'!$C$5&lt;&gt;"",'Hybrid Questions'!$D$5&lt;&gt;"")),"This row has no question number. Numbers identify each question in your results and are used as output folder names.","")</f>
        <v>0</v>
      </c>
      <c r="F1660" s="4" t="s">
        <v>1745</v>
      </c>
    </row>
    <row r="1661" spans="1:6" ht="75" customHeight="1">
      <c r="A1661" t="s">
        <v>271</v>
      </c>
      <c r="B1661" t="s">
        <v>225</v>
      </c>
      <c r="C1661" t="s">
        <v>1744</v>
      </c>
      <c r="D1661" t="s">
        <v>165</v>
      </c>
      <c r="E1661" s="4">
        <f>IF(AND('Hybrid Questions'!$B$6="",OR('Hybrid Questions'!$A$6&lt;&gt;"",'Hybrid Questions'!$C$6&lt;&gt;"",'Hybrid Questions'!$D$6&lt;&gt;"")),"This row has no question number. Numbers identify each question in your results and are used as output folder names.","")</f>
        <v>0</v>
      </c>
      <c r="F1661" s="4" t="s">
        <v>1745</v>
      </c>
    </row>
    <row r="1662" spans="1:6" ht="75" customHeight="1">
      <c r="A1662" t="s">
        <v>271</v>
      </c>
      <c r="B1662" t="s">
        <v>226</v>
      </c>
      <c r="C1662" t="s">
        <v>1744</v>
      </c>
      <c r="D1662" t="s">
        <v>165</v>
      </c>
      <c r="E1662" s="4">
        <f>IF(AND('Hybrid Questions'!$B$7="",OR('Hybrid Questions'!$A$7&lt;&gt;"",'Hybrid Questions'!$C$7&lt;&gt;"",'Hybrid Questions'!$D$7&lt;&gt;"")),"This row has no question number. Numbers identify each question in your results and are used as output folder names.","")</f>
        <v>0</v>
      </c>
      <c r="F1662" s="4" t="s">
        <v>1745</v>
      </c>
    </row>
    <row r="1663" spans="1:6" ht="75" customHeight="1">
      <c r="A1663" t="s">
        <v>271</v>
      </c>
      <c r="B1663" t="s">
        <v>227</v>
      </c>
      <c r="C1663" t="s">
        <v>1744</v>
      </c>
      <c r="D1663" t="s">
        <v>165</v>
      </c>
      <c r="E1663" s="4">
        <f>IF(AND('Hybrid Questions'!$B$8="",OR('Hybrid Questions'!$A$8&lt;&gt;"",'Hybrid Questions'!$C$8&lt;&gt;"",'Hybrid Questions'!$D$8&lt;&gt;"")),"This row has no question number. Numbers identify each question in your results and are used as output folder names.","")</f>
        <v>0</v>
      </c>
      <c r="F1663" s="4" t="s">
        <v>1745</v>
      </c>
    </row>
    <row r="1664" spans="1:6" ht="75" customHeight="1">
      <c r="A1664" t="s">
        <v>271</v>
      </c>
      <c r="B1664" t="s">
        <v>228</v>
      </c>
      <c r="C1664" t="s">
        <v>1744</v>
      </c>
      <c r="D1664" t="s">
        <v>165</v>
      </c>
      <c r="E1664" s="4">
        <f>IF(AND('Hybrid Questions'!$B$9="",OR('Hybrid Questions'!$A$9&lt;&gt;"",'Hybrid Questions'!$C$9&lt;&gt;"",'Hybrid Questions'!$D$9&lt;&gt;"")),"This row has no question number. Numbers identify each question in your results and are used as output folder names.","")</f>
        <v>0</v>
      </c>
      <c r="F1664" s="4" t="s">
        <v>1745</v>
      </c>
    </row>
    <row r="1665" spans="1:6" ht="75" customHeight="1">
      <c r="A1665" t="s">
        <v>271</v>
      </c>
      <c r="B1665" t="s">
        <v>229</v>
      </c>
      <c r="C1665" t="s">
        <v>1744</v>
      </c>
      <c r="D1665" t="s">
        <v>165</v>
      </c>
      <c r="E1665" s="4">
        <f>IF(AND('Hybrid Questions'!$B$10="",OR('Hybrid Questions'!$A$10&lt;&gt;"",'Hybrid Questions'!$C$10&lt;&gt;"",'Hybrid Questions'!$D$10&lt;&gt;"")),"This row has no question number. Numbers identify each question in your results and are used as output folder names.","")</f>
        <v>0</v>
      </c>
      <c r="F1665" s="4" t="s">
        <v>1745</v>
      </c>
    </row>
    <row r="1666" spans="1:6" ht="75" customHeight="1">
      <c r="A1666" t="s">
        <v>271</v>
      </c>
      <c r="B1666" t="s">
        <v>230</v>
      </c>
      <c r="C1666" t="s">
        <v>1744</v>
      </c>
      <c r="D1666" t="s">
        <v>165</v>
      </c>
      <c r="E1666" s="4">
        <f>IF(AND('Hybrid Questions'!$B$11="",OR('Hybrid Questions'!$A$11&lt;&gt;"",'Hybrid Questions'!$C$11&lt;&gt;"",'Hybrid Questions'!$D$11&lt;&gt;"")),"This row has no question number. Numbers identify each question in your results and are used as output folder names.","")</f>
        <v>0</v>
      </c>
      <c r="F1666" s="4" t="s">
        <v>1745</v>
      </c>
    </row>
    <row r="1667" spans="1:6" ht="75" customHeight="1">
      <c r="A1667" t="s">
        <v>271</v>
      </c>
      <c r="B1667" t="s">
        <v>231</v>
      </c>
      <c r="C1667" t="s">
        <v>1744</v>
      </c>
      <c r="D1667" t="s">
        <v>165</v>
      </c>
      <c r="E1667" s="4">
        <f>IF(AND('Hybrid Questions'!$B$12="",OR('Hybrid Questions'!$A$12&lt;&gt;"",'Hybrid Questions'!$C$12&lt;&gt;"",'Hybrid Questions'!$D$12&lt;&gt;"")),"This row has no question number. Numbers identify each question in your results and are used as output folder names.","")</f>
        <v>0</v>
      </c>
      <c r="F1667" s="4" t="s">
        <v>1745</v>
      </c>
    </row>
    <row r="1668" spans="1:6" ht="75" customHeight="1">
      <c r="A1668" t="s">
        <v>271</v>
      </c>
      <c r="B1668" t="s">
        <v>232</v>
      </c>
      <c r="C1668" t="s">
        <v>1744</v>
      </c>
      <c r="D1668" t="s">
        <v>165</v>
      </c>
      <c r="E1668" s="4">
        <f>IF(AND('Hybrid Questions'!$B$13="",OR('Hybrid Questions'!$A$13&lt;&gt;"",'Hybrid Questions'!$C$13&lt;&gt;"",'Hybrid Questions'!$D$13&lt;&gt;"")),"This row has no question number. Numbers identify each question in your results and are used as output folder names.","")</f>
        <v>0</v>
      </c>
      <c r="F1668" s="4" t="s">
        <v>1745</v>
      </c>
    </row>
    <row r="1669" spans="1:6" ht="75" customHeight="1">
      <c r="A1669" t="s">
        <v>271</v>
      </c>
      <c r="B1669" t="s">
        <v>233</v>
      </c>
      <c r="C1669" t="s">
        <v>1744</v>
      </c>
      <c r="D1669" t="s">
        <v>165</v>
      </c>
      <c r="E1669" s="4">
        <f>IF(AND('Hybrid Questions'!$B$14="",OR('Hybrid Questions'!$A$14&lt;&gt;"",'Hybrid Questions'!$C$14&lt;&gt;"",'Hybrid Questions'!$D$14&lt;&gt;"")),"This row has no question number. Numbers identify each question in your results and are used as output folder names.","")</f>
        <v>0</v>
      </c>
      <c r="F1669" s="4" t="s">
        <v>1745</v>
      </c>
    </row>
    <row r="1670" spans="1:6" ht="75" customHeight="1">
      <c r="A1670" t="s">
        <v>271</v>
      </c>
      <c r="B1670" t="s">
        <v>234</v>
      </c>
      <c r="C1670" t="s">
        <v>1744</v>
      </c>
      <c r="D1670" t="s">
        <v>165</v>
      </c>
      <c r="E1670" s="4">
        <f>IF(AND('Hybrid Questions'!$B$15="",OR('Hybrid Questions'!$A$15&lt;&gt;"",'Hybrid Questions'!$C$15&lt;&gt;"",'Hybrid Questions'!$D$15&lt;&gt;"")),"This row has no question number. Numbers identify each question in your results and are used as output folder names.","")</f>
        <v>0</v>
      </c>
      <c r="F1670" s="4" t="s">
        <v>1745</v>
      </c>
    </row>
    <row r="1671" spans="1:6" ht="75" customHeight="1">
      <c r="A1671" t="s">
        <v>271</v>
      </c>
      <c r="B1671" t="s">
        <v>235</v>
      </c>
      <c r="C1671" t="s">
        <v>1744</v>
      </c>
      <c r="D1671" t="s">
        <v>165</v>
      </c>
      <c r="E1671" s="4">
        <f>IF(AND('Hybrid Questions'!$B$16="",OR('Hybrid Questions'!$A$16&lt;&gt;"",'Hybrid Questions'!$C$16&lt;&gt;"",'Hybrid Questions'!$D$16&lt;&gt;"")),"This row has no question number. Numbers identify each question in your results and are used as output folder names.","")</f>
        <v>0</v>
      </c>
      <c r="F1671" s="4" t="s">
        <v>1745</v>
      </c>
    </row>
    <row r="1672" spans="1:6" ht="75" customHeight="1">
      <c r="A1672" t="s">
        <v>271</v>
      </c>
      <c r="B1672" t="s">
        <v>236</v>
      </c>
      <c r="C1672" t="s">
        <v>1744</v>
      </c>
      <c r="D1672" t="s">
        <v>165</v>
      </c>
      <c r="E1672" s="4">
        <f>IF(AND('Hybrid Questions'!$B$17="",OR('Hybrid Questions'!$A$17&lt;&gt;"",'Hybrid Questions'!$C$17&lt;&gt;"",'Hybrid Questions'!$D$17&lt;&gt;"")),"This row has no question number. Numbers identify each question in your results and are used as output folder names.","")</f>
        <v>0</v>
      </c>
      <c r="F1672" s="4" t="s">
        <v>1745</v>
      </c>
    </row>
    <row r="1673" spans="1:6" ht="75" customHeight="1">
      <c r="A1673" t="s">
        <v>271</v>
      </c>
      <c r="B1673" t="s">
        <v>237</v>
      </c>
      <c r="C1673" t="s">
        <v>1744</v>
      </c>
      <c r="D1673" t="s">
        <v>165</v>
      </c>
      <c r="E1673" s="4">
        <f>IF(AND('Hybrid Questions'!$B$18="",OR('Hybrid Questions'!$A$18&lt;&gt;"",'Hybrid Questions'!$C$18&lt;&gt;"",'Hybrid Questions'!$D$18&lt;&gt;"")),"This row has no question number. Numbers identify each question in your results and are used as output folder names.","")</f>
        <v>0</v>
      </c>
      <c r="F1673" s="4" t="s">
        <v>1745</v>
      </c>
    </row>
    <row r="1674" spans="1:6" ht="75" customHeight="1">
      <c r="A1674" t="s">
        <v>271</v>
      </c>
      <c r="B1674" t="s">
        <v>238</v>
      </c>
      <c r="C1674" t="s">
        <v>1744</v>
      </c>
      <c r="D1674" t="s">
        <v>165</v>
      </c>
      <c r="E1674" s="4">
        <f>IF(AND('Hybrid Questions'!$B$19="",OR('Hybrid Questions'!$A$19&lt;&gt;"",'Hybrid Questions'!$C$19&lt;&gt;"",'Hybrid Questions'!$D$19&lt;&gt;"")),"This row has no question number. Numbers identify each question in your results and are used as output folder names.","")</f>
        <v>0</v>
      </c>
      <c r="F1674" s="4" t="s">
        <v>1745</v>
      </c>
    </row>
    <row r="1675" spans="1:6" ht="75" customHeight="1">
      <c r="A1675" t="s">
        <v>271</v>
      </c>
      <c r="B1675" t="s">
        <v>239</v>
      </c>
      <c r="C1675" t="s">
        <v>1744</v>
      </c>
      <c r="D1675" t="s">
        <v>165</v>
      </c>
      <c r="E1675" s="4">
        <f>IF(AND('Hybrid Questions'!$B$20="",OR('Hybrid Questions'!$A$20&lt;&gt;"",'Hybrid Questions'!$C$20&lt;&gt;"",'Hybrid Questions'!$D$20&lt;&gt;"")),"This row has no question number. Numbers identify each question in your results and are used as output folder names.","")</f>
        <v>0</v>
      </c>
      <c r="F1675" s="4" t="s">
        <v>1745</v>
      </c>
    </row>
    <row r="1676" spans="1:6" ht="75" customHeight="1">
      <c r="A1676" t="s">
        <v>271</v>
      </c>
      <c r="B1676" t="s">
        <v>240</v>
      </c>
      <c r="C1676" t="s">
        <v>1744</v>
      </c>
      <c r="D1676" t="s">
        <v>165</v>
      </c>
      <c r="E1676" s="4">
        <f>IF(AND('Hybrid Questions'!$B$21="",OR('Hybrid Questions'!$A$21&lt;&gt;"",'Hybrid Questions'!$C$21&lt;&gt;"",'Hybrid Questions'!$D$21&lt;&gt;"")),"This row has no question number. Numbers identify each question in your results and are used as output folder names.","")</f>
        <v>0</v>
      </c>
      <c r="F1676" s="4" t="s">
        <v>1745</v>
      </c>
    </row>
    <row r="1677" spans="1:6" ht="75" customHeight="1">
      <c r="A1677" t="s">
        <v>271</v>
      </c>
      <c r="B1677" t="s">
        <v>241</v>
      </c>
      <c r="C1677" t="s">
        <v>1744</v>
      </c>
      <c r="D1677" t="s">
        <v>165</v>
      </c>
      <c r="E1677" s="4">
        <f>IF(AND('Hybrid Questions'!$B$22="",OR('Hybrid Questions'!$A$22&lt;&gt;"",'Hybrid Questions'!$C$22&lt;&gt;"",'Hybrid Questions'!$D$22&lt;&gt;"")),"This row has no question number. Numbers identify each question in your results and are used as output folder names.","")</f>
        <v>0</v>
      </c>
      <c r="F1677" s="4" t="s">
        <v>1745</v>
      </c>
    </row>
    <row r="1678" spans="1:6" ht="75" customHeight="1">
      <c r="A1678" t="s">
        <v>271</v>
      </c>
      <c r="B1678" t="s">
        <v>242</v>
      </c>
      <c r="C1678" t="s">
        <v>1744</v>
      </c>
      <c r="D1678" t="s">
        <v>165</v>
      </c>
      <c r="E1678" s="4">
        <f>IF(AND('Hybrid Questions'!$B$23="",OR('Hybrid Questions'!$A$23&lt;&gt;"",'Hybrid Questions'!$C$23&lt;&gt;"",'Hybrid Questions'!$D$23&lt;&gt;"")),"This row has no question number. Numbers identify each question in your results and are used as output folder names.","")</f>
        <v>0</v>
      </c>
      <c r="F1678" s="4" t="s">
        <v>1745</v>
      </c>
    </row>
    <row r="1679" spans="1:6" ht="75" customHeight="1">
      <c r="A1679" t="s">
        <v>271</v>
      </c>
      <c r="B1679" t="s">
        <v>243</v>
      </c>
      <c r="C1679" t="s">
        <v>1744</v>
      </c>
      <c r="D1679" t="s">
        <v>165</v>
      </c>
      <c r="E1679" s="4">
        <f>IF(AND('Hybrid Questions'!$B$24="",OR('Hybrid Questions'!$A$24&lt;&gt;"",'Hybrid Questions'!$C$24&lt;&gt;"",'Hybrid Questions'!$D$24&lt;&gt;"")),"This row has no question number. Numbers identify each question in your results and are used as output folder names.","")</f>
        <v>0</v>
      </c>
      <c r="F1679" s="4" t="s">
        <v>1745</v>
      </c>
    </row>
    <row r="1680" spans="1:6" ht="75" customHeight="1">
      <c r="A1680" t="s">
        <v>271</v>
      </c>
      <c r="B1680" t="s">
        <v>244</v>
      </c>
      <c r="C1680" t="s">
        <v>1744</v>
      </c>
      <c r="D1680" t="s">
        <v>165</v>
      </c>
      <c r="E1680" s="4">
        <f>IF(AND('Hybrid Questions'!$B$25="",OR('Hybrid Questions'!$A$25&lt;&gt;"",'Hybrid Questions'!$C$25&lt;&gt;"",'Hybrid Questions'!$D$25&lt;&gt;"")),"This row has no question number. Numbers identify each question in your results and are used as output folder names.","")</f>
        <v>0</v>
      </c>
      <c r="F1680" s="4" t="s">
        <v>1745</v>
      </c>
    </row>
    <row r="1681" spans="1:6" ht="75" customHeight="1">
      <c r="A1681" t="s">
        <v>271</v>
      </c>
      <c r="B1681" t="s">
        <v>245</v>
      </c>
      <c r="C1681" t="s">
        <v>1744</v>
      </c>
      <c r="D1681" t="s">
        <v>165</v>
      </c>
      <c r="E1681" s="4">
        <f>IF(AND('Hybrid Questions'!$B$26="",OR('Hybrid Questions'!$A$26&lt;&gt;"",'Hybrid Questions'!$C$26&lt;&gt;"",'Hybrid Questions'!$D$26&lt;&gt;"")),"This row has no question number. Numbers identify each question in your results and are used as output folder names.","")</f>
        <v>0</v>
      </c>
      <c r="F1681" s="4" t="s">
        <v>1745</v>
      </c>
    </row>
    <row r="1682" spans="1:6" ht="75" customHeight="1">
      <c r="A1682" t="s">
        <v>271</v>
      </c>
      <c r="B1682" t="s">
        <v>246</v>
      </c>
      <c r="C1682" t="s">
        <v>1744</v>
      </c>
      <c r="D1682" t="s">
        <v>165</v>
      </c>
      <c r="E1682" s="4">
        <f>IF(AND('Hybrid Questions'!$B$27="",OR('Hybrid Questions'!$A$27&lt;&gt;"",'Hybrid Questions'!$C$27&lt;&gt;"",'Hybrid Questions'!$D$27&lt;&gt;"")),"This row has no question number. Numbers identify each question in your results and are used as output folder names.","")</f>
        <v>0</v>
      </c>
      <c r="F1682" s="4" t="s">
        <v>1745</v>
      </c>
    </row>
    <row r="1683" spans="1:6" ht="75" customHeight="1">
      <c r="A1683" t="s">
        <v>271</v>
      </c>
      <c r="B1683" t="s">
        <v>247</v>
      </c>
      <c r="C1683" t="s">
        <v>1744</v>
      </c>
      <c r="D1683" t="s">
        <v>165</v>
      </c>
      <c r="E1683" s="4">
        <f>IF(AND('Hybrid Questions'!$B$28="",OR('Hybrid Questions'!$A$28&lt;&gt;"",'Hybrid Questions'!$C$28&lt;&gt;"",'Hybrid Questions'!$D$28&lt;&gt;"")),"This row has no question number. Numbers identify each question in your results and are used as output folder names.","")</f>
        <v>0</v>
      </c>
      <c r="F1683" s="4" t="s">
        <v>1745</v>
      </c>
    </row>
    <row r="1684" spans="1:6" ht="75" customHeight="1">
      <c r="A1684" t="s">
        <v>271</v>
      </c>
      <c r="B1684" t="s">
        <v>248</v>
      </c>
      <c r="C1684" t="s">
        <v>1744</v>
      </c>
      <c r="D1684" t="s">
        <v>165</v>
      </c>
      <c r="E1684" s="4">
        <f>IF(AND('Hybrid Questions'!$B$29="",OR('Hybrid Questions'!$A$29&lt;&gt;"",'Hybrid Questions'!$C$29&lt;&gt;"",'Hybrid Questions'!$D$29&lt;&gt;"")),"This row has no question number. Numbers identify each question in your results and are used as output folder names.","")</f>
        <v>0</v>
      </c>
      <c r="F1684" s="4" t="s">
        <v>1745</v>
      </c>
    </row>
    <row r="1685" spans="1:6" ht="75" customHeight="1">
      <c r="A1685" t="s">
        <v>271</v>
      </c>
      <c r="B1685" t="s">
        <v>249</v>
      </c>
      <c r="C1685" t="s">
        <v>1744</v>
      </c>
      <c r="D1685" t="s">
        <v>165</v>
      </c>
      <c r="E1685" s="4">
        <f>IF(AND('Hybrid Questions'!$B$30="",OR('Hybrid Questions'!$A$30&lt;&gt;"",'Hybrid Questions'!$C$30&lt;&gt;"",'Hybrid Questions'!$D$30&lt;&gt;"")),"This row has no question number. Numbers identify each question in your results and are used as output folder names.","")</f>
        <v>0</v>
      </c>
      <c r="F1685" s="4" t="s">
        <v>1745</v>
      </c>
    </row>
    <row r="1686" spans="1:6" ht="75" customHeight="1">
      <c r="A1686" t="s">
        <v>271</v>
      </c>
      <c r="B1686" t="s">
        <v>250</v>
      </c>
      <c r="C1686" t="s">
        <v>1744</v>
      </c>
      <c r="D1686" t="s">
        <v>165</v>
      </c>
      <c r="E1686" s="4">
        <f>IF(AND('Hybrid Questions'!$B$31="",OR('Hybrid Questions'!$A$31&lt;&gt;"",'Hybrid Questions'!$C$31&lt;&gt;"",'Hybrid Questions'!$D$31&lt;&gt;"")),"This row has no question number. Numbers identify each question in your results and are used as output folder names.","")</f>
        <v>0</v>
      </c>
      <c r="F1686" s="4" t="s">
        <v>1745</v>
      </c>
    </row>
    <row r="1687" spans="1:6" ht="75" customHeight="1">
      <c r="A1687" t="s">
        <v>271</v>
      </c>
      <c r="B1687" t="s">
        <v>251</v>
      </c>
      <c r="C1687" t="s">
        <v>1744</v>
      </c>
      <c r="D1687" t="s">
        <v>165</v>
      </c>
      <c r="E1687" s="4">
        <f>IF(AND('Hybrid Questions'!$B$32="",OR('Hybrid Questions'!$A$32&lt;&gt;"",'Hybrid Questions'!$C$32&lt;&gt;"",'Hybrid Questions'!$D$32&lt;&gt;"")),"This row has no question number. Numbers identify each question in your results and are used as output folder names.","")</f>
        <v>0</v>
      </c>
      <c r="F1687" s="4" t="s">
        <v>1745</v>
      </c>
    </row>
    <row r="1688" spans="1:6" ht="75" customHeight="1">
      <c r="A1688" t="s">
        <v>271</v>
      </c>
      <c r="B1688" t="s">
        <v>252</v>
      </c>
      <c r="C1688" t="s">
        <v>1744</v>
      </c>
      <c r="D1688" t="s">
        <v>165</v>
      </c>
      <c r="E1688" s="4">
        <f>IF(AND('Hybrid Questions'!$B$33="",OR('Hybrid Questions'!$A$33&lt;&gt;"",'Hybrid Questions'!$C$33&lt;&gt;"",'Hybrid Questions'!$D$33&lt;&gt;"")),"This row has no question number. Numbers identify each question in your results and are used as output folder names.","")</f>
        <v>0</v>
      </c>
      <c r="F1688" s="4" t="s">
        <v>1745</v>
      </c>
    </row>
    <row r="1689" spans="1:6" ht="75" customHeight="1">
      <c r="A1689" t="s">
        <v>271</v>
      </c>
      <c r="B1689" t="s">
        <v>253</v>
      </c>
      <c r="C1689" t="s">
        <v>1744</v>
      </c>
      <c r="D1689" t="s">
        <v>165</v>
      </c>
      <c r="E1689" s="4">
        <f>IF(AND('Hybrid Questions'!$B$34="",OR('Hybrid Questions'!$A$34&lt;&gt;"",'Hybrid Questions'!$C$34&lt;&gt;"",'Hybrid Questions'!$D$34&lt;&gt;"")),"This row has no question number. Numbers identify each question in your results and are used as output folder names.","")</f>
        <v>0</v>
      </c>
      <c r="F1689" s="4" t="s">
        <v>1745</v>
      </c>
    </row>
    <row r="1690" spans="1:6" ht="75" customHeight="1">
      <c r="A1690" t="s">
        <v>271</v>
      </c>
      <c r="B1690" t="s">
        <v>254</v>
      </c>
      <c r="C1690" t="s">
        <v>1744</v>
      </c>
      <c r="D1690" t="s">
        <v>165</v>
      </c>
      <c r="E1690" s="4">
        <f>IF(AND('Hybrid Questions'!$B$35="",OR('Hybrid Questions'!$A$35&lt;&gt;"",'Hybrid Questions'!$C$35&lt;&gt;"",'Hybrid Questions'!$D$35&lt;&gt;"")),"This row has no question number. Numbers identify each question in your results and are used as output folder names.","")</f>
        <v>0</v>
      </c>
      <c r="F1690" s="4" t="s">
        <v>1745</v>
      </c>
    </row>
    <row r="1691" spans="1:6" ht="75" customHeight="1">
      <c r="A1691" t="s">
        <v>271</v>
      </c>
      <c r="B1691" t="s">
        <v>255</v>
      </c>
      <c r="C1691" t="s">
        <v>1744</v>
      </c>
      <c r="D1691" t="s">
        <v>165</v>
      </c>
      <c r="E1691" s="4">
        <f>IF(AND('Hybrid Questions'!$B$36="",OR('Hybrid Questions'!$A$36&lt;&gt;"",'Hybrid Questions'!$C$36&lt;&gt;"",'Hybrid Questions'!$D$36&lt;&gt;"")),"This row has no question number. Numbers identify each question in your results and are used as output folder names.","")</f>
        <v>0</v>
      </c>
      <c r="F1691" s="4" t="s">
        <v>1745</v>
      </c>
    </row>
    <row r="1692" spans="1:6" ht="75" customHeight="1">
      <c r="A1692" t="s">
        <v>271</v>
      </c>
      <c r="B1692" t="s">
        <v>256</v>
      </c>
      <c r="C1692" t="s">
        <v>1744</v>
      </c>
      <c r="D1692" t="s">
        <v>165</v>
      </c>
      <c r="E1692" s="4">
        <f>IF(AND('Hybrid Questions'!$B$37="",OR('Hybrid Questions'!$A$37&lt;&gt;"",'Hybrid Questions'!$C$37&lt;&gt;"",'Hybrid Questions'!$D$37&lt;&gt;"")),"This row has no question number. Numbers identify each question in your results and are used as output folder names.","")</f>
        <v>0</v>
      </c>
      <c r="F1692" s="4" t="s">
        <v>1745</v>
      </c>
    </row>
    <row r="1693" spans="1:6" ht="75" customHeight="1">
      <c r="A1693" t="s">
        <v>271</v>
      </c>
      <c r="B1693" t="s">
        <v>257</v>
      </c>
      <c r="C1693" t="s">
        <v>1744</v>
      </c>
      <c r="D1693" t="s">
        <v>165</v>
      </c>
      <c r="E1693" s="4">
        <f>IF(AND('Hybrid Questions'!$B$38="",OR('Hybrid Questions'!$A$38&lt;&gt;"",'Hybrid Questions'!$C$38&lt;&gt;"",'Hybrid Questions'!$D$38&lt;&gt;"")),"This row has no question number. Numbers identify each question in your results and are used as output folder names.","")</f>
        <v>0</v>
      </c>
      <c r="F1693" s="4" t="s">
        <v>1745</v>
      </c>
    </row>
    <row r="1694" spans="1:6" ht="75" customHeight="1">
      <c r="A1694" t="s">
        <v>271</v>
      </c>
      <c r="B1694" t="s">
        <v>258</v>
      </c>
      <c r="C1694" t="s">
        <v>1744</v>
      </c>
      <c r="D1694" t="s">
        <v>165</v>
      </c>
      <c r="E1694" s="4">
        <f>IF(AND('Hybrid Questions'!$B$39="",OR('Hybrid Questions'!$A$39&lt;&gt;"",'Hybrid Questions'!$C$39&lt;&gt;"",'Hybrid Questions'!$D$39&lt;&gt;"")),"This row has no question number. Numbers identify each question in your results and are used as output folder names.","")</f>
        <v>0</v>
      </c>
      <c r="F1694" s="4" t="s">
        <v>1745</v>
      </c>
    </row>
    <row r="1695" spans="1:6" ht="75" customHeight="1">
      <c r="A1695" t="s">
        <v>271</v>
      </c>
      <c r="B1695" t="s">
        <v>259</v>
      </c>
      <c r="C1695" t="s">
        <v>1744</v>
      </c>
      <c r="D1695" t="s">
        <v>165</v>
      </c>
      <c r="E1695" s="4">
        <f>IF(AND('Hybrid Questions'!$B$40="",OR('Hybrid Questions'!$A$40&lt;&gt;"",'Hybrid Questions'!$C$40&lt;&gt;"",'Hybrid Questions'!$D$40&lt;&gt;"")),"This row has no question number. Numbers identify each question in your results and are used as output folder names.","")</f>
        <v>0</v>
      </c>
      <c r="F1695" s="4" t="s">
        <v>1745</v>
      </c>
    </row>
    <row r="1696" spans="1:6" ht="75" customHeight="1">
      <c r="A1696" t="s">
        <v>271</v>
      </c>
      <c r="B1696" t="s">
        <v>260</v>
      </c>
      <c r="C1696" t="s">
        <v>1744</v>
      </c>
      <c r="D1696" t="s">
        <v>165</v>
      </c>
      <c r="E1696" s="4">
        <f>IF(AND('Hybrid Questions'!$B$41="",OR('Hybrid Questions'!$A$41&lt;&gt;"",'Hybrid Questions'!$C$41&lt;&gt;"",'Hybrid Questions'!$D$41&lt;&gt;"")),"This row has no question number. Numbers identify each question in your results and are used as output folder names.","")</f>
        <v>0</v>
      </c>
      <c r="F1696" s="4" t="s">
        <v>1745</v>
      </c>
    </row>
    <row r="1697" spans="1:6" ht="75" customHeight="1">
      <c r="A1697" t="s">
        <v>271</v>
      </c>
      <c r="B1697" t="s">
        <v>261</v>
      </c>
      <c r="C1697" t="s">
        <v>1744</v>
      </c>
      <c r="D1697" t="s">
        <v>165</v>
      </c>
      <c r="E1697" s="4">
        <f>IF(AND('Hybrid Questions'!$B$42="",OR('Hybrid Questions'!$A$42&lt;&gt;"",'Hybrid Questions'!$C$42&lt;&gt;"",'Hybrid Questions'!$D$42&lt;&gt;"")),"This row has no question number. Numbers identify each question in your results and are used as output folder names.","")</f>
        <v>0</v>
      </c>
      <c r="F1697" s="4" t="s">
        <v>1745</v>
      </c>
    </row>
    <row r="1698" spans="1:6" ht="75" customHeight="1">
      <c r="A1698" t="s">
        <v>271</v>
      </c>
      <c r="B1698" t="s">
        <v>262</v>
      </c>
      <c r="C1698" t="s">
        <v>1744</v>
      </c>
      <c r="D1698" t="s">
        <v>165</v>
      </c>
      <c r="E1698" s="4">
        <f>IF(AND('Hybrid Questions'!$B$43="",OR('Hybrid Questions'!$A$43&lt;&gt;"",'Hybrid Questions'!$C$43&lt;&gt;"",'Hybrid Questions'!$D$43&lt;&gt;"")),"This row has no question number. Numbers identify each question in your results and are used as output folder names.","")</f>
        <v>0</v>
      </c>
      <c r="F1698" s="4" t="s">
        <v>1745</v>
      </c>
    </row>
    <row r="1699" spans="1:6" ht="75" customHeight="1">
      <c r="A1699" t="s">
        <v>271</v>
      </c>
      <c r="B1699" t="s">
        <v>263</v>
      </c>
      <c r="C1699" t="s">
        <v>1744</v>
      </c>
      <c r="D1699" t="s">
        <v>165</v>
      </c>
      <c r="E1699" s="4">
        <f>IF(AND('Hybrid Questions'!$B$44="",OR('Hybrid Questions'!$A$44&lt;&gt;"",'Hybrid Questions'!$C$44&lt;&gt;"",'Hybrid Questions'!$D$44&lt;&gt;"")),"This row has no question number. Numbers identify each question in your results and are used as output folder names.","")</f>
        <v>0</v>
      </c>
      <c r="F1699" s="4" t="s">
        <v>1745</v>
      </c>
    </row>
    <row r="1700" spans="1:6" ht="75" customHeight="1">
      <c r="A1700" t="s">
        <v>271</v>
      </c>
      <c r="B1700" t="s">
        <v>264</v>
      </c>
      <c r="C1700" t="s">
        <v>1744</v>
      </c>
      <c r="D1700" t="s">
        <v>165</v>
      </c>
      <c r="E1700" s="4">
        <f>IF(AND('Hybrid Questions'!$B$45="",OR('Hybrid Questions'!$A$45&lt;&gt;"",'Hybrid Questions'!$C$45&lt;&gt;"",'Hybrid Questions'!$D$45&lt;&gt;"")),"This row has no question number. Numbers identify each question in your results and are used as output folder names.","")</f>
        <v>0</v>
      </c>
      <c r="F1700" s="4" t="s">
        <v>1745</v>
      </c>
    </row>
    <row r="1701" spans="1:6" ht="75" customHeight="1">
      <c r="A1701" t="s">
        <v>271</v>
      </c>
      <c r="B1701" t="s">
        <v>265</v>
      </c>
      <c r="C1701" t="s">
        <v>1744</v>
      </c>
      <c r="D1701" t="s">
        <v>165</v>
      </c>
      <c r="E1701" s="4">
        <f>IF(AND('Hybrid Questions'!$B$46="",OR('Hybrid Questions'!$A$46&lt;&gt;"",'Hybrid Questions'!$C$46&lt;&gt;"",'Hybrid Questions'!$D$46&lt;&gt;"")),"This row has no question number. Numbers identify each question in your results and are used as output folder names.","")</f>
        <v>0</v>
      </c>
      <c r="F1701" s="4" t="s">
        <v>1745</v>
      </c>
    </row>
    <row r="1702" spans="1:6" ht="75" customHeight="1">
      <c r="A1702" t="s">
        <v>271</v>
      </c>
      <c r="B1702" t="s">
        <v>266</v>
      </c>
      <c r="C1702" t="s">
        <v>1744</v>
      </c>
      <c r="D1702" t="s">
        <v>165</v>
      </c>
      <c r="E1702" s="4">
        <f>IF(AND('Hybrid Questions'!$B$47="",OR('Hybrid Questions'!$A$47&lt;&gt;"",'Hybrid Questions'!$C$47&lt;&gt;"",'Hybrid Questions'!$D$47&lt;&gt;"")),"This row has no question number. Numbers identify each question in your results and are used as output folder names.","")</f>
        <v>0</v>
      </c>
      <c r="F1702" s="4" t="s">
        <v>1745</v>
      </c>
    </row>
    <row r="1703" spans="1:6" ht="75" customHeight="1">
      <c r="A1703" t="s">
        <v>271</v>
      </c>
      <c r="B1703" t="s">
        <v>267</v>
      </c>
      <c r="C1703" t="s">
        <v>1744</v>
      </c>
      <c r="D1703" t="s">
        <v>165</v>
      </c>
      <c r="E1703" s="4">
        <f>IF(AND('Hybrid Questions'!$B$48="",OR('Hybrid Questions'!$A$48&lt;&gt;"",'Hybrid Questions'!$C$48&lt;&gt;"",'Hybrid Questions'!$D$48&lt;&gt;"")),"This row has no question number. Numbers identify each question in your results and are used as output folder names.","")</f>
        <v>0</v>
      </c>
      <c r="F1703" s="4" t="s">
        <v>1745</v>
      </c>
    </row>
    <row r="1704" spans="1:6" ht="75" customHeight="1">
      <c r="A1704" t="s">
        <v>271</v>
      </c>
      <c r="B1704" t="s">
        <v>268</v>
      </c>
      <c r="C1704" t="s">
        <v>1744</v>
      </c>
      <c r="D1704" t="s">
        <v>165</v>
      </c>
      <c r="E1704" s="4">
        <f>IF(AND('Hybrid Questions'!$B$49="",OR('Hybrid Questions'!$A$49&lt;&gt;"",'Hybrid Questions'!$C$49&lt;&gt;"",'Hybrid Questions'!$D$49&lt;&gt;"")),"This row has no question number. Numbers identify each question in your results and are used as output folder names.","")</f>
        <v>0</v>
      </c>
      <c r="F1704" s="4" t="s">
        <v>1745</v>
      </c>
    </row>
    <row r="1705" spans="1:6" ht="75" customHeight="1">
      <c r="A1705" t="s">
        <v>271</v>
      </c>
      <c r="B1705" t="s">
        <v>269</v>
      </c>
      <c r="C1705" t="s">
        <v>1744</v>
      </c>
      <c r="D1705" t="s">
        <v>165</v>
      </c>
      <c r="E1705" s="4">
        <f>IF(AND('Hybrid Questions'!$B$50="",OR('Hybrid Questions'!$A$50&lt;&gt;"",'Hybrid Questions'!$C$50&lt;&gt;"",'Hybrid Questions'!$D$50&lt;&gt;"")),"This row has no question number. Numbers identify each question in your results and are used as output folder names.","")</f>
        <v>0</v>
      </c>
      <c r="F1705" s="4" t="s">
        <v>1745</v>
      </c>
    </row>
    <row r="1706" spans="1:6" ht="75" customHeight="1">
      <c r="A1706" t="s">
        <v>271</v>
      </c>
      <c r="B1706" t="s">
        <v>270</v>
      </c>
      <c r="C1706" t="s">
        <v>1744</v>
      </c>
      <c r="D1706" t="s">
        <v>165</v>
      </c>
      <c r="E1706" s="4">
        <f>IF(AND('Hybrid Questions'!$B$51="",OR('Hybrid Questions'!$A$51&lt;&gt;"",'Hybrid Questions'!$C$51&lt;&gt;"",'Hybrid Questions'!$D$51&lt;&gt;"")),"This row has no question number. Numbers identify each question in your results and are used as output folder names.","")</f>
        <v>0</v>
      </c>
      <c r="F1706" s="4" t="s">
        <v>1745</v>
      </c>
    </row>
    <row r="1707" spans="1:6" ht="75" customHeight="1">
      <c r="A1707" t="s">
        <v>216</v>
      </c>
      <c r="B1707" t="s">
        <v>1746</v>
      </c>
      <c r="C1707" t="s">
        <v>1747</v>
      </c>
      <c r="D1707" t="s">
        <v>165</v>
      </c>
      <c r="E1707" s="4">
        <f>IF(AND('Open Questions'!$C$2="",OR('Open Questions'!$A$2&lt;&gt;"",'Open Questions'!$B$2&lt;&gt;"")),"This row has no question wording, which will make the results hard to interpret.","")</f>
        <v>0</v>
      </c>
      <c r="F1707" s="4" t="s">
        <v>1748</v>
      </c>
    </row>
    <row r="1708" spans="1:6" ht="75" customHeight="1">
      <c r="A1708" t="s">
        <v>216</v>
      </c>
      <c r="B1708" t="s">
        <v>1749</v>
      </c>
      <c r="C1708" t="s">
        <v>1747</v>
      </c>
      <c r="D1708" t="s">
        <v>165</v>
      </c>
      <c r="E1708" s="4">
        <f>IF(AND('Open Questions'!$C$3="",OR('Open Questions'!$A$3&lt;&gt;"",'Open Questions'!$B$3&lt;&gt;"")),"This row has no question wording, which will make the results hard to interpret.","")</f>
        <v>0</v>
      </c>
      <c r="F1708" s="4" t="s">
        <v>1748</v>
      </c>
    </row>
    <row r="1709" spans="1:6" ht="75" customHeight="1">
      <c r="A1709" t="s">
        <v>216</v>
      </c>
      <c r="B1709" t="s">
        <v>1750</v>
      </c>
      <c r="C1709" t="s">
        <v>1747</v>
      </c>
      <c r="D1709" t="s">
        <v>165</v>
      </c>
      <c r="E1709" s="4">
        <f>IF(AND('Open Questions'!$C$4="",OR('Open Questions'!$A$4&lt;&gt;"",'Open Questions'!$B$4&lt;&gt;"")),"This row has no question wording, which will make the results hard to interpret.","")</f>
        <v>0</v>
      </c>
      <c r="F1709" s="4" t="s">
        <v>1748</v>
      </c>
    </row>
    <row r="1710" spans="1:6" ht="75" customHeight="1">
      <c r="A1710" t="s">
        <v>216</v>
      </c>
      <c r="B1710" t="s">
        <v>1751</v>
      </c>
      <c r="C1710" t="s">
        <v>1747</v>
      </c>
      <c r="D1710" t="s">
        <v>165</v>
      </c>
      <c r="E1710" s="4">
        <f>IF(AND('Open Questions'!$C$5="",OR('Open Questions'!$A$5&lt;&gt;"",'Open Questions'!$B$5&lt;&gt;"")),"This row has no question wording, which will make the results hard to interpret.","")</f>
        <v>0</v>
      </c>
      <c r="F1710" s="4" t="s">
        <v>1748</v>
      </c>
    </row>
    <row r="1711" spans="1:6" ht="75" customHeight="1">
      <c r="A1711" t="s">
        <v>216</v>
      </c>
      <c r="B1711" t="s">
        <v>1752</v>
      </c>
      <c r="C1711" t="s">
        <v>1747</v>
      </c>
      <c r="D1711" t="s">
        <v>165</v>
      </c>
      <c r="E1711" s="4">
        <f>IF(AND('Open Questions'!$C$6="",OR('Open Questions'!$A$6&lt;&gt;"",'Open Questions'!$B$6&lt;&gt;"")),"This row has no question wording, which will make the results hard to interpret.","")</f>
        <v>0</v>
      </c>
      <c r="F1711" s="4" t="s">
        <v>1748</v>
      </c>
    </row>
    <row r="1712" spans="1:6" ht="75" customHeight="1">
      <c r="A1712" t="s">
        <v>216</v>
      </c>
      <c r="B1712" t="s">
        <v>1753</v>
      </c>
      <c r="C1712" t="s">
        <v>1747</v>
      </c>
      <c r="D1712" t="s">
        <v>165</v>
      </c>
      <c r="E1712" s="4">
        <f>IF(AND('Open Questions'!$C$7="",OR('Open Questions'!$A$7&lt;&gt;"",'Open Questions'!$B$7&lt;&gt;"")),"This row has no question wording, which will make the results hard to interpret.","")</f>
        <v>0</v>
      </c>
      <c r="F1712" s="4" t="s">
        <v>1748</v>
      </c>
    </row>
    <row r="1713" spans="1:6" ht="75" customHeight="1">
      <c r="A1713" t="s">
        <v>216</v>
      </c>
      <c r="B1713" t="s">
        <v>1754</v>
      </c>
      <c r="C1713" t="s">
        <v>1747</v>
      </c>
      <c r="D1713" t="s">
        <v>165</v>
      </c>
      <c r="E1713" s="4">
        <f>IF(AND('Open Questions'!$C$8="",OR('Open Questions'!$A$8&lt;&gt;"",'Open Questions'!$B$8&lt;&gt;"")),"This row has no question wording, which will make the results hard to interpret.","")</f>
        <v>0</v>
      </c>
      <c r="F1713" s="4" t="s">
        <v>1748</v>
      </c>
    </row>
    <row r="1714" spans="1:6" ht="75" customHeight="1">
      <c r="A1714" t="s">
        <v>216</v>
      </c>
      <c r="B1714" t="s">
        <v>1755</v>
      </c>
      <c r="C1714" t="s">
        <v>1747</v>
      </c>
      <c r="D1714" t="s">
        <v>165</v>
      </c>
      <c r="E1714" s="4">
        <f>IF(AND('Open Questions'!$C$9="",OR('Open Questions'!$A$9&lt;&gt;"",'Open Questions'!$B$9&lt;&gt;"")),"This row has no question wording, which will make the results hard to interpret.","")</f>
        <v>0</v>
      </c>
      <c r="F1714" s="4" t="s">
        <v>1748</v>
      </c>
    </row>
    <row r="1715" spans="1:6" ht="75" customHeight="1">
      <c r="A1715" t="s">
        <v>216</v>
      </c>
      <c r="B1715" t="s">
        <v>1756</v>
      </c>
      <c r="C1715" t="s">
        <v>1747</v>
      </c>
      <c r="D1715" t="s">
        <v>165</v>
      </c>
      <c r="E1715" s="4">
        <f>IF(AND('Open Questions'!$C$10="",OR('Open Questions'!$A$10&lt;&gt;"",'Open Questions'!$B$10&lt;&gt;"")),"This row has no question wording, which will make the results hard to interpret.","")</f>
        <v>0</v>
      </c>
      <c r="F1715" s="4" t="s">
        <v>1748</v>
      </c>
    </row>
    <row r="1716" spans="1:6" ht="75" customHeight="1">
      <c r="A1716" t="s">
        <v>216</v>
      </c>
      <c r="B1716" t="s">
        <v>1757</v>
      </c>
      <c r="C1716" t="s">
        <v>1747</v>
      </c>
      <c r="D1716" t="s">
        <v>165</v>
      </c>
      <c r="E1716" s="4">
        <f>IF(AND('Open Questions'!$C$11="",OR('Open Questions'!$A$11&lt;&gt;"",'Open Questions'!$B$11&lt;&gt;"")),"This row has no question wording, which will make the results hard to interpret.","")</f>
        <v>0</v>
      </c>
      <c r="F1716" s="4" t="s">
        <v>1748</v>
      </c>
    </row>
    <row r="1717" spans="1:6" ht="75" customHeight="1">
      <c r="A1717" t="s">
        <v>216</v>
      </c>
      <c r="B1717" t="s">
        <v>1758</v>
      </c>
      <c r="C1717" t="s">
        <v>1747</v>
      </c>
      <c r="D1717" t="s">
        <v>165</v>
      </c>
      <c r="E1717" s="4">
        <f>IF(AND('Open Questions'!$C$12="",OR('Open Questions'!$A$12&lt;&gt;"",'Open Questions'!$B$12&lt;&gt;"")),"This row has no question wording, which will make the results hard to interpret.","")</f>
        <v>0</v>
      </c>
      <c r="F1717" s="4" t="s">
        <v>1748</v>
      </c>
    </row>
    <row r="1718" spans="1:6" ht="75" customHeight="1">
      <c r="A1718" t="s">
        <v>216</v>
      </c>
      <c r="B1718" t="s">
        <v>1759</v>
      </c>
      <c r="C1718" t="s">
        <v>1747</v>
      </c>
      <c r="D1718" t="s">
        <v>165</v>
      </c>
      <c r="E1718" s="4">
        <f>IF(AND('Open Questions'!$C$13="",OR('Open Questions'!$A$13&lt;&gt;"",'Open Questions'!$B$13&lt;&gt;"")),"This row has no question wording, which will make the results hard to interpret.","")</f>
        <v>0</v>
      </c>
      <c r="F1718" s="4" t="s">
        <v>1748</v>
      </c>
    </row>
    <row r="1719" spans="1:6" ht="75" customHeight="1">
      <c r="A1719" t="s">
        <v>216</v>
      </c>
      <c r="B1719" t="s">
        <v>1760</v>
      </c>
      <c r="C1719" t="s">
        <v>1747</v>
      </c>
      <c r="D1719" t="s">
        <v>165</v>
      </c>
      <c r="E1719" s="4">
        <f>IF(AND('Open Questions'!$C$14="",OR('Open Questions'!$A$14&lt;&gt;"",'Open Questions'!$B$14&lt;&gt;"")),"This row has no question wording, which will make the results hard to interpret.","")</f>
        <v>0</v>
      </c>
      <c r="F1719" s="4" t="s">
        <v>1748</v>
      </c>
    </row>
    <row r="1720" spans="1:6" ht="75" customHeight="1">
      <c r="A1720" t="s">
        <v>216</v>
      </c>
      <c r="B1720" t="s">
        <v>1761</v>
      </c>
      <c r="C1720" t="s">
        <v>1747</v>
      </c>
      <c r="D1720" t="s">
        <v>165</v>
      </c>
      <c r="E1720" s="4">
        <f>IF(AND('Open Questions'!$C$15="",OR('Open Questions'!$A$15&lt;&gt;"",'Open Questions'!$B$15&lt;&gt;"")),"This row has no question wording, which will make the results hard to interpret.","")</f>
        <v>0</v>
      </c>
      <c r="F1720" s="4" t="s">
        <v>1748</v>
      </c>
    </row>
    <row r="1721" spans="1:6" ht="75" customHeight="1">
      <c r="A1721" t="s">
        <v>216</v>
      </c>
      <c r="B1721" t="s">
        <v>1762</v>
      </c>
      <c r="C1721" t="s">
        <v>1747</v>
      </c>
      <c r="D1721" t="s">
        <v>165</v>
      </c>
      <c r="E1721" s="4">
        <f>IF(AND('Open Questions'!$C$16="",OR('Open Questions'!$A$16&lt;&gt;"",'Open Questions'!$B$16&lt;&gt;"")),"This row has no question wording, which will make the results hard to interpret.","")</f>
        <v>0</v>
      </c>
      <c r="F1721" s="4" t="s">
        <v>1748</v>
      </c>
    </row>
    <row r="1722" spans="1:6" ht="75" customHeight="1">
      <c r="A1722" t="s">
        <v>216</v>
      </c>
      <c r="B1722" t="s">
        <v>1763</v>
      </c>
      <c r="C1722" t="s">
        <v>1747</v>
      </c>
      <c r="D1722" t="s">
        <v>165</v>
      </c>
      <c r="E1722" s="4">
        <f>IF(AND('Open Questions'!$C$17="",OR('Open Questions'!$A$17&lt;&gt;"",'Open Questions'!$B$17&lt;&gt;"")),"This row has no question wording, which will make the results hard to interpret.","")</f>
        <v>0</v>
      </c>
      <c r="F1722" s="4" t="s">
        <v>1748</v>
      </c>
    </row>
    <row r="1723" spans="1:6" ht="75" customHeight="1">
      <c r="A1723" t="s">
        <v>216</v>
      </c>
      <c r="B1723" t="s">
        <v>1764</v>
      </c>
      <c r="C1723" t="s">
        <v>1747</v>
      </c>
      <c r="D1723" t="s">
        <v>165</v>
      </c>
      <c r="E1723" s="4">
        <f>IF(AND('Open Questions'!$C$18="",OR('Open Questions'!$A$18&lt;&gt;"",'Open Questions'!$B$18&lt;&gt;"")),"This row has no question wording, which will make the results hard to interpret.","")</f>
        <v>0</v>
      </c>
      <c r="F1723" s="4" t="s">
        <v>1748</v>
      </c>
    </row>
    <row r="1724" spans="1:6" ht="75" customHeight="1">
      <c r="A1724" t="s">
        <v>216</v>
      </c>
      <c r="B1724" t="s">
        <v>1765</v>
      </c>
      <c r="C1724" t="s">
        <v>1747</v>
      </c>
      <c r="D1724" t="s">
        <v>165</v>
      </c>
      <c r="E1724" s="4">
        <f>IF(AND('Open Questions'!$C$19="",OR('Open Questions'!$A$19&lt;&gt;"",'Open Questions'!$B$19&lt;&gt;"")),"This row has no question wording, which will make the results hard to interpret.","")</f>
        <v>0</v>
      </c>
      <c r="F1724" s="4" t="s">
        <v>1748</v>
      </c>
    </row>
    <row r="1725" spans="1:6" ht="75" customHeight="1">
      <c r="A1725" t="s">
        <v>216</v>
      </c>
      <c r="B1725" t="s">
        <v>1766</v>
      </c>
      <c r="C1725" t="s">
        <v>1747</v>
      </c>
      <c r="D1725" t="s">
        <v>165</v>
      </c>
      <c r="E1725" s="4">
        <f>IF(AND('Open Questions'!$C$20="",OR('Open Questions'!$A$20&lt;&gt;"",'Open Questions'!$B$20&lt;&gt;"")),"This row has no question wording, which will make the results hard to interpret.","")</f>
        <v>0</v>
      </c>
      <c r="F1725" s="4" t="s">
        <v>1748</v>
      </c>
    </row>
    <row r="1726" spans="1:6" ht="75" customHeight="1">
      <c r="A1726" t="s">
        <v>216</v>
      </c>
      <c r="B1726" t="s">
        <v>1767</v>
      </c>
      <c r="C1726" t="s">
        <v>1747</v>
      </c>
      <c r="D1726" t="s">
        <v>165</v>
      </c>
      <c r="E1726" s="4">
        <f>IF(AND('Open Questions'!$C$21="",OR('Open Questions'!$A$21&lt;&gt;"",'Open Questions'!$B$21&lt;&gt;"")),"This row has no question wording, which will make the results hard to interpret.","")</f>
        <v>0</v>
      </c>
      <c r="F1726" s="4" t="s">
        <v>1748</v>
      </c>
    </row>
    <row r="1727" spans="1:6" ht="75" customHeight="1">
      <c r="A1727" t="s">
        <v>216</v>
      </c>
      <c r="B1727" t="s">
        <v>1768</v>
      </c>
      <c r="C1727" t="s">
        <v>1747</v>
      </c>
      <c r="D1727" t="s">
        <v>165</v>
      </c>
      <c r="E1727" s="4">
        <f>IF(AND('Open Questions'!$C$22="",OR('Open Questions'!$A$22&lt;&gt;"",'Open Questions'!$B$22&lt;&gt;"")),"This row has no question wording, which will make the results hard to interpret.","")</f>
        <v>0</v>
      </c>
      <c r="F1727" s="4" t="s">
        <v>1748</v>
      </c>
    </row>
    <row r="1728" spans="1:6" ht="75" customHeight="1">
      <c r="A1728" t="s">
        <v>216</v>
      </c>
      <c r="B1728" t="s">
        <v>1769</v>
      </c>
      <c r="C1728" t="s">
        <v>1747</v>
      </c>
      <c r="D1728" t="s">
        <v>165</v>
      </c>
      <c r="E1728" s="4">
        <f>IF(AND('Open Questions'!$C$23="",OR('Open Questions'!$A$23&lt;&gt;"",'Open Questions'!$B$23&lt;&gt;"")),"This row has no question wording, which will make the results hard to interpret.","")</f>
        <v>0</v>
      </c>
      <c r="F1728" s="4" t="s">
        <v>1748</v>
      </c>
    </row>
    <row r="1729" spans="1:6" ht="75" customHeight="1">
      <c r="A1729" t="s">
        <v>216</v>
      </c>
      <c r="B1729" t="s">
        <v>1770</v>
      </c>
      <c r="C1729" t="s">
        <v>1747</v>
      </c>
      <c r="D1729" t="s">
        <v>165</v>
      </c>
      <c r="E1729" s="4">
        <f>IF(AND('Open Questions'!$C$24="",OR('Open Questions'!$A$24&lt;&gt;"",'Open Questions'!$B$24&lt;&gt;"")),"This row has no question wording, which will make the results hard to interpret.","")</f>
        <v>0</v>
      </c>
      <c r="F1729" s="4" t="s">
        <v>1748</v>
      </c>
    </row>
    <row r="1730" spans="1:6" ht="75" customHeight="1">
      <c r="A1730" t="s">
        <v>216</v>
      </c>
      <c r="B1730" t="s">
        <v>1771</v>
      </c>
      <c r="C1730" t="s">
        <v>1747</v>
      </c>
      <c r="D1730" t="s">
        <v>165</v>
      </c>
      <c r="E1730" s="4">
        <f>IF(AND('Open Questions'!$C$25="",OR('Open Questions'!$A$25&lt;&gt;"",'Open Questions'!$B$25&lt;&gt;"")),"This row has no question wording, which will make the results hard to interpret.","")</f>
        <v>0</v>
      </c>
      <c r="F1730" s="4" t="s">
        <v>1748</v>
      </c>
    </row>
    <row r="1731" spans="1:6" ht="75" customHeight="1">
      <c r="A1731" t="s">
        <v>216</v>
      </c>
      <c r="B1731" t="s">
        <v>1772</v>
      </c>
      <c r="C1731" t="s">
        <v>1747</v>
      </c>
      <c r="D1731" t="s">
        <v>165</v>
      </c>
      <c r="E1731" s="4">
        <f>IF(AND('Open Questions'!$C$26="",OR('Open Questions'!$A$26&lt;&gt;"",'Open Questions'!$B$26&lt;&gt;"")),"This row has no question wording, which will make the results hard to interpret.","")</f>
        <v>0</v>
      </c>
      <c r="F1731" s="4" t="s">
        <v>1748</v>
      </c>
    </row>
    <row r="1732" spans="1:6" ht="75" customHeight="1">
      <c r="A1732" t="s">
        <v>216</v>
      </c>
      <c r="B1732" t="s">
        <v>1773</v>
      </c>
      <c r="C1732" t="s">
        <v>1747</v>
      </c>
      <c r="D1732" t="s">
        <v>165</v>
      </c>
      <c r="E1732" s="4">
        <f>IF(AND('Open Questions'!$C$27="",OR('Open Questions'!$A$27&lt;&gt;"",'Open Questions'!$B$27&lt;&gt;"")),"This row has no question wording, which will make the results hard to interpret.","")</f>
        <v>0</v>
      </c>
      <c r="F1732" s="4" t="s">
        <v>1748</v>
      </c>
    </row>
    <row r="1733" spans="1:6" ht="75" customHeight="1">
      <c r="A1733" t="s">
        <v>216</v>
      </c>
      <c r="B1733" t="s">
        <v>1774</v>
      </c>
      <c r="C1733" t="s">
        <v>1747</v>
      </c>
      <c r="D1733" t="s">
        <v>165</v>
      </c>
      <c r="E1733" s="4">
        <f>IF(AND('Open Questions'!$C$28="",OR('Open Questions'!$A$28&lt;&gt;"",'Open Questions'!$B$28&lt;&gt;"")),"This row has no question wording, which will make the results hard to interpret.","")</f>
        <v>0</v>
      </c>
      <c r="F1733" s="4" t="s">
        <v>1748</v>
      </c>
    </row>
    <row r="1734" spans="1:6" ht="75" customHeight="1">
      <c r="A1734" t="s">
        <v>216</v>
      </c>
      <c r="B1734" t="s">
        <v>1775</v>
      </c>
      <c r="C1734" t="s">
        <v>1747</v>
      </c>
      <c r="D1734" t="s">
        <v>165</v>
      </c>
      <c r="E1734" s="4">
        <f>IF(AND('Open Questions'!$C$29="",OR('Open Questions'!$A$29&lt;&gt;"",'Open Questions'!$B$29&lt;&gt;"")),"This row has no question wording, which will make the results hard to interpret.","")</f>
        <v>0</v>
      </c>
      <c r="F1734" s="4" t="s">
        <v>1748</v>
      </c>
    </row>
    <row r="1735" spans="1:6" ht="75" customHeight="1">
      <c r="A1735" t="s">
        <v>216</v>
      </c>
      <c r="B1735" t="s">
        <v>1776</v>
      </c>
      <c r="C1735" t="s">
        <v>1747</v>
      </c>
      <c r="D1735" t="s">
        <v>165</v>
      </c>
      <c r="E1735" s="4">
        <f>IF(AND('Open Questions'!$C$30="",OR('Open Questions'!$A$30&lt;&gt;"",'Open Questions'!$B$30&lt;&gt;"")),"This row has no question wording, which will make the results hard to interpret.","")</f>
        <v>0</v>
      </c>
      <c r="F1735" s="4" t="s">
        <v>1748</v>
      </c>
    </row>
    <row r="1736" spans="1:6" ht="75" customHeight="1">
      <c r="A1736" t="s">
        <v>216</v>
      </c>
      <c r="B1736" t="s">
        <v>1777</v>
      </c>
      <c r="C1736" t="s">
        <v>1747</v>
      </c>
      <c r="D1736" t="s">
        <v>165</v>
      </c>
      <c r="E1736" s="4">
        <f>IF(AND('Open Questions'!$C$31="",OR('Open Questions'!$A$31&lt;&gt;"",'Open Questions'!$B$31&lt;&gt;"")),"This row has no question wording, which will make the results hard to interpret.","")</f>
        <v>0</v>
      </c>
      <c r="F1736" s="4" t="s">
        <v>1748</v>
      </c>
    </row>
    <row r="1737" spans="1:6" ht="75" customHeight="1">
      <c r="A1737" t="s">
        <v>216</v>
      </c>
      <c r="B1737" t="s">
        <v>1778</v>
      </c>
      <c r="C1737" t="s">
        <v>1747</v>
      </c>
      <c r="D1737" t="s">
        <v>165</v>
      </c>
      <c r="E1737" s="4">
        <f>IF(AND('Open Questions'!$C$32="",OR('Open Questions'!$A$32&lt;&gt;"",'Open Questions'!$B$32&lt;&gt;"")),"This row has no question wording, which will make the results hard to interpret.","")</f>
        <v>0</v>
      </c>
      <c r="F1737" s="4" t="s">
        <v>1748</v>
      </c>
    </row>
    <row r="1738" spans="1:6" ht="75" customHeight="1">
      <c r="A1738" t="s">
        <v>216</v>
      </c>
      <c r="B1738" t="s">
        <v>1779</v>
      </c>
      <c r="C1738" t="s">
        <v>1747</v>
      </c>
      <c r="D1738" t="s">
        <v>165</v>
      </c>
      <c r="E1738" s="4">
        <f>IF(AND('Open Questions'!$C$33="",OR('Open Questions'!$A$33&lt;&gt;"",'Open Questions'!$B$33&lt;&gt;"")),"This row has no question wording, which will make the results hard to interpret.","")</f>
        <v>0</v>
      </c>
      <c r="F1738" s="4" t="s">
        <v>1748</v>
      </c>
    </row>
    <row r="1739" spans="1:6" ht="75" customHeight="1">
      <c r="A1739" t="s">
        <v>216</v>
      </c>
      <c r="B1739" t="s">
        <v>1780</v>
      </c>
      <c r="C1739" t="s">
        <v>1747</v>
      </c>
      <c r="D1739" t="s">
        <v>165</v>
      </c>
      <c r="E1739" s="4">
        <f>IF(AND('Open Questions'!$C$34="",OR('Open Questions'!$A$34&lt;&gt;"",'Open Questions'!$B$34&lt;&gt;"")),"This row has no question wording, which will make the results hard to interpret.","")</f>
        <v>0</v>
      </c>
      <c r="F1739" s="4" t="s">
        <v>1748</v>
      </c>
    </row>
    <row r="1740" spans="1:6" ht="75" customHeight="1">
      <c r="A1740" t="s">
        <v>216</v>
      </c>
      <c r="B1740" t="s">
        <v>1781</v>
      </c>
      <c r="C1740" t="s">
        <v>1747</v>
      </c>
      <c r="D1740" t="s">
        <v>165</v>
      </c>
      <c r="E1740" s="4">
        <f>IF(AND('Open Questions'!$C$35="",OR('Open Questions'!$A$35&lt;&gt;"",'Open Questions'!$B$35&lt;&gt;"")),"This row has no question wording, which will make the results hard to interpret.","")</f>
        <v>0</v>
      </c>
      <c r="F1740" s="4" t="s">
        <v>1748</v>
      </c>
    </row>
    <row r="1741" spans="1:6" ht="75" customHeight="1">
      <c r="A1741" t="s">
        <v>216</v>
      </c>
      <c r="B1741" t="s">
        <v>1782</v>
      </c>
      <c r="C1741" t="s">
        <v>1747</v>
      </c>
      <c r="D1741" t="s">
        <v>165</v>
      </c>
      <c r="E1741" s="4">
        <f>IF(AND('Open Questions'!$C$36="",OR('Open Questions'!$A$36&lt;&gt;"",'Open Questions'!$B$36&lt;&gt;"")),"This row has no question wording, which will make the results hard to interpret.","")</f>
        <v>0</v>
      </c>
      <c r="F1741" s="4" t="s">
        <v>1748</v>
      </c>
    </row>
    <row r="1742" spans="1:6" ht="75" customHeight="1">
      <c r="A1742" t="s">
        <v>216</v>
      </c>
      <c r="B1742" t="s">
        <v>1783</v>
      </c>
      <c r="C1742" t="s">
        <v>1747</v>
      </c>
      <c r="D1742" t="s">
        <v>165</v>
      </c>
      <c r="E1742" s="4">
        <f>IF(AND('Open Questions'!$C$37="",OR('Open Questions'!$A$37&lt;&gt;"",'Open Questions'!$B$37&lt;&gt;"")),"This row has no question wording, which will make the results hard to interpret.","")</f>
        <v>0</v>
      </c>
      <c r="F1742" s="4" t="s">
        <v>1748</v>
      </c>
    </row>
    <row r="1743" spans="1:6" ht="75" customHeight="1">
      <c r="A1743" t="s">
        <v>216</v>
      </c>
      <c r="B1743" t="s">
        <v>1784</v>
      </c>
      <c r="C1743" t="s">
        <v>1747</v>
      </c>
      <c r="D1743" t="s">
        <v>165</v>
      </c>
      <c r="E1743" s="4">
        <f>IF(AND('Open Questions'!$C$38="",OR('Open Questions'!$A$38&lt;&gt;"",'Open Questions'!$B$38&lt;&gt;"")),"This row has no question wording, which will make the results hard to interpret.","")</f>
        <v>0</v>
      </c>
      <c r="F1743" s="4" t="s">
        <v>1748</v>
      </c>
    </row>
    <row r="1744" spans="1:6" ht="75" customHeight="1">
      <c r="A1744" t="s">
        <v>216</v>
      </c>
      <c r="B1744" t="s">
        <v>1785</v>
      </c>
      <c r="C1744" t="s">
        <v>1747</v>
      </c>
      <c r="D1744" t="s">
        <v>165</v>
      </c>
      <c r="E1744" s="4">
        <f>IF(AND('Open Questions'!$C$39="",OR('Open Questions'!$A$39&lt;&gt;"",'Open Questions'!$B$39&lt;&gt;"")),"This row has no question wording, which will make the results hard to interpret.","")</f>
        <v>0</v>
      </c>
      <c r="F1744" s="4" t="s">
        <v>1748</v>
      </c>
    </row>
    <row r="1745" spans="1:6" ht="75" customHeight="1">
      <c r="A1745" t="s">
        <v>216</v>
      </c>
      <c r="B1745" t="s">
        <v>1786</v>
      </c>
      <c r="C1745" t="s">
        <v>1747</v>
      </c>
      <c r="D1745" t="s">
        <v>165</v>
      </c>
      <c r="E1745" s="4">
        <f>IF(AND('Open Questions'!$C$40="",OR('Open Questions'!$A$40&lt;&gt;"",'Open Questions'!$B$40&lt;&gt;"")),"This row has no question wording, which will make the results hard to interpret.","")</f>
        <v>0</v>
      </c>
      <c r="F1745" s="4" t="s">
        <v>1748</v>
      </c>
    </row>
    <row r="1746" spans="1:6" ht="75" customHeight="1">
      <c r="A1746" t="s">
        <v>216</v>
      </c>
      <c r="B1746" t="s">
        <v>1787</v>
      </c>
      <c r="C1746" t="s">
        <v>1747</v>
      </c>
      <c r="D1746" t="s">
        <v>165</v>
      </c>
      <c r="E1746" s="4">
        <f>IF(AND('Open Questions'!$C$41="",OR('Open Questions'!$A$41&lt;&gt;"",'Open Questions'!$B$41&lt;&gt;"")),"This row has no question wording, which will make the results hard to interpret.","")</f>
        <v>0</v>
      </c>
      <c r="F1746" s="4" t="s">
        <v>1748</v>
      </c>
    </row>
    <row r="1747" spans="1:6" ht="75" customHeight="1">
      <c r="A1747" t="s">
        <v>216</v>
      </c>
      <c r="B1747" t="s">
        <v>1788</v>
      </c>
      <c r="C1747" t="s">
        <v>1747</v>
      </c>
      <c r="D1747" t="s">
        <v>165</v>
      </c>
      <c r="E1747" s="4">
        <f>IF(AND('Open Questions'!$C$42="",OR('Open Questions'!$A$42&lt;&gt;"",'Open Questions'!$B$42&lt;&gt;"")),"This row has no question wording, which will make the results hard to interpret.","")</f>
        <v>0</v>
      </c>
      <c r="F1747" s="4" t="s">
        <v>1748</v>
      </c>
    </row>
    <row r="1748" spans="1:6" ht="75" customHeight="1">
      <c r="A1748" t="s">
        <v>216</v>
      </c>
      <c r="B1748" t="s">
        <v>1789</v>
      </c>
      <c r="C1748" t="s">
        <v>1747</v>
      </c>
      <c r="D1748" t="s">
        <v>165</v>
      </c>
      <c r="E1748" s="4">
        <f>IF(AND('Open Questions'!$C$43="",OR('Open Questions'!$A$43&lt;&gt;"",'Open Questions'!$B$43&lt;&gt;"")),"This row has no question wording, which will make the results hard to interpret.","")</f>
        <v>0</v>
      </c>
      <c r="F1748" s="4" t="s">
        <v>1748</v>
      </c>
    </row>
    <row r="1749" spans="1:6" ht="75" customHeight="1">
      <c r="A1749" t="s">
        <v>216</v>
      </c>
      <c r="B1749" t="s">
        <v>1790</v>
      </c>
      <c r="C1749" t="s">
        <v>1747</v>
      </c>
      <c r="D1749" t="s">
        <v>165</v>
      </c>
      <c r="E1749" s="4">
        <f>IF(AND('Open Questions'!$C$44="",OR('Open Questions'!$A$44&lt;&gt;"",'Open Questions'!$B$44&lt;&gt;"")),"This row has no question wording, which will make the results hard to interpret.","")</f>
        <v>0</v>
      </c>
      <c r="F1749" s="4" t="s">
        <v>1748</v>
      </c>
    </row>
    <row r="1750" spans="1:6" ht="75" customHeight="1">
      <c r="A1750" t="s">
        <v>216</v>
      </c>
      <c r="B1750" t="s">
        <v>1791</v>
      </c>
      <c r="C1750" t="s">
        <v>1747</v>
      </c>
      <c r="D1750" t="s">
        <v>165</v>
      </c>
      <c r="E1750" s="4">
        <f>IF(AND('Open Questions'!$C$45="",OR('Open Questions'!$A$45&lt;&gt;"",'Open Questions'!$B$45&lt;&gt;"")),"This row has no question wording, which will make the results hard to interpret.","")</f>
        <v>0</v>
      </c>
      <c r="F1750" s="4" t="s">
        <v>1748</v>
      </c>
    </row>
    <row r="1751" spans="1:6" ht="75" customHeight="1">
      <c r="A1751" t="s">
        <v>216</v>
      </c>
      <c r="B1751" t="s">
        <v>1792</v>
      </c>
      <c r="C1751" t="s">
        <v>1747</v>
      </c>
      <c r="D1751" t="s">
        <v>165</v>
      </c>
      <c r="E1751" s="4">
        <f>IF(AND('Open Questions'!$C$46="",OR('Open Questions'!$A$46&lt;&gt;"",'Open Questions'!$B$46&lt;&gt;"")),"This row has no question wording, which will make the results hard to interpret.","")</f>
        <v>0</v>
      </c>
      <c r="F1751" s="4" t="s">
        <v>1748</v>
      </c>
    </row>
    <row r="1752" spans="1:6" ht="75" customHeight="1">
      <c r="A1752" t="s">
        <v>216</v>
      </c>
      <c r="B1752" t="s">
        <v>1793</v>
      </c>
      <c r="C1752" t="s">
        <v>1747</v>
      </c>
      <c r="D1752" t="s">
        <v>165</v>
      </c>
      <c r="E1752" s="4">
        <f>IF(AND('Open Questions'!$C$47="",OR('Open Questions'!$A$47&lt;&gt;"",'Open Questions'!$B$47&lt;&gt;"")),"This row has no question wording, which will make the results hard to interpret.","")</f>
        <v>0</v>
      </c>
      <c r="F1752" s="4" t="s">
        <v>1748</v>
      </c>
    </row>
    <row r="1753" spans="1:6" ht="75" customHeight="1">
      <c r="A1753" t="s">
        <v>216</v>
      </c>
      <c r="B1753" t="s">
        <v>1794</v>
      </c>
      <c r="C1753" t="s">
        <v>1747</v>
      </c>
      <c r="D1753" t="s">
        <v>165</v>
      </c>
      <c r="E1753" s="4">
        <f>IF(AND('Open Questions'!$C$48="",OR('Open Questions'!$A$48&lt;&gt;"",'Open Questions'!$B$48&lt;&gt;"")),"This row has no question wording, which will make the results hard to interpret.","")</f>
        <v>0</v>
      </c>
      <c r="F1753" s="4" t="s">
        <v>1748</v>
      </c>
    </row>
    <row r="1754" spans="1:6" ht="75" customHeight="1">
      <c r="A1754" t="s">
        <v>216</v>
      </c>
      <c r="B1754" t="s">
        <v>1795</v>
      </c>
      <c r="C1754" t="s">
        <v>1747</v>
      </c>
      <c r="D1754" t="s">
        <v>165</v>
      </c>
      <c r="E1754" s="4">
        <f>IF(AND('Open Questions'!$C$49="",OR('Open Questions'!$A$49&lt;&gt;"",'Open Questions'!$B$49&lt;&gt;"")),"This row has no question wording, which will make the results hard to interpret.","")</f>
        <v>0</v>
      </c>
      <c r="F1754" s="4" t="s">
        <v>1748</v>
      </c>
    </row>
    <row r="1755" spans="1:6" ht="75" customHeight="1">
      <c r="A1755" t="s">
        <v>216</v>
      </c>
      <c r="B1755" t="s">
        <v>1796</v>
      </c>
      <c r="C1755" t="s">
        <v>1747</v>
      </c>
      <c r="D1755" t="s">
        <v>165</v>
      </c>
      <c r="E1755" s="4">
        <f>IF(AND('Open Questions'!$C$50="",OR('Open Questions'!$A$50&lt;&gt;"",'Open Questions'!$B$50&lt;&gt;"")),"This row has no question wording, which will make the results hard to interpret.","")</f>
        <v>0</v>
      </c>
      <c r="F1755" s="4" t="s">
        <v>1748</v>
      </c>
    </row>
    <row r="1756" spans="1:6" ht="75" customHeight="1">
      <c r="A1756" t="s">
        <v>216</v>
      </c>
      <c r="B1756" t="s">
        <v>1797</v>
      </c>
      <c r="C1756" t="s">
        <v>1747</v>
      </c>
      <c r="D1756" t="s">
        <v>165</v>
      </c>
      <c r="E1756" s="4">
        <f>IF(AND('Open Questions'!$C$51="",OR('Open Questions'!$A$51&lt;&gt;"",'Open Questions'!$B$51&lt;&gt;"")),"This row has no question wording, which will make the results hard to interpret.","")</f>
        <v>0</v>
      </c>
      <c r="F1756" s="4" t="s">
        <v>1748</v>
      </c>
    </row>
    <row r="1757" spans="1:6" ht="75" customHeight="1">
      <c r="A1757" t="s">
        <v>218</v>
      </c>
      <c r="B1757" t="s">
        <v>1746</v>
      </c>
      <c r="C1757" t="s">
        <v>1747</v>
      </c>
      <c r="D1757" t="s">
        <v>165</v>
      </c>
      <c r="E1757" s="4">
        <f>IF(AND('Multiple Choice Questions'!$C$2="",OR('Multiple Choice Questions'!$A$2&lt;&gt;"",'Multiple Choice Questions'!$B$2&lt;&gt;"")),"This row has no question wording, which will make the results hard to interpret.","")</f>
        <v>0</v>
      </c>
      <c r="F1757" s="4" t="s">
        <v>1748</v>
      </c>
    </row>
    <row r="1758" spans="1:6" ht="75" customHeight="1">
      <c r="A1758" t="s">
        <v>218</v>
      </c>
      <c r="B1758" t="s">
        <v>1749</v>
      </c>
      <c r="C1758" t="s">
        <v>1747</v>
      </c>
      <c r="D1758" t="s">
        <v>165</v>
      </c>
      <c r="E1758" s="4">
        <f>IF(AND('Multiple Choice Questions'!$C$3="",OR('Multiple Choice Questions'!$A$3&lt;&gt;"",'Multiple Choice Questions'!$B$3&lt;&gt;"")),"This row has no question wording, which will make the results hard to interpret.","")</f>
        <v>0</v>
      </c>
      <c r="F1758" s="4" t="s">
        <v>1748</v>
      </c>
    </row>
    <row r="1759" spans="1:6" ht="75" customHeight="1">
      <c r="A1759" t="s">
        <v>218</v>
      </c>
      <c r="B1759" t="s">
        <v>1750</v>
      </c>
      <c r="C1759" t="s">
        <v>1747</v>
      </c>
      <c r="D1759" t="s">
        <v>165</v>
      </c>
      <c r="E1759" s="4">
        <f>IF(AND('Multiple Choice Questions'!$C$4="",OR('Multiple Choice Questions'!$A$4&lt;&gt;"",'Multiple Choice Questions'!$B$4&lt;&gt;"")),"This row has no question wording, which will make the results hard to interpret.","")</f>
        <v>0</v>
      </c>
      <c r="F1759" s="4" t="s">
        <v>1748</v>
      </c>
    </row>
    <row r="1760" spans="1:6" ht="75" customHeight="1">
      <c r="A1760" t="s">
        <v>218</v>
      </c>
      <c r="B1760" t="s">
        <v>1751</v>
      </c>
      <c r="C1760" t="s">
        <v>1747</v>
      </c>
      <c r="D1760" t="s">
        <v>165</v>
      </c>
      <c r="E1760" s="4">
        <f>IF(AND('Multiple Choice Questions'!$C$5="",OR('Multiple Choice Questions'!$A$5&lt;&gt;"",'Multiple Choice Questions'!$B$5&lt;&gt;"")),"This row has no question wording, which will make the results hard to interpret.","")</f>
        <v>0</v>
      </c>
      <c r="F1760" s="4" t="s">
        <v>1748</v>
      </c>
    </row>
    <row r="1761" spans="1:6" ht="75" customHeight="1">
      <c r="A1761" t="s">
        <v>218</v>
      </c>
      <c r="B1761" t="s">
        <v>1752</v>
      </c>
      <c r="C1761" t="s">
        <v>1747</v>
      </c>
      <c r="D1761" t="s">
        <v>165</v>
      </c>
      <c r="E1761" s="4">
        <f>IF(AND('Multiple Choice Questions'!$C$6="",OR('Multiple Choice Questions'!$A$6&lt;&gt;"",'Multiple Choice Questions'!$B$6&lt;&gt;"")),"This row has no question wording, which will make the results hard to interpret.","")</f>
        <v>0</v>
      </c>
      <c r="F1761" s="4" t="s">
        <v>1748</v>
      </c>
    </row>
    <row r="1762" spans="1:6" ht="75" customHeight="1">
      <c r="A1762" t="s">
        <v>218</v>
      </c>
      <c r="B1762" t="s">
        <v>1753</v>
      </c>
      <c r="C1762" t="s">
        <v>1747</v>
      </c>
      <c r="D1762" t="s">
        <v>165</v>
      </c>
      <c r="E1762" s="4">
        <f>IF(AND('Multiple Choice Questions'!$C$7="",OR('Multiple Choice Questions'!$A$7&lt;&gt;"",'Multiple Choice Questions'!$B$7&lt;&gt;"")),"This row has no question wording, which will make the results hard to interpret.","")</f>
        <v>0</v>
      </c>
      <c r="F1762" s="4" t="s">
        <v>1748</v>
      </c>
    </row>
    <row r="1763" spans="1:6" ht="75" customHeight="1">
      <c r="A1763" t="s">
        <v>218</v>
      </c>
      <c r="B1763" t="s">
        <v>1754</v>
      </c>
      <c r="C1763" t="s">
        <v>1747</v>
      </c>
      <c r="D1763" t="s">
        <v>165</v>
      </c>
      <c r="E1763" s="4">
        <f>IF(AND('Multiple Choice Questions'!$C$8="",OR('Multiple Choice Questions'!$A$8&lt;&gt;"",'Multiple Choice Questions'!$B$8&lt;&gt;"")),"This row has no question wording, which will make the results hard to interpret.","")</f>
        <v>0</v>
      </c>
      <c r="F1763" s="4" t="s">
        <v>1748</v>
      </c>
    </row>
    <row r="1764" spans="1:6" ht="75" customHeight="1">
      <c r="A1764" t="s">
        <v>218</v>
      </c>
      <c r="B1764" t="s">
        <v>1755</v>
      </c>
      <c r="C1764" t="s">
        <v>1747</v>
      </c>
      <c r="D1764" t="s">
        <v>165</v>
      </c>
      <c r="E1764" s="4">
        <f>IF(AND('Multiple Choice Questions'!$C$9="",OR('Multiple Choice Questions'!$A$9&lt;&gt;"",'Multiple Choice Questions'!$B$9&lt;&gt;"")),"This row has no question wording, which will make the results hard to interpret.","")</f>
        <v>0</v>
      </c>
      <c r="F1764" s="4" t="s">
        <v>1748</v>
      </c>
    </row>
    <row r="1765" spans="1:6" ht="75" customHeight="1">
      <c r="A1765" t="s">
        <v>218</v>
      </c>
      <c r="B1765" t="s">
        <v>1756</v>
      </c>
      <c r="C1765" t="s">
        <v>1747</v>
      </c>
      <c r="D1765" t="s">
        <v>165</v>
      </c>
      <c r="E1765" s="4">
        <f>IF(AND('Multiple Choice Questions'!$C$10="",OR('Multiple Choice Questions'!$A$10&lt;&gt;"",'Multiple Choice Questions'!$B$10&lt;&gt;"")),"This row has no question wording, which will make the results hard to interpret.","")</f>
        <v>0</v>
      </c>
      <c r="F1765" s="4" t="s">
        <v>1748</v>
      </c>
    </row>
    <row r="1766" spans="1:6" ht="75" customHeight="1">
      <c r="A1766" t="s">
        <v>218</v>
      </c>
      <c r="B1766" t="s">
        <v>1757</v>
      </c>
      <c r="C1766" t="s">
        <v>1747</v>
      </c>
      <c r="D1766" t="s">
        <v>165</v>
      </c>
      <c r="E1766" s="4">
        <f>IF(AND('Multiple Choice Questions'!$C$11="",OR('Multiple Choice Questions'!$A$11&lt;&gt;"",'Multiple Choice Questions'!$B$11&lt;&gt;"")),"This row has no question wording, which will make the results hard to interpret.","")</f>
        <v>0</v>
      </c>
      <c r="F1766" s="4" t="s">
        <v>1748</v>
      </c>
    </row>
    <row r="1767" spans="1:6" ht="75" customHeight="1">
      <c r="A1767" t="s">
        <v>218</v>
      </c>
      <c r="B1767" t="s">
        <v>1758</v>
      </c>
      <c r="C1767" t="s">
        <v>1747</v>
      </c>
      <c r="D1767" t="s">
        <v>165</v>
      </c>
      <c r="E1767" s="4">
        <f>IF(AND('Multiple Choice Questions'!$C$12="",OR('Multiple Choice Questions'!$A$12&lt;&gt;"",'Multiple Choice Questions'!$B$12&lt;&gt;"")),"This row has no question wording, which will make the results hard to interpret.","")</f>
        <v>0</v>
      </c>
      <c r="F1767" s="4" t="s">
        <v>1748</v>
      </c>
    </row>
    <row r="1768" spans="1:6" ht="75" customHeight="1">
      <c r="A1768" t="s">
        <v>218</v>
      </c>
      <c r="B1768" t="s">
        <v>1759</v>
      </c>
      <c r="C1768" t="s">
        <v>1747</v>
      </c>
      <c r="D1768" t="s">
        <v>165</v>
      </c>
      <c r="E1768" s="4">
        <f>IF(AND('Multiple Choice Questions'!$C$13="",OR('Multiple Choice Questions'!$A$13&lt;&gt;"",'Multiple Choice Questions'!$B$13&lt;&gt;"")),"This row has no question wording, which will make the results hard to interpret.","")</f>
        <v>0</v>
      </c>
      <c r="F1768" s="4" t="s">
        <v>1748</v>
      </c>
    </row>
    <row r="1769" spans="1:6" ht="75" customHeight="1">
      <c r="A1769" t="s">
        <v>218</v>
      </c>
      <c r="B1769" t="s">
        <v>1760</v>
      </c>
      <c r="C1769" t="s">
        <v>1747</v>
      </c>
      <c r="D1769" t="s">
        <v>165</v>
      </c>
      <c r="E1769" s="4">
        <f>IF(AND('Multiple Choice Questions'!$C$14="",OR('Multiple Choice Questions'!$A$14&lt;&gt;"",'Multiple Choice Questions'!$B$14&lt;&gt;"")),"This row has no question wording, which will make the results hard to interpret.","")</f>
        <v>0</v>
      </c>
      <c r="F1769" s="4" t="s">
        <v>1748</v>
      </c>
    </row>
    <row r="1770" spans="1:6" ht="75" customHeight="1">
      <c r="A1770" t="s">
        <v>218</v>
      </c>
      <c r="B1770" t="s">
        <v>1761</v>
      </c>
      <c r="C1770" t="s">
        <v>1747</v>
      </c>
      <c r="D1770" t="s">
        <v>165</v>
      </c>
      <c r="E1770" s="4">
        <f>IF(AND('Multiple Choice Questions'!$C$15="",OR('Multiple Choice Questions'!$A$15&lt;&gt;"",'Multiple Choice Questions'!$B$15&lt;&gt;"")),"This row has no question wording, which will make the results hard to interpret.","")</f>
        <v>0</v>
      </c>
      <c r="F1770" s="4" t="s">
        <v>1748</v>
      </c>
    </row>
    <row r="1771" spans="1:6" ht="75" customHeight="1">
      <c r="A1771" t="s">
        <v>218</v>
      </c>
      <c r="B1771" t="s">
        <v>1762</v>
      </c>
      <c r="C1771" t="s">
        <v>1747</v>
      </c>
      <c r="D1771" t="s">
        <v>165</v>
      </c>
      <c r="E1771" s="4">
        <f>IF(AND('Multiple Choice Questions'!$C$16="",OR('Multiple Choice Questions'!$A$16&lt;&gt;"",'Multiple Choice Questions'!$B$16&lt;&gt;"")),"This row has no question wording, which will make the results hard to interpret.","")</f>
        <v>0</v>
      </c>
      <c r="F1771" s="4" t="s">
        <v>1748</v>
      </c>
    </row>
    <row r="1772" spans="1:6" ht="75" customHeight="1">
      <c r="A1772" t="s">
        <v>218</v>
      </c>
      <c r="B1772" t="s">
        <v>1763</v>
      </c>
      <c r="C1772" t="s">
        <v>1747</v>
      </c>
      <c r="D1772" t="s">
        <v>165</v>
      </c>
      <c r="E1772" s="4">
        <f>IF(AND('Multiple Choice Questions'!$C$17="",OR('Multiple Choice Questions'!$A$17&lt;&gt;"",'Multiple Choice Questions'!$B$17&lt;&gt;"")),"This row has no question wording, which will make the results hard to interpret.","")</f>
        <v>0</v>
      </c>
      <c r="F1772" s="4" t="s">
        <v>1748</v>
      </c>
    </row>
    <row r="1773" spans="1:6" ht="75" customHeight="1">
      <c r="A1773" t="s">
        <v>218</v>
      </c>
      <c r="B1773" t="s">
        <v>1764</v>
      </c>
      <c r="C1773" t="s">
        <v>1747</v>
      </c>
      <c r="D1773" t="s">
        <v>165</v>
      </c>
      <c r="E1773" s="4">
        <f>IF(AND('Multiple Choice Questions'!$C$18="",OR('Multiple Choice Questions'!$A$18&lt;&gt;"",'Multiple Choice Questions'!$B$18&lt;&gt;"")),"This row has no question wording, which will make the results hard to interpret.","")</f>
        <v>0</v>
      </c>
      <c r="F1773" s="4" t="s">
        <v>1748</v>
      </c>
    </row>
    <row r="1774" spans="1:6" ht="75" customHeight="1">
      <c r="A1774" t="s">
        <v>218</v>
      </c>
      <c r="B1774" t="s">
        <v>1765</v>
      </c>
      <c r="C1774" t="s">
        <v>1747</v>
      </c>
      <c r="D1774" t="s">
        <v>165</v>
      </c>
      <c r="E1774" s="4">
        <f>IF(AND('Multiple Choice Questions'!$C$19="",OR('Multiple Choice Questions'!$A$19&lt;&gt;"",'Multiple Choice Questions'!$B$19&lt;&gt;"")),"This row has no question wording, which will make the results hard to interpret.","")</f>
        <v>0</v>
      </c>
      <c r="F1774" s="4" t="s">
        <v>1748</v>
      </c>
    </row>
    <row r="1775" spans="1:6" ht="75" customHeight="1">
      <c r="A1775" t="s">
        <v>218</v>
      </c>
      <c r="B1775" t="s">
        <v>1766</v>
      </c>
      <c r="C1775" t="s">
        <v>1747</v>
      </c>
      <c r="D1775" t="s">
        <v>165</v>
      </c>
      <c r="E1775" s="4">
        <f>IF(AND('Multiple Choice Questions'!$C$20="",OR('Multiple Choice Questions'!$A$20&lt;&gt;"",'Multiple Choice Questions'!$B$20&lt;&gt;"")),"This row has no question wording, which will make the results hard to interpret.","")</f>
        <v>0</v>
      </c>
      <c r="F1775" s="4" t="s">
        <v>1748</v>
      </c>
    </row>
    <row r="1776" spans="1:6" ht="75" customHeight="1">
      <c r="A1776" t="s">
        <v>218</v>
      </c>
      <c r="B1776" t="s">
        <v>1767</v>
      </c>
      <c r="C1776" t="s">
        <v>1747</v>
      </c>
      <c r="D1776" t="s">
        <v>165</v>
      </c>
      <c r="E1776" s="4">
        <f>IF(AND('Multiple Choice Questions'!$C$21="",OR('Multiple Choice Questions'!$A$21&lt;&gt;"",'Multiple Choice Questions'!$B$21&lt;&gt;"")),"This row has no question wording, which will make the results hard to interpret.","")</f>
        <v>0</v>
      </c>
      <c r="F1776" s="4" t="s">
        <v>1748</v>
      </c>
    </row>
    <row r="1777" spans="1:6" ht="75" customHeight="1">
      <c r="A1777" t="s">
        <v>218</v>
      </c>
      <c r="B1777" t="s">
        <v>1768</v>
      </c>
      <c r="C1777" t="s">
        <v>1747</v>
      </c>
      <c r="D1777" t="s">
        <v>165</v>
      </c>
      <c r="E1777" s="4">
        <f>IF(AND('Multiple Choice Questions'!$C$22="",OR('Multiple Choice Questions'!$A$22&lt;&gt;"",'Multiple Choice Questions'!$B$22&lt;&gt;"")),"This row has no question wording, which will make the results hard to interpret.","")</f>
        <v>0</v>
      </c>
      <c r="F1777" s="4" t="s">
        <v>1748</v>
      </c>
    </row>
    <row r="1778" spans="1:6" ht="75" customHeight="1">
      <c r="A1778" t="s">
        <v>218</v>
      </c>
      <c r="B1778" t="s">
        <v>1769</v>
      </c>
      <c r="C1778" t="s">
        <v>1747</v>
      </c>
      <c r="D1778" t="s">
        <v>165</v>
      </c>
      <c r="E1778" s="4">
        <f>IF(AND('Multiple Choice Questions'!$C$23="",OR('Multiple Choice Questions'!$A$23&lt;&gt;"",'Multiple Choice Questions'!$B$23&lt;&gt;"")),"This row has no question wording, which will make the results hard to interpret.","")</f>
        <v>0</v>
      </c>
      <c r="F1778" s="4" t="s">
        <v>1748</v>
      </c>
    </row>
    <row r="1779" spans="1:6" ht="75" customHeight="1">
      <c r="A1779" t="s">
        <v>218</v>
      </c>
      <c r="B1779" t="s">
        <v>1770</v>
      </c>
      <c r="C1779" t="s">
        <v>1747</v>
      </c>
      <c r="D1779" t="s">
        <v>165</v>
      </c>
      <c r="E1779" s="4">
        <f>IF(AND('Multiple Choice Questions'!$C$24="",OR('Multiple Choice Questions'!$A$24&lt;&gt;"",'Multiple Choice Questions'!$B$24&lt;&gt;"")),"This row has no question wording, which will make the results hard to interpret.","")</f>
        <v>0</v>
      </c>
      <c r="F1779" s="4" t="s">
        <v>1748</v>
      </c>
    </row>
    <row r="1780" spans="1:6" ht="75" customHeight="1">
      <c r="A1780" t="s">
        <v>218</v>
      </c>
      <c r="B1780" t="s">
        <v>1771</v>
      </c>
      <c r="C1780" t="s">
        <v>1747</v>
      </c>
      <c r="D1780" t="s">
        <v>165</v>
      </c>
      <c r="E1780" s="4">
        <f>IF(AND('Multiple Choice Questions'!$C$25="",OR('Multiple Choice Questions'!$A$25&lt;&gt;"",'Multiple Choice Questions'!$B$25&lt;&gt;"")),"This row has no question wording, which will make the results hard to interpret.","")</f>
        <v>0</v>
      </c>
      <c r="F1780" s="4" t="s">
        <v>1748</v>
      </c>
    </row>
    <row r="1781" spans="1:6" ht="75" customHeight="1">
      <c r="A1781" t="s">
        <v>218</v>
      </c>
      <c r="B1781" t="s">
        <v>1772</v>
      </c>
      <c r="C1781" t="s">
        <v>1747</v>
      </c>
      <c r="D1781" t="s">
        <v>165</v>
      </c>
      <c r="E1781" s="4">
        <f>IF(AND('Multiple Choice Questions'!$C$26="",OR('Multiple Choice Questions'!$A$26&lt;&gt;"",'Multiple Choice Questions'!$B$26&lt;&gt;"")),"This row has no question wording, which will make the results hard to interpret.","")</f>
        <v>0</v>
      </c>
      <c r="F1781" s="4" t="s">
        <v>1748</v>
      </c>
    </row>
    <row r="1782" spans="1:6" ht="75" customHeight="1">
      <c r="A1782" t="s">
        <v>218</v>
      </c>
      <c r="B1782" t="s">
        <v>1773</v>
      </c>
      <c r="C1782" t="s">
        <v>1747</v>
      </c>
      <c r="D1782" t="s">
        <v>165</v>
      </c>
      <c r="E1782" s="4">
        <f>IF(AND('Multiple Choice Questions'!$C$27="",OR('Multiple Choice Questions'!$A$27&lt;&gt;"",'Multiple Choice Questions'!$B$27&lt;&gt;"")),"This row has no question wording, which will make the results hard to interpret.","")</f>
        <v>0</v>
      </c>
      <c r="F1782" s="4" t="s">
        <v>1748</v>
      </c>
    </row>
    <row r="1783" spans="1:6" ht="75" customHeight="1">
      <c r="A1783" t="s">
        <v>218</v>
      </c>
      <c r="B1783" t="s">
        <v>1774</v>
      </c>
      <c r="C1783" t="s">
        <v>1747</v>
      </c>
      <c r="D1783" t="s">
        <v>165</v>
      </c>
      <c r="E1783" s="4">
        <f>IF(AND('Multiple Choice Questions'!$C$28="",OR('Multiple Choice Questions'!$A$28&lt;&gt;"",'Multiple Choice Questions'!$B$28&lt;&gt;"")),"This row has no question wording, which will make the results hard to interpret.","")</f>
        <v>0</v>
      </c>
      <c r="F1783" s="4" t="s">
        <v>1748</v>
      </c>
    </row>
    <row r="1784" spans="1:6" ht="75" customHeight="1">
      <c r="A1784" t="s">
        <v>218</v>
      </c>
      <c r="B1784" t="s">
        <v>1775</v>
      </c>
      <c r="C1784" t="s">
        <v>1747</v>
      </c>
      <c r="D1784" t="s">
        <v>165</v>
      </c>
      <c r="E1784" s="4">
        <f>IF(AND('Multiple Choice Questions'!$C$29="",OR('Multiple Choice Questions'!$A$29&lt;&gt;"",'Multiple Choice Questions'!$B$29&lt;&gt;"")),"This row has no question wording, which will make the results hard to interpret.","")</f>
        <v>0</v>
      </c>
      <c r="F1784" s="4" t="s">
        <v>1748</v>
      </c>
    </row>
    <row r="1785" spans="1:6" ht="75" customHeight="1">
      <c r="A1785" t="s">
        <v>218</v>
      </c>
      <c r="B1785" t="s">
        <v>1776</v>
      </c>
      <c r="C1785" t="s">
        <v>1747</v>
      </c>
      <c r="D1785" t="s">
        <v>165</v>
      </c>
      <c r="E1785" s="4">
        <f>IF(AND('Multiple Choice Questions'!$C$30="",OR('Multiple Choice Questions'!$A$30&lt;&gt;"",'Multiple Choice Questions'!$B$30&lt;&gt;"")),"This row has no question wording, which will make the results hard to interpret.","")</f>
        <v>0</v>
      </c>
      <c r="F1785" s="4" t="s">
        <v>1748</v>
      </c>
    </row>
    <row r="1786" spans="1:6" ht="75" customHeight="1">
      <c r="A1786" t="s">
        <v>218</v>
      </c>
      <c r="B1786" t="s">
        <v>1777</v>
      </c>
      <c r="C1786" t="s">
        <v>1747</v>
      </c>
      <c r="D1786" t="s">
        <v>165</v>
      </c>
      <c r="E1786" s="4">
        <f>IF(AND('Multiple Choice Questions'!$C$31="",OR('Multiple Choice Questions'!$A$31&lt;&gt;"",'Multiple Choice Questions'!$B$31&lt;&gt;"")),"This row has no question wording, which will make the results hard to interpret.","")</f>
        <v>0</v>
      </c>
      <c r="F1786" s="4" t="s">
        <v>1748</v>
      </c>
    </row>
    <row r="1787" spans="1:6" ht="75" customHeight="1">
      <c r="A1787" t="s">
        <v>218</v>
      </c>
      <c r="B1787" t="s">
        <v>1778</v>
      </c>
      <c r="C1787" t="s">
        <v>1747</v>
      </c>
      <c r="D1787" t="s">
        <v>165</v>
      </c>
      <c r="E1787" s="4">
        <f>IF(AND('Multiple Choice Questions'!$C$32="",OR('Multiple Choice Questions'!$A$32&lt;&gt;"",'Multiple Choice Questions'!$B$32&lt;&gt;"")),"This row has no question wording, which will make the results hard to interpret.","")</f>
        <v>0</v>
      </c>
      <c r="F1787" s="4" t="s">
        <v>1748</v>
      </c>
    </row>
    <row r="1788" spans="1:6" ht="75" customHeight="1">
      <c r="A1788" t="s">
        <v>218</v>
      </c>
      <c r="B1788" t="s">
        <v>1779</v>
      </c>
      <c r="C1788" t="s">
        <v>1747</v>
      </c>
      <c r="D1788" t="s">
        <v>165</v>
      </c>
      <c r="E1788" s="4">
        <f>IF(AND('Multiple Choice Questions'!$C$33="",OR('Multiple Choice Questions'!$A$33&lt;&gt;"",'Multiple Choice Questions'!$B$33&lt;&gt;"")),"This row has no question wording, which will make the results hard to interpret.","")</f>
        <v>0</v>
      </c>
      <c r="F1788" s="4" t="s">
        <v>1748</v>
      </c>
    </row>
    <row r="1789" spans="1:6" ht="75" customHeight="1">
      <c r="A1789" t="s">
        <v>218</v>
      </c>
      <c r="B1789" t="s">
        <v>1780</v>
      </c>
      <c r="C1789" t="s">
        <v>1747</v>
      </c>
      <c r="D1789" t="s">
        <v>165</v>
      </c>
      <c r="E1789" s="4">
        <f>IF(AND('Multiple Choice Questions'!$C$34="",OR('Multiple Choice Questions'!$A$34&lt;&gt;"",'Multiple Choice Questions'!$B$34&lt;&gt;"")),"This row has no question wording, which will make the results hard to interpret.","")</f>
        <v>0</v>
      </c>
      <c r="F1789" s="4" t="s">
        <v>1748</v>
      </c>
    </row>
    <row r="1790" spans="1:6" ht="75" customHeight="1">
      <c r="A1790" t="s">
        <v>218</v>
      </c>
      <c r="B1790" t="s">
        <v>1781</v>
      </c>
      <c r="C1790" t="s">
        <v>1747</v>
      </c>
      <c r="D1790" t="s">
        <v>165</v>
      </c>
      <c r="E1790" s="4">
        <f>IF(AND('Multiple Choice Questions'!$C$35="",OR('Multiple Choice Questions'!$A$35&lt;&gt;"",'Multiple Choice Questions'!$B$35&lt;&gt;"")),"This row has no question wording, which will make the results hard to interpret.","")</f>
        <v>0</v>
      </c>
      <c r="F1790" s="4" t="s">
        <v>1748</v>
      </c>
    </row>
    <row r="1791" spans="1:6" ht="75" customHeight="1">
      <c r="A1791" t="s">
        <v>218</v>
      </c>
      <c r="B1791" t="s">
        <v>1782</v>
      </c>
      <c r="C1791" t="s">
        <v>1747</v>
      </c>
      <c r="D1791" t="s">
        <v>165</v>
      </c>
      <c r="E1791" s="4">
        <f>IF(AND('Multiple Choice Questions'!$C$36="",OR('Multiple Choice Questions'!$A$36&lt;&gt;"",'Multiple Choice Questions'!$B$36&lt;&gt;"")),"This row has no question wording, which will make the results hard to interpret.","")</f>
        <v>0</v>
      </c>
      <c r="F1791" s="4" t="s">
        <v>1748</v>
      </c>
    </row>
    <row r="1792" spans="1:6" ht="75" customHeight="1">
      <c r="A1792" t="s">
        <v>218</v>
      </c>
      <c r="B1792" t="s">
        <v>1783</v>
      </c>
      <c r="C1792" t="s">
        <v>1747</v>
      </c>
      <c r="D1792" t="s">
        <v>165</v>
      </c>
      <c r="E1792" s="4">
        <f>IF(AND('Multiple Choice Questions'!$C$37="",OR('Multiple Choice Questions'!$A$37&lt;&gt;"",'Multiple Choice Questions'!$B$37&lt;&gt;"")),"This row has no question wording, which will make the results hard to interpret.","")</f>
        <v>0</v>
      </c>
      <c r="F1792" s="4" t="s">
        <v>1748</v>
      </c>
    </row>
    <row r="1793" spans="1:6" ht="75" customHeight="1">
      <c r="A1793" t="s">
        <v>218</v>
      </c>
      <c r="B1793" t="s">
        <v>1784</v>
      </c>
      <c r="C1793" t="s">
        <v>1747</v>
      </c>
      <c r="D1793" t="s">
        <v>165</v>
      </c>
      <c r="E1793" s="4">
        <f>IF(AND('Multiple Choice Questions'!$C$38="",OR('Multiple Choice Questions'!$A$38&lt;&gt;"",'Multiple Choice Questions'!$B$38&lt;&gt;"")),"This row has no question wording, which will make the results hard to interpret.","")</f>
        <v>0</v>
      </c>
      <c r="F1793" s="4" t="s">
        <v>1748</v>
      </c>
    </row>
    <row r="1794" spans="1:6" ht="75" customHeight="1">
      <c r="A1794" t="s">
        <v>218</v>
      </c>
      <c r="B1794" t="s">
        <v>1785</v>
      </c>
      <c r="C1794" t="s">
        <v>1747</v>
      </c>
      <c r="D1794" t="s">
        <v>165</v>
      </c>
      <c r="E1794" s="4">
        <f>IF(AND('Multiple Choice Questions'!$C$39="",OR('Multiple Choice Questions'!$A$39&lt;&gt;"",'Multiple Choice Questions'!$B$39&lt;&gt;"")),"This row has no question wording, which will make the results hard to interpret.","")</f>
        <v>0</v>
      </c>
      <c r="F1794" s="4" t="s">
        <v>1748</v>
      </c>
    </row>
    <row r="1795" spans="1:6" ht="75" customHeight="1">
      <c r="A1795" t="s">
        <v>218</v>
      </c>
      <c r="B1795" t="s">
        <v>1786</v>
      </c>
      <c r="C1795" t="s">
        <v>1747</v>
      </c>
      <c r="D1795" t="s">
        <v>165</v>
      </c>
      <c r="E1795" s="4">
        <f>IF(AND('Multiple Choice Questions'!$C$40="",OR('Multiple Choice Questions'!$A$40&lt;&gt;"",'Multiple Choice Questions'!$B$40&lt;&gt;"")),"This row has no question wording, which will make the results hard to interpret.","")</f>
        <v>0</v>
      </c>
      <c r="F1795" s="4" t="s">
        <v>1748</v>
      </c>
    </row>
    <row r="1796" spans="1:6" ht="75" customHeight="1">
      <c r="A1796" t="s">
        <v>218</v>
      </c>
      <c r="B1796" t="s">
        <v>1787</v>
      </c>
      <c r="C1796" t="s">
        <v>1747</v>
      </c>
      <c r="D1796" t="s">
        <v>165</v>
      </c>
      <c r="E1796" s="4">
        <f>IF(AND('Multiple Choice Questions'!$C$41="",OR('Multiple Choice Questions'!$A$41&lt;&gt;"",'Multiple Choice Questions'!$B$41&lt;&gt;"")),"This row has no question wording, which will make the results hard to interpret.","")</f>
        <v>0</v>
      </c>
      <c r="F1796" s="4" t="s">
        <v>1748</v>
      </c>
    </row>
    <row r="1797" spans="1:6" ht="75" customHeight="1">
      <c r="A1797" t="s">
        <v>218</v>
      </c>
      <c r="B1797" t="s">
        <v>1788</v>
      </c>
      <c r="C1797" t="s">
        <v>1747</v>
      </c>
      <c r="D1797" t="s">
        <v>165</v>
      </c>
      <c r="E1797" s="4">
        <f>IF(AND('Multiple Choice Questions'!$C$42="",OR('Multiple Choice Questions'!$A$42&lt;&gt;"",'Multiple Choice Questions'!$B$42&lt;&gt;"")),"This row has no question wording, which will make the results hard to interpret.","")</f>
        <v>0</v>
      </c>
      <c r="F1797" s="4" t="s">
        <v>1748</v>
      </c>
    </row>
    <row r="1798" spans="1:6" ht="75" customHeight="1">
      <c r="A1798" t="s">
        <v>218</v>
      </c>
      <c r="B1798" t="s">
        <v>1789</v>
      </c>
      <c r="C1798" t="s">
        <v>1747</v>
      </c>
      <c r="D1798" t="s">
        <v>165</v>
      </c>
      <c r="E1798" s="4">
        <f>IF(AND('Multiple Choice Questions'!$C$43="",OR('Multiple Choice Questions'!$A$43&lt;&gt;"",'Multiple Choice Questions'!$B$43&lt;&gt;"")),"This row has no question wording, which will make the results hard to interpret.","")</f>
        <v>0</v>
      </c>
      <c r="F1798" s="4" t="s">
        <v>1748</v>
      </c>
    </row>
    <row r="1799" spans="1:6" ht="75" customHeight="1">
      <c r="A1799" t="s">
        <v>218</v>
      </c>
      <c r="B1799" t="s">
        <v>1790</v>
      </c>
      <c r="C1799" t="s">
        <v>1747</v>
      </c>
      <c r="D1799" t="s">
        <v>165</v>
      </c>
      <c r="E1799" s="4">
        <f>IF(AND('Multiple Choice Questions'!$C$44="",OR('Multiple Choice Questions'!$A$44&lt;&gt;"",'Multiple Choice Questions'!$B$44&lt;&gt;"")),"This row has no question wording, which will make the results hard to interpret.","")</f>
        <v>0</v>
      </c>
      <c r="F1799" s="4" t="s">
        <v>1748</v>
      </c>
    </row>
    <row r="1800" spans="1:6" ht="75" customHeight="1">
      <c r="A1800" t="s">
        <v>218</v>
      </c>
      <c r="B1800" t="s">
        <v>1791</v>
      </c>
      <c r="C1800" t="s">
        <v>1747</v>
      </c>
      <c r="D1800" t="s">
        <v>165</v>
      </c>
      <c r="E1800" s="4">
        <f>IF(AND('Multiple Choice Questions'!$C$45="",OR('Multiple Choice Questions'!$A$45&lt;&gt;"",'Multiple Choice Questions'!$B$45&lt;&gt;"")),"This row has no question wording, which will make the results hard to interpret.","")</f>
        <v>0</v>
      </c>
      <c r="F1800" s="4" t="s">
        <v>1748</v>
      </c>
    </row>
    <row r="1801" spans="1:6" ht="75" customHeight="1">
      <c r="A1801" t="s">
        <v>218</v>
      </c>
      <c r="B1801" t="s">
        <v>1792</v>
      </c>
      <c r="C1801" t="s">
        <v>1747</v>
      </c>
      <c r="D1801" t="s">
        <v>165</v>
      </c>
      <c r="E1801" s="4">
        <f>IF(AND('Multiple Choice Questions'!$C$46="",OR('Multiple Choice Questions'!$A$46&lt;&gt;"",'Multiple Choice Questions'!$B$46&lt;&gt;"")),"This row has no question wording, which will make the results hard to interpret.","")</f>
        <v>0</v>
      </c>
      <c r="F1801" s="4" t="s">
        <v>1748</v>
      </c>
    </row>
    <row r="1802" spans="1:6" ht="75" customHeight="1">
      <c r="A1802" t="s">
        <v>218</v>
      </c>
      <c r="B1802" t="s">
        <v>1793</v>
      </c>
      <c r="C1802" t="s">
        <v>1747</v>
      </c>
      <c r="D1802" t="s">
        <v>165</v>
      </c>
      <c r="E1802" s="4">
        <f>IF(AND('Multiple Choice Questions'!$C$47="",OR('Multiple Choice Questions'!$A$47&lt;&gt;"",'Multiple Choice Questions'!$B$47&lt;&gt;"")),"This row has no question wording, which will make the results hard to interpret.","")</f>
        <v>0</v>
      </c>
      <c r="F1802" s="4" t="s">
        <v>1748</v>
      </c>
    </row>
    <row r="1803" spans="1:6" ht="75" customHeight="1">
      <c r="A1803" t="s">
        <v>218</v>
      </c>
      <c r="B1803" t="s">
        <v>1794</v>
      </c>
      <c r="C1803" t="s">
        <v>1747</v>
      </c>
      <c r="D1803" t="s">
        <v>165</v>
      </c>
      <c r="E1803" s="4">
        <f>IF(AND('Multiple Choice Questions'!$C$48="",OR('Multiple Choice Questions'!$A$48&lt;&gt;"",'Multiple Choice Questions'!$B$48&lt;&gt;"")),"This row has no question wording, which will make the results hard to interpret.","")</f>
        <v>0</v>
      </c>
      <c r="F1803" s="4" t="s">
        <v>1748</v>
      </c>
    </row>
    <row r="1804" spans="1:6" ht="75" customHeight="1">
      <c r="A1804" t="s">
        <v>218</v>
      </c>
      <c r="B1804" t="s">
        <v>1795</v>
      </c>
      <c r="C1804" t="s">
        <v>1747</v>
      </c>
      <c r="D1804" t="s">
        <v>165</v>
      </c>
      <c r="E1804" s="4">
        <f>IF(AND('Multiple Choice Questions'!$C$49="",OR('Multiple Choice Questions'!$A$49&lt;&gt;"",'Multiple Choice Questions'!$B$49&lt;&gt;"")),"This row has no question wording, which will make the results hard to interpret.","")</f>
        <v>0</v>
      </c>
      <c r="F1804" s="4" t="s">
        <v>1748</v>
      </c>
    </row>
    <row r="1805" spans="1:6" ht="75" customHeight="1">
      <c r="A1805" t="s">
        <v>218</v>
      </c>
      <c r="B1805" t="s">
        <v>1796</v>
      </c>
      <c r="C1805" t="s">
        <v>1747</v>
      </c>
      <c r="D1805" t="s">
        <v>165</v>
      </c>
      <c r="E1805" s="4">
        <f>IF(AND('Multiple Choice Questions'!$C$50="",OR('Multiple Choice Questions'!$A$50&lt;&gt;"",'Multiple Choice Questions'!$B$50&lt;&gt;"")),"This row has no question wording, which will make the results hard to interpret.","")</f>
        <v>0</v>
      </c>
      <c r="F1805" s="4" t="s">
        <v>1748</v>
      </c>
    </row>
    <row r="1806" spans="1:6" ht="75" customHeight="1">
      <c r="A1806" t="s">
        <v>218</v>
      </c>
      <c r="B1806" t="s">
        <v>1797</v>
      </c>
      <c r="C1806" t="s">
        <v>1747</v>
      </c>
      <c r="D1806" t="s">
        <v>165</v>
      </c>
      <c r="E1806" s="4">
        <f>IF(AND('Multiple Choice Questions'!$C$51="",OR('Multiple Choice Questions'!$A$51&lt;&gt;"",'Multiple Choice Questions'!$B$51&lt;&gt;"")),"This row has no question wording, which will make the results hard to interpret.","")</f>
        <v>0</v>
      </c>
      <c r="F1806" s="4" t="s">
        <v>1748</v>
      </c>
    </row>
    <row r="1807" spans="1:6" ht="75" customHeight="1">
      <c r="A1807" t="s">
        <v>271</v>
      </c>
      <c r="B1807" t="s">
        <v>1746</v>
      </c>
      <c r="C1807" t="s">
        <v>1747</v>
      </c>
      <c r="D1807" t="s">
        <v>165</v>
      </c>
      <c r="E1807" s="4">
        <f>IF(AND('Hybrid Questions'!$C$2="",OR('Hybrid Questions'!$A$2&lt;&gt;"",'Hybrid Questions'!$B$2&lt;&gt;"",'Hybrid Questions'!$D$2&lt;&gt;"")),"This row has no question wording, which will make the results hard to interpret.","")</f>
        <v>0</v>
      </c>
      <c r="F1807" s="4" t="s">
        <v>1798</v>
      </c>
    </row>
    <row r="1808" spans="1:6" ht="75" customHeight="1">
      <c r="A1808" t="s">
        <v>271</v>
      </c>
      <c r="B1808" t="s">
        <v>1749</v>
      </c>
      <c r="C1808" t="s">
        <v>1747</v>
      </c>
      <c r="D1808" t="s">
        <v>165</v>
      </c>
      <c r="E1808" s="4">
        <f>IF(AND('Hybrid Questions'!$C$3="",OR('Hybrid Questions'!$A$3&lt;&gt;"",'Hybrid Questions'!$B$3&lt;&gt;"",'Hybrid Questions'!$D$3&lt;&gt;"")),"This row has no question wording, which will make the results hard to interpret.","")</f>
        <v>0</v>
      </c>
      <c r="F1808" s="4" t="s">
        <v>1798</v>
      </c>
    </row>
    <row r="1809" spans="1:6" ht="75" customHeight="1">
      <c r="A1809" t="s">
        <v>271</v>
      </c>
      <c r="B1809" t="s">
        <v>1750</v>
      </c>
      <c r="C1809" t="s">
        <v>1747</v>
      </c>
      <c r="D1809" t="s">
        <v>165</v>
      </c>
      <c r="E1809" s="4">
        <f>IF(AND('Hybrid Questions'!$C$4="",OR('Hybrid Questions'!$A$4&lt;&gt;"",'Hybrid Questions'!$B$4&lt;&gt;"",'Hybrid Questions'!$D$4&lt;&gt;"")),"This row has no question wording, which will make the results hard to interpret.","")</f>
        <v>0</v>
      </c>
      <c r="F1809" s="4" t="s">
        <v>1798</v>
      </c>
    </row>
    <row r="1810" spans="1:6" ht="75" customHeight="1">
      <c r="A1810" t="s">
        <v>271</v>
      </c>
      <c r="B1810" t="s">
        <v>1751</v>
      </c>
      <c r="C1810" t="s">
        <v>1747</v>
      </c>
      <c r="D1810" t="s">
        <v>165</v>
      </c>
      <c r="E1810" s="4">
        <f>IF(AND('Hybrid Questions'!$C$5="",OR('Hybrid Questions'!$A$5&lt;&gt;"",'Hybrid Questions'!$B$5&lt;&gt;"",'Hybrid Questions'!$D$5&lt;&gt;"")),"This row has no question wording, which will make the results hard to interpret.","")</f>
        <v>0</v>
      </c>
      <c r="F1810" s="4" t="s">
        <v>1798</v>
      </c>
    </row>
    <row r="1811" spans="1:6" ht="75" customHeight="1">
      <c r="A1811" t="s">
        <v>271</v>
      </c>
      <c r="B1811" t="s">
        <v>1752</v>
      </c>
      <c r="C1811" t="s">
        <v>1747</v>
      </c>
      <c r="D1811" t="s">
        <v>165</v>
      </c>
      <c r="E1811" s="4">
        <f>IF(AND('Hybrid Questions'!$C$6="",OR('Hybrid Questions'!$A$6&lt;&gt;"",'Hybrid Questions'!$B$6&lt;&gt;"",'Hybrid Questions'!$D$6&lt;&gt;"")),"This row has no question wording, which will make the results hard to interpret.","")</f>
        <v>0</v>
      </c>
      <c r="F1811" s="4" t="s">
        <v>1798</v>
      </c>
    </row>
    <row r="1812" spans="1:6" ht="75" customHeight="1">
      <c r="A1812" t="s">
        <v>271</v>
      </c>
      <c r="B1812" t="s">
        <v>1753</v>
      </c>
      <c r="C1812" t="s">
        <v>1747</v>
      </c>
      <c r="D1812" t="s">
        <v>165</v>
      </c>
      <c r="E1812" s="4">
        <f>IF(AND('Hybrid Questions'!$C$7="",OR('Hybrid Questions'!$A$7&lt;&gt;"",'Hybrid Questions'!$B$7&lt;&gt;"",'Hybrid Questions'!$D$7&lt;&gt;"")),"This row has no question wording, which will make the results hard to interpret.","")</f>
        <v>0</v>
      </c>
      <c r="F1812" s="4" t="s">
        <v>1798</v>
      </c>
    </row>
    <row r="1813" spans="1:6" ht="75" customHeight="1">
      <c r="A1813" t="s">
        <v>271</v>
      </c>
      <c r="B1813" t="s">
        <v>1754</v>
      </c>
      <c r="C1813" t="s">
        <v>1747</v>
      </c>
      <c r="D1813" t="s">
        <v>165</v>
      </c>
      <c r="E1813" s="4">
        <f>IF(AND('Hybrid Questions'!$C$8="",OR('Hybrid Questions'!$A$8&lt;&gt;"",'Hybrid Questions'!$B$8&lt;&gt;"",'Hybrid Questions'!$D$8&lt;&gt;"")),"This row has no question wording, which will make the results hard to interpret.","")</f>
        <v>0</v>
      </c>
      <c r="F1813" s="4" t="s">
        <v>1798</v>
      </c>
    </row>
    <row r="1814" spans="1:6" ht="75" customHeight="1">
      <c r="A1814" t="s">
        <v>271</v>
      </c>
      <c r="B1814" t="s">
        <v>1755</v>
      </c>
      <c r="C1814" t="s">
        <v>1747</v>
      </c>
      <c r="D1814" t="s">
        <v>165</v>
      </c>
      <c r="E1814" s="4">
        <f>IF(AND('Hybrid Questions'!$C$9="",OR('Hybrid Questions'!$A$9&lt;&gt;"",'Hybrid Questions'!$B$9&lt;&gt;"",'Hybrid Questions'!$D$9&lt;&gt;"")),"This row has no question wording, which will make the results hard to interpret.","")</f>
        <v>0</v>
      </c>
      <c r="F1814" s="4" t="s">
        <v>1798</v>
      </c>
    </row>
    <row r="1815" spans="1:6" ht="75" customHeight="1">
      <c r="A1815" t="s">
        <v>271</v>
      </c>
      <c r="B1815" t="s">
        <v>1756</v>
      </c>
      <c r="C1815" t="s">
        <v>1747</v>
      </c>
      <c r="D1815" t="s">
        <v>165</v>
      </c>
      <c r="E1815" s="4">
        <f>IF(AND('Hybrid Questions'!$C$10="",OR('Hybrid Questions'!$A$10&lt;&gt;"",'Hybrid Questions'!$B$10&lt;&gt;"",'Hybrid Questions'!$D$10&lt;&gt;"")),"This row has no question wording, which will make the results hard to interpret.","")</f>
        <v>0</v>
      </c>
      <c r="F1815" s="4" t="s">
        <v>1798</v>
      </c>
    </row>
    <row r="1816" spans="1:6" ht="75" customHeight="1">
      <c r="A1816" t="s">
        <v>271</v>
      </c>
      <c r="B1816" t="s">
        <v>1757</v>
      </c>
      <c r="C1816" t="s">
        <v>1747</v>
      </c>
      <c r="D1816" t="s">
        <v>165</v>
      </c>
      <c r="E1816" s="4">
        <f>IF(AND('Hybrid Questions'!$C$11="",OR('Hybrid Questions'!$A$11&lt;&gt;"",'Hybrid Questions'!$B$11&lt;&gt;"",'Hybrid Questions'!$D$11&lt;&gt;"")),"This row has no question wording, which will make the results hard to interpret.","")</f>
        <v>0</v>
      </c>
      <c r="F1816" s="4" t="s">
        <v>1798</v>
      </c>
    </row>
    <row r="1817" spans="1:6" ht="75" customHeight="1">
      <c r="A1817" t="s">
        <v>271</v>
      </c>
      <c r="B1817" t="s">
        <v>1758</v>
      </c>
      <c r="C1817" t="s">
        <v>1747</v>
      </c>
      <c r="D1817" t="s">
        <v>165</v>
      </c>
      <c r="E1817" s="4">
        <f>IF(AND('Hybrid Questions'!$C$12="",OR('Hybrid Questions'!$A$12&lt;&gt;"",'Hybrid Questions'!$B$12&lt;&gt;"",'Hybrid Questions'!$D$12&lt;&gt;"")),"This row has no question wording, which will make the results hard to interpret.","")</f>
        <v>0</v>
      </c>
      <c r="F1817" s="4" t="s">
        <v>1798</v>
      </c>
    </row>
    <row r="1818" spans="1:6" ht="75" customHeight="1">
      <c r="A1818" t="s">
        <v>271</v>
      </c>
      <c r="B1818" t="s">
        <v>1759</v>
      </c>
      <c r="C1818" t="s">
        <v>1747</v>
      </c>
      <c r="D1818" t="s">
        <v>165</v>
      </c>
      <c r="E1818" s="4">
        <f>IF(AND('Hybrid Questions'!$C$13="",OR('Hybrid Questions'!$A$13&lt;&gt;"",'Hybrid Questions'!$B$13&lt;&gt;"",'Hybrid Questions'!$D$13&lt;&gt;"")),"This row has no question wording, which will make the results hard to interpret.","")</f>
        <v>0</v>
      </c>
      <c r="F1818" s="4" t="s">
        <v>1798</v>
      </c>
    </row>
    <row r="1819" spans="1:6" ht="75" customHeight="1">
      <c r="A1819" t="s">
        <v>271</v>
      </c>
      <c r="B1819" t="s">
        <v>1760</v>
      </c>
      <c r="C1819" t="s">
        <v>1747</v>
      </c>
      <c r="D1819" t="s">
        <v>165</v>
      </c>
      <c r="E1819" s="4">
        <f>IF(AND('Hybrid Questions'!$C$14="",OR('Hybrid Questions'!$A$14&lt;&gt;"",'Hybrid Questions'!$B$14&lt;&gt;"",'Hybrid Questions'!$D$14&lt;&gt;"")),"This row has no question wording, which will make the results hard to interpret.","")</f>
        <v>0</v>
      </c>
      <c r="F1819" s="4" t="s">
        <v>1798</v>
      </c>
    </row>
    <row r="1820" spans="1:6" ht="75" customHeight="1">
      <c r="A1820" t="s">
        <v>271</v>
      </c>
      <c r="B1820" t="s">
        <v>1761</v>
      </c>
      <c r="C1820" t="s">
        <v>1747</v>
      </c>
      <c r="D1820" t="s">
        <v>165</v>
      </c>
      <c r="E1820" s="4">
        <f>IF(AND('Hybrid Questions'!$C$15="",OR('Hybrid Questions'!$A$15&lt;&gt;"",'Hybrid Questions'!$B$15&lt;&gt;"",'Hybrid Questions'!$D$15&lt;&gt;"")),"This row has no question wording, which will make the results hard to interpret.","")</f>
        <v>0</v>
      </c>
      <c r="F1820" s="4" t="s">
        <v>1798</v>
      </c>
    </row>
    <row r="1821" spans="1:6" ht="75" customHeight="1">
      <c r="A1821" t="s">
        <v>271</v>
      </c>
      <c r="B1821" t="s">
        <v>1762</v>
      </c>
      <c r="C1821" t="s">
        <v>1747</v>
      </c>
      <c r="D1821" t="s">
        <v>165</v>
      </c>
      <c r="E1821" s="4">
        <f>IF(AND('Hybrid Questions'!$C$16="",OR('Hybrid Questions'!$A$16&lt;&gt;"",'Hybrid Questions'!$B$16&lt;&gt;"",'Hybrid Questions'!$D$16&lt;&gt;"")),"This row has no question wording, which will make the results hard to interpret.","")</f>
        <v>0</v>
      </c>
      <c r="F1821" s="4" t="s">
        <v>1798</v>
      </c>
    </row>
    <row r="1822" spans="1:6" ht="75" customHeight="1">
      <c r="A1822" t="s">
        <v>271</v>
      </c>
      <c r="B1822" t="s">
        <v>1763</v>
      </c>
      <c r="C1822" t="s">
        <v>1747</v>
      </c>
      <c r="D1822" t="s">
        <v>165</v>
      </c>
      <c r="E1822" s="4">
        <f>IF(AND('Hybrid Questions'!$C$17="",OR('Hybrid Questions'!$A$17&lt;&gt;"",'Hybrid Questions'!$B$17&lt;&gt;"",'Hybrid Questions'!$D$17&lt;&gt;"")),"This row has no question wording, which will make the results hard to interpret.","")</f>
        <v>0</v>
      </c>
      <c r="F1822" s="4" t="s">
        <v>1798</v>
      </c>
    </row>
    <row r="1823" spans="1:6" ht="75" customHeight="1">
      <c r="A1823" t="s">
        <v>271</v>
      </c>
      <c r="B1823" t="s">
        <v>1764</v>
      </c>
      <c r="C1823" t="s">
        <v>1747</v>
      </c>
      <c r="D1823" t="s">
        <v>165</v>
      </c>
      <c r="E1823" s="4">
        <f>IF(AND('Hybrid Questions'!$C$18="",OR('Hybrid Questions'!$A$18&lt;&gt;"",'Hybrid Questions'!$B$18&lt;&gt;"",'Hybrid Questions'!$D$18&lt;&gt;"")),"This row has no question wording, which will make the results hard to interpret.","")</f>
        <v>0</v>
      </c>
      <c r="F1823" s="4" t="s">
        <v>1798</v>
      </c>
    </row>
    <row r="1824" spans="1:6" ht="75" customHeight="1">
      <c r="A1824" t="s">
        <v>271</v>
      </c>
      <c r="B1824" t="s">
        <v>1765</v>
      </c>
      <c r="C1824" t="s">
        <v>1747</v>
      </c>
      <c r="D1824" t="s">
        <v>165</v>
      </c>
      <c r="E1824" s="4">
        <f>IF(AND('Hybrid Questions'!$C$19="",OR('Hybrid Questions'!$A$19&lt;&gt;"",'Hybrid Questions'!$B$19&lt;&gt;"",'Hybrid Questions'!$D$19&lt;&gt;"")),"This row has no question wording, which will make the results hard to interpret.","")</f>
        <v>0</v>
      </c>
      <c r="F1824" s="4" t="s">
        <v>1798</v>
      </c>
    </row>
    <row r="1825" spans="1:6" ht="75" customHeight="1">
      <c r="A1825" t="s">
        <v>271</v>
      </c>
      <c r="B1825" t="s">
        <v>1766</v>
      </c>
      <c r="C1825" t="s">
        <v>1747</v>
      </c>
      <c r="D1825" t="s">
        <v>165</v>
      </c>
      <c r="E1825" s="4">
        <f>IF(AND('Hybrid Questions'!$C$20="",OR('Hybrid Questions'!$A$20&lt;&gt;"",'Hybrid Questions'!$B$20&lt;&gt;"",'Hybrid Questions'!$D$20&lt;&gt;"")),"This row has no question wording, which will make the results hard to interpret.","")</f>
        <v>0</v>
      </c>
      <c r="F1825" s="4" t="s">
        <v>1798</v>
      </c>
    </row>
    <row r="1826" spans="1:6" ht="75" customHeight="1">
      <c r="A1826" t="s">
        <v>271</v>
      </c>
      <c r="B1826" t="s">
        <v>1767</v>
      </c>
      <c r="C1826" t="s">
        <v>1747</v>
      </c>
      <c r="D1826" t="s">
        <v>165</v>
      </c>
      <c r="E1826" s="4">
        <f>IF(AND('Hybrid Questions'!$C$21="",OR('Hybrid Questions'!$A$21&lt;&gt;"",'Hybrid Questions'!$B$21&lt;&gt;"",'Hybrid Questions'!$D$21&lt;&gt;"")),"This row has no question wording, which will make the results hard to interpret.","")</f>
        <v>0</v>
      </c>
      <c r="F1826" s="4" t="s">
        <v>1798</v>
      </c>
    </row>
    <row r="1827" spans="1:6" ht="75" customHeight="1">
      <c r="A1827" t="s">
        <v>271</v>
      </c>
      <c r="B1827" t="s">
        <v>1768</v>
      </c>
      <c r="C1827" t="s">
        <v>1747</v>
      </c>
      <c r="D1827" t="s">
        <v>165</v>
      </c>
      <c r="E1827" s="4">
        <f>IF(AND('Hybrid Questions'!$C$22="",OR('Hybrid Questions'!$A$22&lt;&gt;"",'Hybrid Questions'!$B$22&lt;&gt;"",'Hybrid Questions'!$D$22&lt;&gt;"")),"This row has no question wording, which will make the results hard to interpret.","")</f>
        <v>0</v>
      </c>
      <c r="F1827" s="4" t="s">
        <v>1798</v>
      </c>
    </row>
    <row r="1828" spans="1:6" ht="75" customHeight="1">
      <c r="A1828" t="s">
        <v>271</v>
      </c>
      <c r="B1828" t="s">
        <v>1769</v>
      </c>
      <c r="C1828" t="s">
        <v>1747</v>
      </c>
      <c r="D1828" t="s">
        <v>165</v>
      </c>
      <c r="E1828" s="4">
        <f>IF(AND('Hybrid Questions'!$C$23="",OR('Hybrid Questions'!$A$23&lt;&gt;"",'Hybrid Questions'!$B$23&lt;&gt;"",'Hybrid Questions'!$D$23&lt;&gt;"")),"This row has no question wording, which will make the results hard to interpret.","")</f>
        <v>0</v>
      </c>
      <c r="F1828" s="4" t="s">
        <v>1798</v>
      </c>
    </row>
    <row r="1829" spans="1:6" ht="75" customHeight="1">
      <c r="A1829" t="s">
        <v>271</v>
      </c>
      <c r="B1829" t="s">
        <v>1770</v>
      </c>
      <c r="C1829" t="s">
        <v>1747</v>
      </c>
      <c r="D1829" t="s">
        <v>165</v>
      </c>
      <c r="E1829" s="4">
        <f>IF(AND('Hybrid Questions'!$C$24="",OR('Hybrid Questions'!$A$24&lt;&gt;"",'Hybrid Questions'!$B$24&lt;&gt;"",'Hybrid Questions'!$D$24&lt;&gt;"")),"This row has no question wording, which will make the results hard to interpret.","")</f>
        <v>0</v>
      </c>
      <c r="F1829" s="4" t="s">
        <v>1798</v>
      </c>
    </row>
    <row r="1830" spans="1:6" ht="75" customHeight="1">
      <c r="A1830" t="s">
        <v>271</v>
      </c>
      <c r="B1830" t="s">
        <v>1771</v>
      </c>
      <c r="C1830" t="s">
        <v>1747</v>
      </c>
      <c r="D1830" t="s">
        <v>165</v>
      </c>
      <c r="E1830" s="4">
        <f>IF(AND('Hybrid Questions'!$C$25="",OR('Hybrid Questions'!$A$25&lt;&gt;"",'Hybrid Questions'!$B$25&lt;&gt;"",'Hybrid Questions'!$D$25&lt;&gt;"")),"This row has no question wording, which will make the results hard to interpret.","")</f>
        <v>0</v>
      </c>
      <c r="F1830" s="4" t="s">
        <v>1798</v>
      </c>
    </row>
    <row r="1831" spans="1:6" ht="75" customHeight="1">
      <c r="A1831" t="s">
        <v>271</v>
      </c>
      <c r="B1831" t="s">
        <v>1772</v>
      </c>
      <c r="C1831" t="s">
        <v>1747</v>
      </c>
      <c r="D1831" t="s">
        <v>165</v>
      </c>
      <c r="E1831" s="4">
        <f>IF(AND('Hybrid Questions'!$C$26="",OR('Hybrid Questions'!$A$26&lt;&gt;"",'Hybrid Questions'!$B$26&lt;&gt;"",'Hybrid Questions'!$D$26&lt;&gt;"")),"This row has no question wording, which will make the results hard to interpret.","")</f>
        <v>0</v>
      </c>
      <c r="F1831" s="4" t="s">
        <v>1798</v>
      </c>
    </row>
    <row r="1832" spans="1:6" ht="75" customHeight="1">
      <c r="A1832" t="s">
        <v>271</v>
      </c>
      <c r="B1832" t="s">
        <v>1773</v>
      </c>
      <c r="C1832" t="s">
        <v>1747</v>
      </c>
      <c r="D1832" t="s">
        <v>165</v>
      </c>
      <c r="E1832" s="4">
        <f>IF(AND('Hybrid Questions'!$C$27="",OR('Hybrid Questions'!$A$27&lt;&gt;"",'Hybrid Questions'!$B$27&lt;&gt;"",'Hybrid Questions'!$D$27&lt;&gt;"")),"This row has no question wording, which will make the results hard to interpret.","")</f>
        <v>0</v>
      </c>
      <c r="F1832" s="4" t="s">
        <v>1798</v>
      </c>
    </row>
    <row r="1833" spans="1:6" ht="75" customHeight="1">
      <c r="A1833" t="s">
        <v>271</v>
      </c>
      <c r="B1833" t="s">
        <v>1774</v>
      </c>
      <c r="C1833" t="s">
        <v>1747</v>
      </c>
      <c r="D1833" t="s">
        <v>165</v>
      </c>
      <c r="E1833" s="4">
        <f>IF(AND('Hybrid Questions'!$C$28="",OR('Hybrid Questions'!$A$28&lt;&gt;"",'Hybrid Questions'!$B$28&lt;&gt;"",'Hybrid Questions'!$D$28&lt;&gt;"")),"This row has no question wording, which will make the results hard to interpret.","")</f>
        <v>0</v>
      </c>
      <c r="F1833" s="4" t="s">
        <v>1798</v>
      </c>
    </row>
    <row r="1834" spans="1:6" ht="75" customHeight="1">
      <c r="A1834" t="s">
        <v>271</v>
      </c>
      <c r="B1834" t="s">
        <v>1775</v>
      </c>
      <c r="C1834" t="s">
        <v>1747</v>
      </c>
      <c r="D1834" t="s">
        <v>165</v>
      </c>
      <c r="E1834" s="4">
        <f>IF(AND('Hybrid Questions'!$C$29="",OR('Hybrid Questions'!$A$29&lt;&gt;"",'Hybrid Questions'!$B$29&lt;&gt;"",'Hybrid Questions'!$D$29&lt;&gt;"")),"This row has no question wording, which will make the results hard to interpret.","")</f>
        <v>0</v>
      </c>
      <c r="F1834" s="4" t="s">
        <v>1798</v>
      </c>
    </row>
    <row r="1835" spans="1:6" ht="75" customHeight="1">
      <c r="A1835" t="s">
        <v>271</v>
      </c>
      <c r="B1835" t="s">
        <v>1776</v>
      </c>
      <c r="C1835" t="s">
        <v>1747</v>
      </c>
      <c r="D1835" t="s">
        <v>165</v>
      </c>
      <c r="E1835" s="4">
        <f>IF(AND('Hybrid Questions'!$C$30="",OR('Hybrid Questions'!$A$30&lt;&gt;"",'Hybrid Questions'!$B$30&lt;&gt;"",'Hybrid Questions'!$D$30&lt;&gt;"")),"This row has no question wording, which will make the results hard to interpret.","")</f>
        <v>0</v>
      </c>
      <c r="F1835" s="4" t="s">
        <v>1798</v>
      </c>
    </row>
    <row r="1836" spans="1:6" ht="75" customHeight="1">
      <c r="A1836" t="s">
        <v>271</v>
      </c>
      <c r="B1836" t="s">
        <v>1777</v>
      </c>
      <c r="C1836" t="s">
        <v>1747</v>
      </c>
      <c r="D1836" t="s">
        <v>165</v>
      </c>
      <c r="E1836" s="4">
        <f>IF(AND('Hybrid Questions'!$C$31="",OR('Hybrid Questions'!$A$31&lt;&gt;"",'Hybrid Questions'!$B$31&lt;&gt;"",'Hybrid Questions'!$D$31&lt;&gt;"")),"This row has no question wording, which will make the results hard to interpret.","")</f>
        <v>0</v>
      </c>
      <c r="F1836" s="4" t="s">
        <v>1798</v>
      </c>
    </row>
    <row r="1837" spans="1:6" ht="75" customHeight="1">
      <c r="A1837" t="s">
        <v>271</v>
      </c>
      <c r="B1837" t="s">
        <v>1778</v>
      </c>
      <c r="C1837" t="s">
        <v>1747</v>
      </c>
      <c r="D1837" t="s">
        <v>165</v>
      </c>
      <c r="E1837" s="4">
        <f>IF(AND('Hybrid Questions'!$C$32="",OR('Hybrid Questions'!$A$32&lt;&gt;"",'Hybrid Questions'!$B$32&lt;&gt;"",'Hybrid Questions'!$D$32&lt;&gt;"")),"This row has no question wording, which will make the results hard to interpret.","")</f>
        <v>0</v>
      </c>
      <c r="F1837" s="4" t="s">
        <v>1798</v>
      </c>
    </row>
    <row r="1838" spans="1:6" ht="75" customHeight="1">
      <c r="A1838" t="s">
        <v>271</v>
      </c>
      <c r="B1838" t="s">
        <v>1779</v>
      </c>
      <c r="C1838" t="s">
        <v>1747</v>
      </c>
      <c r="D1838" t="s">
        <v>165</v>
      </c>
      <c r="E1838" s="4">
        <f>IF(AND('Hybrid Questions'!$C$33="",OR('Hybrid Questions'!$A$33&lt;&gt;"",'Hybrid Questions'!$B$33&lt;&gt;"",'Hybrid Questions'!$D$33&lt;&gt;"")),"This row has no question wording, which will make the results hard to interpret.","")</f>
        <v>0</v>
      </c>
      <c r="F1838" s="4" t="s">
        <v>1798</v>
      </c>
    </row>
    <row r="1839" spans="1:6" ht="75" customHeight="1">
      <c r="A1839" t="s">
        <v>271</v>
      </c>
      <c r="B1839" t="s">
        <v>1780</v>
      </c>
      <c r="C1839" t="s">
        <v>1747</v>
      </c>
      <c r="D1839" t="s">
        <v>165</v>
      </c>
      <c r="E1839" s="4">
        <f>IF(AND('Hybrid Questions'!$C$34="",OR('Hybrid Questions'!$A$34&lt;&gt;"",'Hybrid Questions'!$B$34&lt;&gt;"",'Hybrid Questions'!$D$34&lt;&gt;"")),"This row has no question wording, which will make the results hard to interpret.","")</f>
        <v>0</v>
      </c>
      <c r="F1839" s="4" t="s">
        <v>1798</v>
      </c>
    </row>
    <row r="1840" spans="1:6" ht="75" customHeight="1">
      <c r="A1840" t="s">
        <v>271</v>
      </c>
      <c r="B1840" t="s">
        <v>1781</v>
      </c>
      <c r="C1840" t="s">
        <v>1747</v>
      </c>
      <c r="D1840" t="s">
        <v>165</v>
      </c>
      <c r="E1840" s="4">
        <f>IF(AND('Hybrid Questions'!$C$35="",OR('Hybrid Questions'!$A$35&lt;&gt;"",'Hybrid Questions'!$B$35&lt;&gt;"",'Hybrid Questions'!$D$35&lt;&gt;"")),"This row has no question wording, which will make the results hard to interpret.","")</f>
        <v>0</v>
      </c>
      <c r="F1840" s="4" t="s">
        <v>1798</v>
      </c>
    </row>
    <row r="1841" spans="1:6" ht="75" customHeight="1">
      <c r="A1841" t="s">
        <v>271</v>
      </c>
      <c r="B1841" t="s">
        <v>1782</v>
      </c>
      <c r="C1841" t="s">
        <v>1747</v>
      </c>
      <c r="D1841" t="s">
        <v>165</v>
      </c>
      <c r="E1841" s="4">
        <f>IF(AND('Hybrid Questions'!$C$36="",OR('Hybrid Questions'!$A$36&lt;&gt;"",'Hybrid Questions'!$B$36&lt;&gt;"",'Hybrid Questions'!$D$36&lt;&gt;"")),"This row has no question wording, which will make the results hard to interpret.","")</f>
        <v>0</v>
      </c>
      <c r="F1841" s="4" t="s">
        <v>1798</v>
      </c>
    </row>
    <row r="1842" spans="1:6" ht="75" customHeight="1">
      <c r="A1842" t="s">
        <v>271</v>
      </c>
      <c r="B1842" t="s">
        <v>1783</v>
      </c>
      <c r="C1842" t="s">
        <v>1747</v>
      </c>
      <c r="D1842" t="s">
        <v>165</v>
      </c>
      <c r="E1842" s="4">
        <f>IF(AND('Hybrid Questions'!$C$37="",OR('Hybrid Questions'!$A$37&lt;&gt;"",'Hybrid Questions'!$B$37&lt;&gt;"",'Hybrid Questions'!$D$37&lt;&gt;"")),"This row has no question wording, which will make the results hard to interpret.","")</f>
        <v>0</v>
      </c>
      <c r="F1842" s="4" t="s">
        <v>1798</v>
      </c>
    </row>
    <row r="1843" spans="1:6" ht="75" customHeight="1">
      <c r="A1843" t="s">
        <v>271</v>
      </c>
      <c r="B1843" t="s">
        <v>1784</v>
      </c>
      <c r="C1843" t="s">
        <v>1747</v>
      </c>
      <c r="D1843" t="s">
        <v>165</v>
      </c>
      <c r="E1843" s="4">
        <f>IF(AND('Hybrid Questions'!$C$38="",OR('Hybrid Questions'!$A$38&lt;&gt;"",'Hybrid Questions'!$B$38&lt;&gt;"",'Hybrid Questions'!$D$38&lt;&gt;"")),"This row has no question wording, which will make the results hard to interpret.","")</f>
        <v>0</v>
      </c>
      <c r="F1843" s="4" t="s">
        <v>1798</v>
      </c>
    </row>
    <row r="1844" spans="1:6" ht="75" customHeight="1">
      <c r="A1844" t="s">
        <v>271</v>
      </c>
      <c r="B1844" t="s">
        <v>1785</v>
      </c>
      <c r="C1844" t="s">
        <v>1747</v>
      </c>
      <c r="D1844" t="s">
        <v>165</v>
      </c>
      <c r="E1844" s="4">
        <f>IF(AND('Hybrid Questions'!$C$39="",OR('Hybrid Questions'!$A$39&lt;&gt;"",'Hybrid Questions'!$B$39&lt;&gt;"",'Hybrid Questions'!$D$39&lt;&gt;"")),"This row has no question wording, which will make the results hard to interpret.","")</f>
        <v>0</v>
      </c>
      <c r="F1844" s="4" t="s">
        <v>1798</v>
      </c>
    </row>
    <row r="1845" spans="1:6" ht="75" customHeight="1">
      <c r="A1845" t="s">
        <v>271</v>
      </c>
      <c r="B1845" t="s">
        <v>1786</v>
      </c>
      <c r="C1845" t="s">
        <v>1747</v>
      </c>
      <c r="D1845" t="s">
        <v>165</v>
      </c>
      <c r="E1845" s="4">
        <f>IF(AND('Hybrid Questions'!$C$40="",OR('Hybrid Questions'!$A$40&lt;&gt;"",'Hybrid Questions'!$B$40&lt;&gt;"",'Hybrid Questions'!$D$40&lt;&gt;"")),"This row has no question wording, which will make the results hard to interpret.","")</f>
        <v>0</v>
      </c>
      <c r="F1845" s="4" t="s">
        <v>1798</v>
      </c>
    </row>
    <row r="1846" spans="1:6" ht="75" customHeight="1">
      <c r="A1846" t="s">
        <v>271</v>
      </c>
      <c r="B1846" t="s">
        <v>1787</v>
      </c>
      <c r="C1846" t="s">
        <v>1747</v>
      </c>
      <c r="D1846" t="s">
        <v>165</v>
      </c>
      <c r="E1846" s="4">
        <f>IF(AND('Hybrid Questions'!$C$41="",OR('Hybrid Questions'!$A$41&lt;&gt;"",'Hybrid Questions'!$B$41&lt;&gt;"",'Hybrid Questions'!$D$41&lt;&gt;"")),"This row has no question wording, which will make the results hard to interpret.","")</f>
        <v>0</v>
      </c>
      <c r="F1846" s="4" t="s">
        <v>1798</v>
      </c>
    </row>
    <row r="1847" spans="1:6" ht="75" customHeight="1">
      <c r="A1847" t="s">
        <v>271</v>
      </c>
      <c r="B1847" t="s">
        <v>1788</v>
      </c>
      <c r="C1847" t="s">
        <v>1747</v>
      </c>
      <c r="D1847" t="s">
        <v>165</v>
      </c>
      <c r="E1847" s="4">
        <f>IF(AND('Hybrid Questions'!$C$42="",OR('Hybrid Questions'!$A$42&lt;&gt;"",'Hybrid Questions'!$B$42&lt;&gt;"",'Hybrid Questions'!$D$42&lt;&gt;"")),"This row has no question wording, which will make the results hard to interpret.","")</f>
        <v>0</v>
      </c>
      <c r="F1847" s="4" t="s">
        <v>1798</v>
      </c>
    </row>
    <row r="1848" spans="1:6" ht="75" customHeight="1">
      <c r="A1848" t="s">
        <v>271</v>
      </c>
      <c r="B1848" t="s">
        <v>1789</v>
      </c>
      <c r="C1848" t="s">
        <v>1747</v>
      </c>
      <c r="D1848" t="s">
        <v>165</v>
      </c>
      <c r="E1848" s="4">
        <f>IF(AND('Hybrid Questions'!$C$43="",OR('Hybrid Questions'!$A$43&lt;&gt;"",'Hybrid Questions'!$B$43&lt;&gt;"",'Hybrid Questions'!$D$43&lt;&gt;"")),"This row has no question wording, which will make the results hard to interpret.","")</f>
        <v>0</v>
      </c>
      <c r="F1848" s="4" t="s">
        <v>1798</v>
      </c>
    </row>
    <row r="1849" spans="1:6" ht="75" customHeight="1">
      <c r="A1849" t="s">
        <v>271</v>
      </c>
      <c r="B1849" t="s">
        <v>1790</v>
      </c>
      <c r="C1849" t="s">
        <v>1747</v>
      </c>
      <c r="D1849" t="s">
        <v>165</v>
      </c>
      <c r="E1849" s="4">
        <f>IF(AND('Hybrid Questions'!$C$44="",OR('Hybrid Questions'!$A$44&lt;&gt;"",'Hybrid Questions'!$B$44&lt;&gt;"",'Hybrid Questions'!$D$44&lt;&gt;"")),"This row has no question wording, which will make the results hard to interpret.","")</f>
        <v>0</v>
      </c>
      <c r="F1849" s="4" t="s">
        <v>1798</v>
      </c>
    </row>
    <row r="1850" spans="1:6" ht="75" customHeight="1">
      <c r="A1850" t="s">
        <v>271</v>
      </c>
      <c r="B1850" t="s">
        <v>1791</v>
      </c>
      <c r="C1850" t="s">
        <v>1747</v>
      </c>
      <c r="D1850" t="s">
        <v>165</v>
      </c>
      <c r="E1850" s="4">
        <f>IF(AND('Hybrid Questions'!$C$45="",OR('Hybrid Questions'!$A$45&lt;&gt;"",'Hybrid Questions'!$B$45&lt;&gt;"",'Hybrid Questions'!$D$45&lt;&gt;"")),"This row has no question wording, which will make the results hard to interpret.","")</f>
        <v>0</v>
      </c>
      <c r="F1850" s="4" t="s">
        <v>1798</v>
      </c>
    </row>
    <row r="1851" spans="1:6" ht="75" customHeight="1">
      <c r="A1851" t="s">
        <v>271</v>
      </c>
      <c r="B1851" t="s">
        <v>1792</v>
      </c>
      <c r="C1851" t="s">
        <v>1747</v>
      </c>
      <c r="D1851" t="s">
        <v>165</v>
      </c>
      <c r="E1851" s="4">
        <f>IF(AND('Hybrid Questions'!$C$46="",OR('Hybrid Questions'!$A$46&lt;&gt;"",'Hybrid Questions'!$B$46&lt;&gt;"",'Hybrid Questions'!$D$46&lt;&gt;"")),"This row has no question wording, which will make the results hard to interpret.","")</f>
        <v>0</v>
      </c>
      <c r="F1851" s="4" t="s">
        <v>1798</v>
      </c>
    </row>
    <row r="1852" spans="1:6" ht="75" customHeight="1">
      <c r="A1852" t="s">
        <v>271</v>
      </c>
      <c r="B1852" t="s">
        <v>1793</v>
      </c>
      <c r="C1852" t="s">
        <v>1747</v>
      </c>
      <c r="D1852" t="s">
        <v>165</v>
      </c>
      <c r="E1852" s="4">
        <f>IF(AND('Hybrid Questions'!$C$47="",OR('Hybrid Questions'!$A$47&lt;&gt;"",'Hybrid Questions'!$B$47&lt;&gt;"",'Hybrid Questions'!$D$47&lt;&gt;"")),"This row has no question wording, which will make the results hard to interpret.","")</f>
        <v>0</v>
      </c>
      <c r="F1852" s="4" t="s">
        <v>1798</v>
      </c>
    </row>
    <row r="1853" spans="1:6" ht="75" customHeight="1">
      <c r="A1853" t="s">
        <v>271</v>
      </c>
      <c r="B1853" t="s">
        <v>1794</v>
      </c>
      <c r="C1853" t="s">
        <v>1747</v>
      </c>
      <c r="D1853" t="s">
        <v>165</v>
      </c>
      <c r="E1853" s="4">
        <f>IF(AND('Hybrid Questions'!$C$48="",OR('Hybrid Questions'!$A$48&lt;&gt;"",'Hybrid Questions'!$B$48&lt;&gt;"",'Hybrid Questions'!$D$48&lt;&gt;"")),"This row has no question wording, which will make the results hard to interpret.","")</f>
        <v>0</v>
      </c>
      <c r="F1853" s="4" t="s">
        <v>1798</v>
      </c>
    </row>
    <row r="1854" spans="1:6" ht="75" customHeight="1">
      <c r="A1854" t="s">
        <v>271</v>
      </c>
      <c r="B1854" t="s">
        <v>1795</v>
      </c>
      <c r="C1854" t="s">
        <v>1747</v>
      </c>
      <c r="D1854" t="s">
        <v>165</v>
      </c>
      <c r="E1854" s="4">
        <f>IF(AND('Hybrid Questions'!$C$49="",OR('Hybrid Questions'!$A$49&lt;&gt;"",'Hybrid Questions'!$B$49&lt;&gt;"",'Hybrid Questions'!$D$49&lt;&gt;"")),"This row has no question wording, which will make the results hard to interpret.","")</f>
        <v>0</v>
      </c>
      <c r="F1854" s="4" t="s">
        <v>1798</v>
      </c>
    </row>
    <row r="1855" spans="1:6" ht="75" customHeight="1">
      <c r="A1855" t="s">
        <v>271</v>
      </c>
      <c r="B1855" t="s">
        <v>1796</v>
      </c>
      <c r="C1855" t="s">
        <v>1747</v>
      </c>
      <c r="D1855" t="s">
        <v>165</v>
      </c>
      <c r="E1855" s="4">
        <f>IF(AND('Hybrid Questions'!$C$50="",OR('Hybrid Questions'!$A$50&lt;&gt;"",'Hybrid Questions'!$B$50&lt;&gt;"",'Hybrid Questions'!$D$50&lt;&gt;"")),"This row has no question wording, which will make the results hard to interpret.","")</f>
        <v>0</v>
      </c>
      <c r="F1855" s="4" t="s">
        <v>1798</v>
      </c>
    </row>
    <row r="1856" spans="1:6" ht="75" customHeight="1">
      <c r="A1856" t="s">
        <v>271</v>
      </c>
      <c r="B1856" t="s">
        <v>1797</v>
      </c>
      <c r="C1856" t="s">
        <v>1747</v>
      </c>
      <c r="D1856" t="s">
        <v>165</v>
      </c>
      <c r="E1856" s="4">
        <f>IF(AND('Hybrid Questions'!$C$51="",OR('Hybrid Questions'!$A$51&lt;&gt;"",'Hybrid Questions'!$B$51&lt;&gt;"",'Hybrid Questions'!$D$51&lt;&gt;"")),"This row has no question wording, which will make the results hard to interpret.","")</f>
        <v>0</v>
      </c>
      <c r="F1856" s="4" t="s">
        <v>1798</v>
      </c>
    </row>
    <row r="1857" spans="1:6" ht="75" customHeight="1">
      <c r="A1857" t="s">
        <v>216</v>
      </c>
      <c r="B1857" t="s">
        <v>219</v>
      </c>
      <c r="C1857" t="s">
        <v>1799</v>
      </c>
      <c r="D1857" t="s">
        <v>165</v>
      </c>
      <c r="E1857" s="4">
        <f>IF(AND('Open Questions'!$B$2&lt;&gt;"",OR(NOT(ISNUMBER('Open Questions'!$B$2)),'Open Questions'!$B$2&lt;&gt;INT('Open Questions'!$B$2),'Open Questions'!$B$2&lt;1)),"'"&amp;'Open Questions'!$B$2&amp;"' isn't a whole number of 1 or more. Question numbers are used as output folder names, so they need to be plain whole numbers.","")</f>
        <v>0</v>
      </c>
      <c r="F1857" s="4" t="s">
        <v>1800</v>
      </c>
    </row>
    <row r="1858" spans="1:6" ht="75" customHeight="1">
      <c r="A1858" t="s">
        <v>216</v>
      </c>
      <c r="B1858" t="s">
        <v>222</v>
      </c>
      <c r="C1858" t="s">
        <v>1799</v>
      </c>
      <c r="D1858" t="s">
        <v>165</v>
      </c>
      <c r="E1858" s="4">
        <f>IF(AND('Open Questions'!$B$3&lt;&gt;"",OR(NOT(ISNUMBER('Open Questions'!$B$3)),'Open Questions'!$B$3&lt;&gt;INT('Open Questions'!$B$3),'Open Questions'!$B$3&lt;1)),"'"&amp;'Open Questions'!$B$3&amp;"' isn't a whole number of 1 or more. Question numbers are used as output folder names, so they need to be plain whole numbers.","")</f>
        <v>0</v>
      </c>
      <c r="F1858" s="4" t="s">
        <v>1800</v>
      </c>
    </row>
    <row r="1859" spans="1:6" ht="75" customHeight="1">
      <c r="A1859" t="s">
        <v>216</v>
      </c>
      <c r="B1859" t="s">
        <v>223</v>
      </c>
      <c r="C1859" t="s">
        <v>1799</v>
      </c>
      <c r="D1859" t="s">
        <v>165</v>
      </c>
      <c r="E1859" s="4">
        <f>IF(AND('Open Questions'!$B$4&lt;&gt;"",OR(NOT(ISNUMBER('Open Questions'!$B$4)),'Open Questions'!$B$4&lt;&gt;INT('Open Questions'!$B$4),'Open Questions'!$B$4&lt;1)),"'"&amp;'Open Questions'!$B$4&amp;"' isn't a whole number of 1 or more. Question numbers are used as output folder names, so they need to be plain whole numbers.","")</f>
        <v>0</v>
      </c>
      <c r="F1859" s="4" t="s">
        <v>1800</v>
      </c>
    </row>
    <row r="1860" spans="1:6" ht="75" customHeight="1">
      <c r="A1860" t="s">
        <v>216</v>
      </c>
      <c r="B1860" t="s">
        <v>224</v>
      </c>
      <c r="C1860" t="s">
        <v>1799</v>
      </c>
      <c r="D1860" t="s">
        <v>165</v>
      </c>
      <c r="E1860" s="4">
        <f>IF(AND('Open Questions'!$B$5&lt;&gt;"",OR(NOT(ISNUMBER('Open Questions'!$B$5)),'Open Questions'!$B$5&lt;&gt;INT('Open Questions'!$B$5),'Open Questions'!$B$5&lt;1)),"'"&amp;'Open Questions'!$B$5&amp;"' isn't a whole number of 1 or more. Question numbers are used as output folder names, so they need to be plain whole numbers.","")</f>
        <v>0</v>
      </c>
      <c r="F1860" s="4" t="s">
        <v>1800</v>
      </c>
    </row>
    <row r="1861" spans="1:6" ht="75" customHeight="1">
      <c r="A1861" t="s">
        <v>216</v>
      </c>
      <c r="B1861" t="s">
        <v>225</v>
      </c>
      <c r="C1861" t="s">
        <v>1799</v>
      </c>
      <c r="D1861" t="s">
        <v>165</v>
      </c>
      <c r="E1861" s="4">
        <f>IF(AND('Open Questions'!$B$6&lt;&gt;"",OR(NOT(ISNUMBER('Open Questions'!$B$6)),'Open Questions'!$B$6&lt;&gt;INT('Open Questions'!$B$6),'Open Questions'!$B$6&lt;1)),"'"&amp;'Open Questions'!$B$6&amp;"' isn't a whole number of 1 or more. Question numbers are used as output folder names, so they need to be plain whole numbers.","")</f>
        <v>0</v>
      </c>
      <c r="F1861" s="4" t="s">
        <v>1800</v>
      </c>
    </row>
    <row r="1862" spans="1:6" ht="75" customHeight="1">
      <c r="A1862" t="s">
        <v>216</v>
      </c>
      <c r="B1862" t="s">
        <v>226</v>
      </c>
      <c r="C1862" t="s">
        <v>1799</v>
      </c>
      <c r="D1862" t="s">
        <v>165</v>
      </c>
      <c r="E1862" s="4">
        <f>IF(AND('Open Questions'!$B$7&lt;&gt;"",OR(NOT(ISNUMBER('Open Questions'!$B$7)),'Open Questions'!$B$7&lt;&gt;INT('Open Questions'!$B$7),'Open Questions'!$B$7&lt;1)),"'"&amp;'Open Questions'!$B$7&amp;"' isn't a whole number of 1 or more. Question numbers are used as output folder names, so they need to be plain whole numbers.","")</f>
        <v>0</v>
      </c>
      <c r="F1862" s="4" t="s">
        <v>1800</v>
      </c>
    </row>
    <row r="1863" spans="1:6" ht="75" customHeight="1">
      <c r="A1863" t="s">
        <v>216</v>
      </c>
      <c r="B1863" t="s">
        <v>227</v>
      </c>
      <c r="C1863" t="s">
        <v>1799</v>
      </c>
      <c r="D1863" t="s">
        <v>165</v>
      </c>
      <c r="E1863" s="4">
        <f>IF(AND('Open Questions'!$B$8&lt;&gt;"",OR(NOT(ISNUMBER('Open Questions'!$B$8)),'Open Questions'!$B$8&lt;&gt;INT('Open Questions'!$B$8),'Open Questions'!$B$8&lt;1)),"'"&amp;'Open Questions'!$B$8&amp;"' isn't a whole number of 1 or more. Question numbers are used as output folder names, so they need to be plain whole numbers.","")</f>
        <v>0</v>
      </c>
      <c r="F1863" s="4" t="s">
        <v>1800</v>
      </c>
    </row>
    <row r="1864" spans="1:6" ht="75" customHeight="1">
      <c r="A1864" t="s">
        <v>216</v>
      </c>
      <c r="B1864" t="s">
        <v>228</v>
      </c>
      <c r="C1864" t="s">
        <v>1799</v>
      </c>
      <c r="D1864" t="s">
        <v>165</v>
      </c>
      <c r="E1864" s="4">
        <f>IF(AND('Open Questions'!$B$9&lt;&gt;"",OR(NOT(ISNUMBER('Open Questions'!$B$9)),'Open Questions'!$B$9&lt;&gt;INT('Open Questions'!$B$9),'Open Questions'!$B$9&lt;1)),"'"&amp;'Open Questions'!$B$9&amp;"' isn't a whole number of 1 or more. Question numbers are used as output folder names, so they need to be plain whole numbers.","")</f>
        <v>0</v>
      </c>
      <c r="F1864" s="4" t="s">
        <v>1800</v>
      </c>
    </row>
    <row r="1865" spans="1:6" ht="75" customHeight="1">
      <c r="A1865" t="s">
        <v>216</v>
      </c>
      <c r="B1865" t="s">
        <v>229</v>
      </c>
      <c r="C1865" t="s">
        <v>1799</v>
      </c>
      <c r="D1865" t="s">
        <v>165</v>
      </c>
      <c r="E1865" s="4">
        <f>IF(AND('Open Questions'!$B$10&lt;&gt;"",OR(NOT(ISNUMBER('Open Questions'!$B$10)),'Open Questions'!$B$10&lt;&gt;INT('Open Questions'!$B$10),'Open Questions'!$B$10&lt;1)),"'"&amp;'Open Questions'!$B$10&amp;"' isn't a whole number of 1 or more. Question numbers are used as output folder names, so they need to be plain whole numbers.","")</f>
        <v>0</v>
      </c>
      <c r="F1865" s="4" t="s">
        <v>1800</v>
      </c>
    </row>
    <row r="1866" spans="1:6" ht="75" customHeight="1">
      <c r="A1866" t="s">
        <v>216</v>
      </c>
      <c r="B1866" t="s">
        <v>230</v>
      </c>
      <c r="C1866" t="s">
        <v>1799</v>
      </c>
      <c r="D1866" t="s">
        <v>165</v>
      </c>
      <c r="E1866" s="4">
        <f>IF(AND('Open Questions'!$B$11&lt;&gt;"",OR(NOT(ISNUMBER('Open Questions'!$B$11)),'Open Questions'!$B$11&lt;&gt;INT('Open Questions'!$B$11),'Open Questions'!$B$11&lt;1)),"'"&amp;'Open Questions'!$B$11&amp;"' isn't a whole number of 1 or more. Question numbers are used as output folder names, so they need to be plain whole numbers.","")</f>
        <v>0</v>
      </c>
      <c r="F1866" s="4" t="s">
        <v>1800</v>
      </c>
    </row>
    <row r="1867" spans="1:6" ht="75" customHeight="1">
      <c r="A1867" t="s">
        <v>216</v>
      </c>
      <c r="B1867" t="s">
        <v>231</v>
      </c>
      <c r="C1867" t="s">
        <v>1799</v>
      </c>
      <c r="D1867" t="s">
        <v>165</v>
      </c>
      <c r="E1867" s="4">
        <f>IF(AND('Open Questions'!$B$12&lt;&gt;"",OR(NOT(ISNUMBER('Open Questions'!$B$12)),'Open Questions'!$B$12&lt;&gt;INT('Open Questions'!$B$12),'Open Questions'!$B$12&lt;1)),"'"&amp;'Open Questions'!$B$12&amp;"' isn't a whole number of 1 or more. Question numbers are used as output folder names, so they need to be plain whole numbers.","")</f>
        <v>0</v>
      </c>
      <c r="F1867" s="4" t="s">
        <v>1800</v>
      </c>
    </row>
    <row r="1868" spans="1:6" ht="75" customHeight="1">
      <c r="A1868" t="s">
        <v>216</v>
      </c>
      <c r="B1868" t="s">
        <v>232</v>
      </c>
      <c r="C1868" t="s">
        <v>1799</v>
      </c>
      <c r="D1868" t="s">
        <v>165</v>
      </c>
      <c r="E1868" s="4">
        <f>IF(AND('Open Questions'!$B$13&lt;&gt;"",OR(NOT(ISNUMBER('Open Questions'!$B$13)),'Open Questions'!$B$13&lt;&gt;INT('Open Questions'!$B$13),'Open Questions'!$B$13&lt;1)),"'"&amp;'Open Questions'!$B$13&amp;"' isn't a whole number of 1 or more. Question numbers are used as output folder names, so they need to be plain whole numbers.","")</f>
        <v>0</v>
      </c>
      <c r="F1868" s="4" t="s">
        <v>1800</v>
      </c>
    </row>
    <row r="1869" spans="1:6" ht="75" customHeight="1">
      <c r="A1869" t="s">
        <v>216</v>
      </c>
      <c r="B1869" t="s">
        <v>233</v>
      </c>
      <c r="C1869" t="s">
        <v>1799</v>
      </c>
      <c r="D1869" t="s">
        <v>165</v>
      </c>
      <c r="E1869" s="4">
        <f>IF(AND('Open Questions'!$B$14&lt;&gt;"",OR(NOT(ISNUMBER('Open Questions'!$B$14)),'Open Questions'!$B$14&lt;&gt;INT('Open Questions'!$B$14),'Open Questions'!$B$14&lt;1)),"'"&amp;'Open Questions'!$B$14&amp;"' isn't a whole number of 1 or more. Question numbers are used as output folder names, so they need to be plain whole numbers.","")</f>
        <v>0</v>
      </c>
      <c r="F1869" s="4" t="s">
        <v>1800</v>
      </c>
    </row>
    <row r="1870" spans="1:6" ht="75" customHeight="1">
      <c r="A1870" t="s">
        <v>216</v>
      </c>
      <c r="B1870" t="s">
        <v>234</v>
      </c>
      <c r="C1870" t="s">
        <v>1799</v>
      </c>
      <c r="D1870" t="s">
        <v>165</v>
      </c>
      <c r="E1870" s="4">
        <f>IF(AND('Open Questions'!$B$15&lt;&gt;"",OR(NOT(ISNUMBER('Open Questions'!$B$15)),'Open Questions'!$B$15&lt;&gt;INT('Open Questions'!$B$15),'Open Questions'!$B$15&lt;1)),"'"&amp;'Open Questions'!$B$15&amp;"' isn't a whole number of 1 or more. Question numbers are used as output folder names, so they need to be plain whole numbers.","")</f>
        <v>0</v>
      </c>
      <c r="F1870" s="4" t="s">
        <v>1800</v>
      </c>
    </row>
    <row r="1871" spans="1:6" ht="75" customHeight="1">
      <c r="A1871" t="s">
        <v>216</v>
      </c>
      <c r="B1871" t="s">
        <v>235</v>
      </c>
      <c r="C1871" t="s">
        <v>1799</v>
      </c>
      <c r="D1871" t="s">
        <v>165</v>
      </c>
      <c r="E1871" s="4">
        <f>IF(AND('Open Questions'!$B$16&lt;&gt;"",OR(NOT(ISNUMBER('Open Questions'!$B$16)),'Open Questions'!$B$16&lt;&gt;INT('Open Questions'!$B$16),'Open Questions'!$B$16&lt;1)),"'"&amp;'Open Questions'!$B$16&amp;"' isn't a whole number of 1 or more. Question numbers are used as output folder names, so they need to be plain whole numbers.","")</f>
        <v>0</v>
      </c>
      <c r="F1871" s="4" t="s">
        <v>1800</v>
      </c>
    </row>
    <row r="1872" spans="1:6" ht="75" customHeight="1">
      <c r="A1872" t="s">
        <v>216</v>
      </c>
      <c r="B1872" t="s">
        <v>236</v>
      </c>
      <c r="C1872" t="s">
        <v>1799</v>
      </c>
      <c r="D1872" t="s">
        <v>165</v>
      </c>
      <c r="E1872" s="4">
        <f>IF(AND('Open Questions'!$B$17&lt;&gt;"",OR(NOT(ISNUMBER('Open Questions'!$B$17)),'Open Questions'!$B$17&lt;&gt;INT('Open Questions'!$B$17),'Open Questions'!$B$17&lt;1)),"'"&amp;'Open Questions'!$B$17&amp;"' isn't a whole number of 1 or more. Question numbers are used as output folder names, so they need to be plain whole numbers.","")</f>
        <v>0</v>
      </c>
      <c r="F1872" s="4" t="s">
        <v>1800</v>
      </c>
    </row>
    <row r="1873" spans="1:6" ht="75" customHeight="1">
      <c r="A1873" t="s">
        <v>216</v>
      </c>
      <c r="B1873" t="s">
        <v>237</v>
      </c>
      <c r="C1873" t="s">
        <v>1799</v>
      </c>
      <c r="D1873" t="s">
        <v>165</v>
      </c>
      <c r="E1873" s="4">
        <f>IF(AND('Open Questions'!$B$18&lt;&gt;"",OR(NOT(ISNUMBER('Open Questions'!$B$18)),'Open Questions'!$B$18&lt;&gt;INT('Open Questions'!$B$18),'Open Questions'!$B$18&lt;1)),"'"&amp;'Open Questions'!$B$18&amp;"' isn't a whole number of 1 or more. Question numbers are used as output folder names, so they need to be plain whole numbers.","")</f>
        <v>0</v>
      </c>
      <c r="F1873" s="4" t="s">
        <v>1800</v>
      </c>
    </row>
    <row r="1874" spans="1:6" ht="75" customHeight="1">
      <c r="A1874" t="s">
        <v>216</v>
      </c>
      <c r="B1874" t="s">
        <v>238</v>
      </c>
      <c r="C1874" t="s">
        <v>1799</v>
      </c>
      <c r="D1874" t="s">
        <v>165</v>
      </c>
      <c r="E1874" s="4">
        <f>IF(AND('Open Questions'!$B$19&lt;&gt;"",OR(NOT(ISNUMBER('Open Questions'!$B$19)),'Open Questions'!$B$19&lt;&gt;INT('Open Questions'!$B$19),'Open Questions'!$B$19&lt;1)),"'"&amp;'Open Questions'!$B$19&amp;"' isn't a whole number of 1 or more. Question numbers are used as output folder names, so they need to be plain whole numbers.","")</f>
        <v>0</v>
      </c>
      <c r="F1874" s="4" t="s">
        <v>1800</v>
      </c>
    </row>
    <row r="1875" spans="1:6" ht="75" customHeight="1">
      <c r="A1875" t="s">
        <v>216</v>
      </c>
      <c r="B1875" t="s">
        <v>239</v>
      </c>
      <c r="C1875" t="s">
        <v>1799</v>
      </c>
      <c r="D1875" t="s">
        <v>165</v>
      </c>
      <c r="E1875" s="4">
        <f>IF(AND('Open Questions'!$B$20&lt;&gt;"",OR(NOT(ISNUMBER('Open Questions'!$B$20)),'Open Questions'!$B$20&lt;&gt;INT('Open Questions'!$B$20),'Open Questions'!$B$20&lt;1)),"'"&amp;'Open Questions'!$B$20&amp;"' isn't a whole number of 1 or more. Question numbers are used as output folder names, so they need to be plain whole numbers.","")</f>
        <v>0</v>
      </c>
      <c r="F1875" s="4" t="s">
        <v>1800</v>
      </c>
    </row>
    <row r="1876" spans="1:6" ht="75" customHeight="1">
      <c r="A1876" t="s">
        <v>216</v>
      </c>
      <c r="B1876" t="s">
        <v>240</v>
      </c>
      <c r="C1876" t="s">
        <v>1799</v>
      </c>
      <c r="D1876" t="s">
        <v>165</v>
      </c>
      <c r="E1876" s="4">
        <f>IF(AND('Open Questions'!$B$21&lt;&gt;"",OR(NOT(ISNUMBER('Open Questions'!$B$21)),'Open Questions'!$B$21&lt;&gt;INT('Open Questions'!$B$21),'Open Questions'!$B$21&lt;1)),"'"&amp;'Open Questions'!$B$21&amp;"' isn't a whole number of 1 or more. Question numbers are used as output folder names, so they need to be plain whole numbers.","")</f>
        <v>0</v>
      </c>
      <c r="F1876" s="4" t="s">
        <v>1800</v>
      </c>
    </row>
    <row r="1877" spans="1:6" ht="75" customHeight="1">
      <c r="A1877" t="s">
        <v>216</v>
      </c>
      <c r="B1877" t="s">
        <v>241</v>
      </c>
      <c r="C1877" t="s">
        <v>1799</v>
      </c>
      <c r="D1877" t="s">
        <v>165</v>
      </c>
      <c r="E1877" s="4">
        <f>IF(AND('Open Questions'!$B$22&lt;&gt;"",OR(NOT(ISNUMBER('Open Questions'!$B$22)),'Open Questions'!$B$22&lt;&gt;INT('Open Questions'!$B$22),'Open Questions'!$B$22&lt;1)),"'"&amp;'Open Questions'!$B$22&amp;"' isn't a whole number of 1 or more. Question numbers are used as output folder names, so they need to be plain whole numbers.","")</f>
        <v>0</v>
      </c>
      <c r="F1877" s="4" t="s">
        <v>1800</v>
      </c>
    </row>
    <row r="1878" spans="1:6" ht="75" customHeight="1">
      <c r="A1878" t="s">
        <v>216</v>
      </c>
      <c r="B1878" t="s">
        <v>242</v>
      </c>
      <c r="C1878" t="s">
        <v>1799</v>
      </c>
      <c r="D1878" t="s">
        <v>165</v>
      </c>
      <c r="E1878" s="4">
        <f>IF(AND('Open Questions'!$B$23&lt;&gt;"",OR(NOT(ISNUMBER('Open Questions'!$B$23)),'Open Questions'!$B$23&lt;&gt;INT('Open Questions'!$B$23),'Open Questions'!$B$23&lt;1)),"'"&amp;'Open Questions'!$B$23&amp;"' isn't a whole number of 1 or more. Question numbers are used as output folder names, so they need to be plain whole numbers.","")</f>
        <v>0</v>
      </c>
      <c r="F1878" s="4" t="s">
        <v>1800</v>
      </c>
    </row>
    <row r="1879" spans="1:6" ht="75" customHeight="1">
      <c r="A1879" t="s">
        <v>216</v>
      </c>
      <c r="B1879" t="s">
        <v>243</v>
      </c>
      <c r="C1879" t="s">
        <v>1799</v>
      </c>
      <c r="D1879" t="s">
        <v>165</v>
      </c>
      <c r="E1879" s="4">
        <f>IF(AND('Open Questions'!$B$24&lt;&gt;"",OR(NOT(ISNUMBER('Open Questions'!$B$24)),'Open Questions'!$B$24&lt;&gt;INT('Open Questions'!$B$24),'Open Questions'!$B$24&lt;1)),"'"&amp;'Open Questions'!$B$24&amp;"' isn't a whole number of 1 or more. Question numbers are used as output folder names, so they need to be plain whole numbers.","")</f>
        <v>0</v>
      </c>
      <c r="F1879" s="4" t="s">
        <v>1800</v>
      </c>
    </row>
    <row r="1880" spans="1:6" ht="75" customHeight="1">
      <c r="A1880" t="s">
        <v>216</v>
      </c>
      <c r="B1880" t="s">
        <v>244</v>
      </c>
      <c r="C1880" t="s">
        <v>1799</v>
      </c>
      <c r="D1880" t="s">
        <v>165</v>
      </c>
      <c r="E1880" s="4">
        <f>IF(AND('Open Questions'!$B$25&lt;&gt;"",OR(NOT(ISNUMBER('Open Questions'!$B$25)),'Open Questions'!$B$25&lt;&gt;INT('Open Questions'!$B$25),'Open Questions'!$B$25&lt;1)),"'"&amp;'Open Questions'!$B$25&amp;"' isn't a whole number of 1 or more. Question numbers are used as output folder names, so they need to be plain whole numbers.","")</f>
        <v>0</v>
      </c>
      <c r="F1880" s="4" t="s">
        <v>1800</v>
      </c>
    </row>
    <row r="1881" spans="1:6" ht="75" customHeight="1">
      <c r="A1881" t="s">
        <v>216</v>
      </c>
      <c r="B1881" t="s">
        <v>245</v>
      </c>
      <c r="C1881" t="s">
        <v>1799</v>
      </c>
      <c r="D1881" t="s">
        <v>165</v>
      </c>
      <c r="E1881" s="4">
        <f>IF(AND('Open Questions'!$B$26&lt;&gt;"",OR(NOT(ISNUMBER('Open Questions'!$B$26)),'Open Questions'!$B$26&lt;&gt;INT('Open Questions'!$B$26),'Open Questions'!$B$26&lt;1)),"'"&amp;'Open Questions'!$B$26&amp;"' isn't a whole number of 1 or more. Question numbers are used as output folder names, so they need to be plain whole numbers.","")</f>
        <v>0</v>
      </c>
      <c r="F1881" s="4" t="s">
        <v>1800</v>
      </c>
    </row>
    <row r="1882" spans="1:6" ht="75" customHeight="1">
      <c r="A1882" t="s">
        <v>216</v>
      </c>
      <c r="B1882" t="s">
        <v>246</v>
      </c>
      <c r="C1882" t="s">
        <v>1799</v>
      </c>
      <c r="D1882" t="s">
        <v>165</v>
      </c>
      <c r="E1882" s="4">
        <f>IF(AND('Open Questions'!$B$27&lt;&gt;"",OR(NOT(ISNUMBER('Open Questions'!$B$27)),'Open Questions'!$B$27&lt;&gt;INT('Open Questions'!$B$27),'Open Questions'!$B$27&lt;1)),"'"&amp;'Open Questions'!$B$27&amp;"' isn't a whole number of 1 or more. Question numbers are used as output folder names, so they need to be plain whole numbers.","")</f>
        <v>0</v>
      </c>
      <c r="F1882" s="4" t="s">
        <v>1800</v>
      </c>
    </row>
    <row r="1883" spans="1:6" ht="75" customHeight="1">
      <c r="A1883" t="s">
        <v>216</v>
      </c>
      <c r="B1883" t="s">
        <v>247</v>
      </c>
      <c r="C1883" t="s">
        <v>1799</v>
      </c>
      <c r="D1883" t="s">
        <v>165</v>
      </c>
      <c r="E1883" s="4">
        <f>IF(AND('Open Questions'!$B$28&lt;&gt;"",OR(NOT(ISNUMBER('Open Questions'!$B$28)),'Open Questions'!$B$28&lt;&gt;INT('Open Questions'!$B$28),'Open Questions'!$B$28&lt;1)),"'"&amp;'Open Questions'!$B$28&amp;"' isn't a whole number of 1 or more. Question numbers are used as output folder names, so they need to be plain whole numbers.","")</f>
        <v>0</v>
      </c>
      <c r="F1883" s="4" t="s">
        <v>1800</v>
      </c>
    </row>
    <row r="1884" spans="1:6" ht="75" customHeight="1">
      <c r="A1884" t="s">
        <v>216</v>
      </c>
      <c r="B1884" t="s">
        <v>248</v>
      </c>
      <c r="C1884" t="s">
        <v>1799</v>
      </c>
      <c r="D1884" t="s">
        <v>165</v>
      </c>
      <c r="E1884" s="4">
        <f>IF(AND('Open Questions'!$B$29&lt;&gt;"",OR(NOT(ISNUMBER('Open Questions'!$B$29)),'Open Questions'!$B$29&lt;&gt;INT('Open Questions'!$B$29),'Open Questions'!$B$29&lt;1)),"'"&amp;'Open Questions'!$B$29&amp;"' isn't a whole number of 1 or more. Question numbers are used as output folder names, so they need to be plain whole numbers.","")</f>
        <v>0</v>
      </c>
      <c r="F1884" s="4" t="s">
        <v>1800</v>
      </c>
    </row>
    <row r="1885" spans="1:6" ht="75" customHeight="1">
      <c r="A1885" t="s">
        <v>216</v>
      </c>
      <c r="B1885" t="s">
        <v>249</v>
      </c>
      <c r="C1885" t="s">
        <v>1799</v>
      </c>
      <c r="D1885" t="s">
        <v>165</v>
      </c>
      <c r="E1885" s="4">
        <f>IF(AND('Open Questions'!$B$30&lt;&gt;"",OR(NOT(ISNUMBER('Open Questions'!$B$30)),'Open Questions'!$B$30&lt;&gt;INT('Open Questions'!$B$30),'Open Questions'!$B$30&lt;1)),"'"&amp;'Open Questions'!$B$30&amp;"' isn't a whole number of 1 or more. Question numbers are used as output folder names, so they need to be plain whole numbers.","")</f>
        <v>0</v>
      </c>
      <c r="F1885" s="4" t="s">
        <v>1800</v>
      </c>
    </row>
    <row r="1886" spans="1:6" ht="75" customHeight="1">
      <c r="A1886" t="s">
        <v>216</v>
      </c>
      <c r="B1886" t="s">
        <v>250</v>
      </c>
      <c r="C1886" t="s">
        <v>1799</v>
      </c>
      <c r="D1886" t="s">
        <v>165</v>
      </c>
      <c r="E1886" s="4">
        <f>IF(AND('Open Questions'!$B$31&lt;&gt;"",OR(NOT(ISNUMBER('Open Questions'!$B$31)),'Open Questions'!$B$31&lt;&gt;INT('Open Questions'!$B$31),'Open Questions'!$B$31&lt;1)),"'"&amp;'Open Questions'!$B$31&amp;"' isn't a whole number of 1 or more. Question numbers are used as output folder names, so they need to be plain whole numbers.","")</f>
        <v>0</v>
      </c>
      <c r="F1886" s="4" t="s">
        <v>1800</v>
      </c>
    </row>
    <row r="1887" spans="1:6" ht="75" customHeight="1">
      <c r="A1887" t="s">
        <v>216</v>
      </c>
      <c r="B1887" t="s">
        <v>251</v>
      </c>
      <c r="C1887" t="s">
        <v>1799</v>
      </c>
      <c r="D1887" t="s">
        <v>165</v>
      </c>
      <c r="E1887" s="4">
        <f>IF(AND('Open Questions'!$B$32&lt;&gt;"",OR(NOT(ISNUMBER('Open Questions'!$B$32)),'Open Questions'!$B$32&lt;&gt;INT('Open Questions'!$B$32),'Open Questions'!$B$32&lt;1)),"'"&amp;'Open Questions'!$B$32&amp;"' isn't a whole number of 1 or more. Question numbers are used as output folder names, so they need to be plain whole numbers.","")</f>
        <v>0</v>
      </c>
      <c r="F1887" s="4" t="s">
        <v>1800</v>
      </c>
    </row>
    <row r="1888" spans="1:6" ht="75" customHeight="1">
      <c r="A1888" t="s">
        <v>216</v>
      </c>
      <c r="B1888" t="s">
        <v>252</v>
      </c>
      <c r="C1888" t="s">
        <v>1799</v>
      </c>
      <c r="D1888" t="s">
        <v>165</v>
      </c>
      <c r="E1888" s="4">
        <f>IF(AND('Open Questions'!$B$33&lt;&gt;"",OR(NOT(ISNUMBER('Open Questions'!$B$33)),'Open Questions'!$B$33&lt;&gt;INT('Open Questions'!$B$33),'Open Questions'!$B$33&lt;1)),"'"&amp;'Open Questions'!$B$33&amp;"' isn't a whole number of 1 or more. Question numbers are used as output folder names, so they need to be plain whole numbers.","")</f>
        <v>0</v>
      </c>
      <c r="F1888" s="4" t="s">
        <v>1800</v>
      </c>
    </row>
    <row r="1889" spans="1:6" ht="75" customHeight="1">
      <c r="A1889" t="s">
        <v>216</v>
      </c>
      <c r="B1889" t="s">
        <v>253</v>
      </c>
      <c r="C1889" t="s">
        <v>1799</v>
      </c>
      <c r="D1889" t="s">
        <v>165</v>
      </c>
      <c r="E1889" s="4">
        <f>IF(AND('Open Questions'!$B$34&lt;&gt;"",OR(NOT(ISNUMBER('Open Questions'!$B$34)),'Open Questions'!$B$34&lt;&gt;INT('Open Questions'!$B$34),'Open Questions'!$B$34&lt;1)),"'"&amp;'Open Questions'!$B$34&amp;"' isn't a whole number of 1 or more. Question numbers are used as output folder names, so they need to be plain whole numbers.","")</f>
        <v>0</v>
      </c>
      <c r="F1889" s="4" t="s">
        <v>1800</v>
      </c>
    </row>
    <row r="1890" spans="1:6" ht="75" customHeight="1">
      <c r="A1890" t="s">
        <v>216</v>
      </c>
      <c r="B1890" t="s">
        <v>254</v>
      </c>
      <c r="C1890" t="s">
        <v>1799</v>
      </c>
      <c r="D1890" t="s">
        <v>165</v>
      </c>
      <c r="E1890" s="4">
        <f>IF(AND('Open Questions'!$B$35&lt;&gt;"",OR(NOT(ISNUMBER('Open Questions'!$B$35)),'Open Questions'!$B$35&lt;&gt;INT('Open Questions'!$B$35),'Open Questions'!$B$35&lt;1)),"'"&amp;'Open Questions'!$B$35&amp;"' isn't a whole number of 1 or more. Question numbers are used as output folder names, so they need to be plain whole numbers.","")</f>
        <v>0</v>
      </c>
      <c r="F1890" s="4" t="s">
        <v>1800</v>
      </c>
    </row>
    <row r="1891" spans="1:6" ht="75" customHeight="1">
      <c r="A1891" t="s">
        <v>216</v>
      </c>
      <c r="B1891" t="s">
        <v>255</v>
      </c>
      <c r="C1891" t="s">
        <v>1799</v>
      </c>
      <c r="D1891" t="s">
        <v>165</v>
      </c>
      <c r="E1891" s="4">
        <f>IF(AND('Open Questions'!$B$36&lt;&gt;"",OR(NOT(ISNUMBER('Open Questions'!$B$36)),'Open Questions'!$B$36&lt;&gt;INT('Open Questions'!$B$36),'Open Questions'!$B$36&lt;1)),"'"&amp;'Open Questions'!$B$36&amp;"' isn't a whole number of 1 or more. Question numbers are used as output folder names, so they need to be plain whole numbers.","")</f>
        <v>0</v>
      </c>
      <c r="F1891" s="4" t="s">
        <v>1800</v>
      </c>
    </row>
    <row r="1892" spans="1:6" ht="75" customHeight="1">
      <c r="A1892" t="s">
        <v>216</v>
      </c>
      <c r="B1892" t="s">
        <v>256</v>
      </c>
      <c r="C1892" t="s">
        <v>1799</v>
      </c>
      <c r="D1892" t="s">
        <v>165</v>
      </c>
      <c r="E1892" s="4">
        <f>IF(AND('Open Questions'!$B$37&lt;&gt;"",OR(NOT(ISNUMBER('Open Questions'!$B$37)),'Open Questions'!$B$37&lt;&gt;INT('Open Questions'!$B$37),'Open Questions'!$B$37&lt;1)),"'"&amp;'Open Questions'!$B$37&amp;"' isn't a whole number of 1 or more. Question numbers are used as output folder names, so they need to be plain whole numbers.","")</f>
        <v>0</v>
      </c>
      <c r="F1892" s="4" t="s">
        <v>1800</v>
      </c>
    </row>
    <row r="1893" spans="1:6" ht="75" customHeight="1">
      <c r="A1893" t="s">
        <v>216</v>
      </c>
      <c r="B1893" t="s">
        <v>257</v>
      </c>
      <c r="C1893" t="s">
        <v>1799</v>
      </c>
      <c r="D1893" t="s">
        <v>165</v>
      </c>
      <c r="E1893" s="4">
        <f>IF(AND('Open Questions'!$B$38&lt;&gt;"",OR(NOT(ISNUMBER('Open Questions'!$B$38)),'Open Questions'!$B$38&lt;&gt;INT('Open Questions'!$B$38),'Open Questions'!$B$38&lt;1)),"'"&amp;'Open Questions'!$B$38&amp;"' isn't a whole number of 1 or more. Question numbers are used as output folder names, so they need to be plain whole numbers.","")</f>
        <v>0</v>
      </c>
      <c r="F1893" s="4" t="s">
        <v>1800</v>
      </c>
    </row>
    <row r="1894" spans="1:6" ht="75" customHeight="1">
      <c r="A1894" t="s">
        <v>216</v>
      </c>
      <c r="B1894" t="s">
        <v>258</v>
      </c>
      <c r="C1894" t="s">
        <v>1799</v>
      </c>
      <c r="D1894" t="s">
        <v>165</v>
      </c>
      <c r="E1894" s="4">
        <f>IF(AND('Open Questions'!$B$39&lt;&gt;"",OR(NOT(ISNUMBER('Open Questions'!$B$39)),'Open Questions'!$B$39&lt;&gt;INT('Open Questions'!$B$39),'Open Questions'!$B$39&lt;1)),"'"&amp;'Open Questions'!$B$39&amp;"' isn't a whole number of 1 or more. Question numbers are used as output folder names, so they need to be plain whole numbers.","")</f>
        <v>0</v>
      </c>
      <c r="F1894" s="4" t="s">
        <v>1800</v>
      </c>
    </row>
    <row r="1895" spans="1:6" ht="75" customHeight="1">
      <c r="A1895" t="s">
        <v>216</v>
      </c>
      <c r="B1895" t="s">
        <v>259</v>
      </c>
      <c r="C1895" t="s">
        <v>1799</v>
      </c>
      <c r="D1895" t="s">
        <v>165</v>
      </c>
      <c r="E1895" s="4">
        <f>IF(AND('Open Questions'!$B$40&lt;&gt;"",OR(NOT(ISNUMBER('Open Questions'!$B$40)),'Open Questions'!$B$40&lt;&gt;INT('Open Questions'!$B$40),'Open Questions'!$B$40&lt;1)),"'"&amp;'Open Questions'!$B$40&amp;"' isn't a whole number of 1 or more. Question numbers are used as output folder names, so they need to be plain whole numbers.","")</f>
        <v>0</v>
      </c>
      <c r="F1895" s="4" t="s">
        <v>1800</v>
      </c>
    </row>
    <row r="1896" spans="1:6" ht="75" customHeight="1">
      <c r="A1896" t="s">
        <v>216</v>
      </c>
      <c r="B1896" t="s">
        <v>260</v>
      </c>
      <c r="C1896" t="s">
        <v>1799</v>
      </c>
      <c r="D1896" t="s">
        <v>165</v>
      </c>
      <c r="E1896" s="4">
        <f>IF(AND('Open Questions'!$B$41&lt;&gt;"",OR(NOT(ISNUMBER('Open Questions'!$B$41)),'Open Questions'!$B$41&lt;&gt;INT('Open Questions'!$B$41),'Open Questions'!$B$41&lt;1)),"'"&amp;'Open Questions'!$B$41&amp;"' isn't a whole number of 1 or more. Question numbers are used as output folder names, so they need to be plain whole numbers.","")</f>
        <v>0</v>
      </c>
      <c r="F1896" s="4" t="s">
        <v>1800</v>
      </c>
    </row>
    <row r="1897" spans="1:6" ht="75" customHeight="1">
      <c r="A1897" t="s">
        <v>216</v>
      </c>
      <c r="B1897" t="s">
        <v>261</v>
      </c>
      <c r="C1897" t="s">
        <v>1799</v>
      </c>
      <c r="D1897" t="s">
        <v>165</v>
      </c>
      <c r="E1897" s="4">
        <f>IF(AND('Open Questions'!$B$42&lt;&gt;"",OR(NOT(ISNUMBER('Open Questions'!$B$42)),'Open Questions'!$B$42&lt;&gt;INT('Open Questions'!$B$42),'Open Questions'!$B$42&lt;1)),"'"&amp;'Open Questions'!$B$42&amp;"' isn't a whole number of 1 or more. Question numbers are used as output folder names, so they need to be plain whole numbers.","")</f>
        <v>0</v>
      </c>
      <c r="F1897" s="4" t="s">
        <v>1800</v>
      </c>
    </row>
    <row r="1898" spans="1:6" ht="75" customHeight="1">
      <c r="A1898" t="s">
        <v>216</v>
      </c>
      <c r="B1898" t="s">
        <v>262</v>
      </c>
      <c r="C1898" t="s">
        <v>1799</v>
      </c>
      <c r="D1898" t="s">
        <v>165</v>
      </c>
      <c r="E1898" s="4">
        <f>IF(AND('Open Questions'!$B$43&lt;&gt;"",OR(NOT(ISNUMBER('Open Questions'!$B$43)),'Open Questions'!$B$43&lt;&gt;INT('Open Questions'!$B$43),'Open Questions'!$B$43&lt;1)),"'"&amp;'Open Questions'!$B$43&amp;"' isn't a whole number of 1 or more. Question numbers are used as output folder names, so they need to be plain whole numbers.","")</f>
        <v>0</v>
      </c>
      <c r="F1898" s="4" t="s">
        <v>1800</v>
      </c>
    </row>
    <row r="1899" spans="1:6" ht="75" customHeight="1">
      <c r="A1899" t="s">
        <v>216</v>
      </c>
      <c r="B1899" t="s">
        <v>263</v>
      </c>
      <c r="C1899" t="s">
        <v>1799</v>
      </c>
      <c r="D1899" t="s">
        <v>165</v>
      </c>
      <c r="E1899" s="4">
        <f>IF(AND('Open Questions'!$B$44&lt;&gt;"",OR(NOT(ISNUMBER('Open Questions'!$B$44)),'Open Questions'!$B$44&lt;&gt;INT('Open Questions'!$B$44),'Open Questions'!$B$44&lt;1)),"'"&amp;'Open Questions'!$B$44&amp;"' isn't a whole number of 1 or more. Question numbers are used as output folder names, so they need to be plain whole numbers.","")</f>
        <v>0</v>
      </c>
      <c r="F1899" s="4" t="s">
        <v>1800</v>
      </c>
    </row>
    <row r="1900" spans="1:6" ht="75" customHeight="1">
      <c r="A1900" t="s">
        <v>216</v>
      </c>
      <c r="B1900" t="s">
        <v>264</v>
      </c>
      <c r="C1900" t="s">
        <v>1799</v>
      </c>
      <c r="D1900" t="s">
        <v>165</v>
      </c>
      <c r="E1900" s="4">
        <f>IF(AND('Open Questions'!$B$45&lt;&gt;"",OR(NOT(ISNUMBER('Open Questions'!$B$45)),'Open Questions'!$B$45&lt;&gt;INT('Open Questions'!$B$45),'Open Questions'!$B$45&lt;1)),"'"&amp;'Open Questions'!$B$45&amp;"' isn't a whole number of 1 or more. Question numbers are used as output folder names, so they need to be plain whole numbers.","")</f>
        <v>0</v>
      </c>
      <c r="F1900" s="4" t="s">
        <v>1800</v>
      </c>
    </row>
    <row r="1901" spans="1:6" ht="75" customHeight="1">
      <c r="A1901" t="s">
        <v>216</v>
      </c>
      <c r="B1901" t="s">
        <v>265</v>
      </c>
      <c r="C1901" t="s">
        <v>1799</v>
      </c>
      <c r="D1901" t="s">
        <v>165</v>
      </c>
      <c r="E1901" s="4">
        <f>IF(AND('Open Questions'!$B$46&lt;&gt;"",OR(NOT(ISNUMBER('Open Questions'!$B$46)),'Open Questions'!$B$46&lt;&gt;INT('Open Questions'!$B$46),'Open Questions'!$B$46&lt;1)),"'"&amp;'Open Questions'!$B$46&amp;"' isn't a whole number of 1 or more. Question numbers are used as output folder names, so they need to be plain whole numbers.","")</f>
        <v>0</v>
      </c>
      <c r="F1901" s="4" t="s">
        <v>1800</v>
      </c>
    </row>
    <row r="1902" spans="1:6" ht="75" customHeight="1">
      <c r="A1902" t="s">
        <v>216</v>
      </c>
      <c r="B1902" t="s">
        <v>266</v>
      </c>
      <c r="C1902" t="s">
        <v>1799</v>
      </c>
      <c r="D1902" t="s">
        <v>165</v>
      </c>
      <c r="E1902" s="4">
        <f>IF(AND('Open Questions'!$B$47&lt;&gt;"",OR(NOT(ISNUMBER('Open Questions'!$B$47)),'Open Questions'!$B$47&lt;&gt;INT('Open Questions'!$B$47),'Open Questions'!$B$47&lt;1)),"'"&amp;'Open Questions'!$B$47&amp;"' isn't a whole number of 1 or more. Question numbers are used as output folder names, so they need to be plain whole numbers.","")</f>
        <v>0</v>
      </c>
      <c r="F1902" s="4" t="s">
        <v>1800</v>
      </c>
    </row>
    <row r="1903" spans="1:6" ht="75" customHeight="1">
      <c r="A1903" t="s">
        <v>216</v>
      </c>
      <c r="B1903" t="s">
        <v>267</v>
      </c>
      <c r="C1903" t="s">
        <v>1799</v>
      </c>
      <c r="D1903" t="s">
        <v>165</v>
      </c>
      <c r="E1903" s="4">
        <f>IF(AND('Open Questions'!$B$48&lt;&gt;"",OR(NOT(ISNUMBER('Open Questions'!$B$48)),'Open Questions'!$B$48&lt;&gt;INT('Open Questions'!$B$48),'Open Questions'!$B$48&lt;1)),"'"&amp;'Open Questions'!$B$48&amp;"' isn't a whole number of 1 or more. Question numbers are used as output folder names, so they need to be plain whole numbers.","")</f>
        <v>0</v>
      </c>
      <c r="F1903" s="4" t="s">
        <v>1800</v>
      </c>
    </row>
    <row r="1904" spans="1:6" ht="75" customHeight="1">
      <c r="A1904" t="s">
        <v>216</v>
      </c>
      <c r="B1904" t="s">
        <v>268</v>
      </c>
      <c r="C1904" t="s">
        <v>1799</v>
      </c>
      <c r="D1904" t="s">
        <v>165</v>
      </c>
      <c r="E1904" s="4">
        <f>IF(AND('Open Questions'!$B$49&lt;&gt;"",OR(NOT(ISNUMBER('Open Questions'!$B$49)),'Open Questions'!$B$49&lt;&gt;INT('Open Questions'!$B$49),'Open Questions'!$B$49&lt;1)),"'"&amp;'Open Questions'!$B$49&amp;"' isn't a whole number of 1 or more. Question numbers are used as output folder names, so they need to be plain whole numbers.","")</f>
        <v>0</v>
      </c>
      <c r="F1904" s="4" t="s">
        <v>1800</v>
      </c>
    </row>
    <row r="1905" spans="1:6" ht="75" customHeight="1">
      <c r="A1905" t="s">
        <v>216</v>
      </c>
      <c r="B1905" t="s">
        <v>269</v>
      </c>
      <c r="C1905" t="s">
        <v>1799</v>
      </c>
      <c r="D1905" t="s">
        <v>165</v>
      </c>
      <c r="E1905" s="4">
        <f>IF(AND('Open Questions'!$B$50&lt;&gt;"",OR(NOT(ISNUMBER('Open Questions'!$B$50)),'Open Questions'!$B$50&lt;&gt;INT('Open Questions'!$B$50),'Open Questions'!$B$50&lt;1)),"'"&amp;'Open Questions'!$B$50&amp;"' isn't a whole number of 1 or more. Question numbers are used as output folder names, so they need to be plain whole numbers.","")</f>
        <v>0</v>
      </c>
      <c r="F1905" s="4" t="s">
        <v>1800</v>
      </c>
    </row>
    <row r="1906" spans="1:6" ht="75" customHeight="1">
      <c r="A1906" t="s">
        <v>216</v>
      </c>
      <c r="B1906" t="s">
        <v>270</v>
      </c>
      <c r="C1906" t="s">
        <v>1799</v>
      </c>
      <c r="D1906" t="s">
        <v>165</v>
      </c>
      <c r="E1906" s="4">
        <f>IF(AND('Open Questions'!$B$51&lt;&gt;"",OR(NOT(ISNUMBER('Open Questions'!$B$51)),'Open Questions'!$B$51&lt;&gt;INT('Open Questions'!$B$51),'Open Questions'!$B$51&lt;1)),"'"&amp;'Open Questions'!$B$51&amp;"' isn't a whole number of 1 or more. Question numbers are used as output folder names, so they need to be plain whole numbers.","")</f>
        <v>0</v>
      </c>
      <c r="F1906" s="4" t="s">
        <v>1800</v>
      </c>
    </row>
    <row r="1907" spans="1:6" ht="75" customHeight="1">
      <c r="A1907" t="s">
        <v>218</v>
      </c>
      <c r="B1907" t="s">
        <v>219</v>
      </c>
      <c r="C1907" t="s">
        <v>1799</v>
      </c>
      <c r="D1907" t="s">
        <v>165</v>
      </c>
      <c r="E1907" s="4">
        <f>IF(AND('Multiple Choice Questions'!$B$2&lt;&gt;"",OR(NOT(ISNUMBER('Multiple Choice Questions'!$B$2)),'Multiple Choice Questions'!$B$2&lt;&gt;INT('Multiple Choice Questions'!$B$2),'Multiple Choice Questions'!$B$2&lt;1)),"'"&amp;'Multiple Choice Questions'!$B$2&amp;"' isn't a whole number of 1 or more. Question numbers are used as output folder names, so they need to be plain whole numbers.","")</f>
        <v>0</v>
      </c>
      <c r="F1907" s="4" t="s">
        <v>1800</v>
      </c>
    </row>
    <row r="1908" spans="1:6" ht="75" customHeight="1">
      <c r="A1908" t="s">
        <v>218</v>
      </c>
      <c r="B1908" t="s">
        <v>222</v>
      </c>
      <c r="C1908" t="s">
        <v>1799</v>
      </c>
      <c r="D1908" t="s">
        <v>165</v>
      </c>
      <c r="E1908" s="4">
        <f>IF(AND('Multiple Choice Questions'!$B$3&lt;&gt;"",OR(NOT(ISNUMBER('Multiple Choice Questions'!$B$3)),'Multiple Choice Questions'!$B$3&lt;&gt;INT('Multiple Choice Questions'!$B$3),'Multiple Choice Questions'!$B$3&lt;1)),"'"&amp;'Multiple Choice Questions'!$B$3&amp;"' isn't a whole number of 1 or more. Question numbers are used as output folder names, so they need to be plain whole numbers.","")</f>
        <v>0</v>
      </c>
      <c r="F1908" s="4" t="s">
        <v>1800</v>
      </c>
    </row>
    <row r="1909" spans="1:6" ht="75" customHeight="1">
      <c r="A1909" t="s">
        <v>218</v>
      </c>
      <c r="B1909" t="s">
        <v>223</v>
      </c>
      <c r="C1909" t="s">
        <v>1799</v>
      </c>
      <c r="D1909" t="s">
        <v>165</v>
      </c>
      <c r="E1909" s="4">
        <f>IF(AND('Multiple Choice Questions'!$B$4&lt;&gt;"",OR(NOT(ISNUMBER('Multiple Choice Questions'!$B$4)),'Multiple Choice Questions'!$B$4&lt;&gt;INT('Multiple Choice Questions'!$B$4),'Multiple Choice Questions'!$B$4&lt;1)),"'"&amp;'Multiple Choice Questions'!$B$4&amp;"' isn't a whole number of 1 or more. Question numbers are used as output folder names, so they need to be plain whole numbers.","")</f>
        <v>0</v>
      </c>
      <c r="F1909" s="4" t="s">
        <v>1800</v>
      </c>
    </row>
    <row r="1910" spans="1:6" ht="75" customHeight="1">
      <c r="A1910" t="s">
        <v>218</v>
      </c>
      <c r="B1910" t="s">
        <v>224</v>
      </c>
      <c r="C1910" t="s">
        <v>1799</v>
      </c>
      <c r="D1910" t="s">
        <v>165</v>
      </c>
      <c r="E1910" s="4">
        <f>IF(AND('Multiple Choice Questions'!$B$5&lt;&gt;"",OR(NOT(ISNUMBER('Multiple Choice Questions'!$B$5)),'Multiple Choice Questions'!$B$5&lt;&gt;INT('Multiple Choice Questions'!$B$5),'Multiple Choice Questions'!$B$5&lt;1)),"'"&amp;'Multiple Choice Questions'!$B$5&amp;"' isn't a whole number of 1 or more. Question numbers are used as output folder names, so they need to be plain whole numbers.","")</f>
        <v>0</v>
      </c>
      <c r="F1910" s="4" t="s">
        <v>1800</v>
      </c>
    </row>
    <row r="1911" spans="1:6" ht="75" customHeight="1">
      <c r="A1911" t="s">
        <v>218</v>
      </c>
      <c r="B1911" t="s">
        <v>225</v>
      </c>
      <c r="C1911" t="s">
        <v>1799</v>
      </c>
      <c r="D1911" t="s">
        <v>165</v>
      </c>
      <c r="E1911" s="4">
        <f>IF(AND('Multiple Choice Questions'!$B$6&lt;&gt;"",OR(NOT(ISNUMBER('Multiple Choice Questions'!$B$6)),'Multiple Choice Questions'!$B$6&lt;&gt;INT('Multiple Choice Questions'!$B$6),'Multiple Choice Questions'!$B$6&lt;1)),"'"&amp;'Multiple Choice Questions'!$B$6&amp;"' isn't a whole number of 1 or more. Question numbers are used as output folder names, so they need to be plain whole numbers.","")</f>
        <v>0</v>
      </c>
      <c r="F1911" s="4" t="s">
        <v>1800</v>
      </c>
    </row>
    <row r="1912" spans="1:6" ht="75" customHeight="1">
      <c r="A1912" t="s">
        <v>218</v>
      </c>
      <c r="B1912" t="s">
        <v>226</v>
      </c>
      <c r="C1912" t="s">
        <v>1799</v>
      </c>
      <c r="D1912" t="s">
        <v>165</v>
      </c>
      <c r="E1912" s="4">
        <f>IF(AND('Multiple Choice Questions'!$B$7&lt;&gt;"",OR(NOT(ISNUMBER('Multiple Choice Questions'!$B$7)),'Multiple Choice Questions'!$B$7&lt;&gt;INT('Multiple Choice Questions'!$B$7),'Multiple Choice Questions'!$B$7&lt;1)),"'"&amp;'Multiple Choice Questions'!$B$7&amp;"' isn't a whole number of 1 or more. Question numbers are used as output folder names, so they need to be plain whole numbers.","")</f>
        <v>0</v>
      </c>
      <c r="F1912" s="4" t="s">
        <v>1800</v>
      </c>
    </row>
    <row r="1913" spans="1:6" ht="75" customHeight="1">
      <c r="A1913" t="s">
        <v>218</v>
      </c>
      <c r="B1913" t="s">
        <v>227</v>
      </c>
      <c r="C1913" t="s">
        <v>1799</v>
      </c>
      <c r="D1913" t="s">
        <v>165</v>
      </c>
      <c r="E1913" s="4">
        <f>IF(AND('Multiple Choice Questions'!$B$8&lt;&gt;"",OR(NOT(ISNUMBER('Multiple Choice Questions'!$B$8)),'Multiple Choice Questions'!$B$8&lt;&gt;INT('Multiple Choice Questions'!$B$8),'Multiple Choice Questions'!$B$8&lt;1)),"'"&amp;'Multiple Choice Questions'!$B$8&amp;"' isn't a whole number of 1 or more. Question numbers are used as output folder names, so they need to be plain whole numbers.","")</f>
        <v>0</v>
      </c>
      <c r="F1913" s="4" t="s">
        <v>1800</v>
      </c>
    </row>
    <row r="1914" spans="1:6" ht="75" customHeight="1">
      <c r="A1914" t="s">
        <v>218</v>
      </c>
      <c r="B1914" t="s">
        <v>228</v>
      </c>
      <c r="C1914" t="s">
        <v>1799</v>
      </c>
      <c r="D1914" t="s">
        <v>165</v>
      </c>
      <c r="E1914" s="4">
        <f>IF(AND('Multiple Choice Questions'!$B$9&lt;&gt;"",OR(NOT(ISNUMBER('Multiple Choice Questions'!$B$9)),'Multiple Choice Questions'!$B$9&lt;&gt;INT('Multiple Choice Questions'!$B$9),'Multiple Choice Questions'!$B$9&lt;1)),"'"&amp;'Multiple Choice Questions'!$B$9&amp;"' isn't a whole number of 1 or more. Question numbers are used as output folder names, so they need to be plain whole numbers.","")</f>
        <v>0</v>
      </c>
      <c r="F1914" s="4" t="s">
        <v>1800</v>
      </c>
    </row>
    <row r="1915" spans="1:6" ht="75" customHeight="1">
      <c r="A1915" t="s">
        <v>218</v>
      </c>
      <c r="B1915" t="s">
        <v>229</v>
      </c>
      <c r="C1915" t="s">
        <v>1799</v>
      </c>
      <c r="D1915" t="s">
        <v>165</v>
      </c>
      <c r="E1915" s="4">
        <f>IF(AND('Multiple Choice Questions'!$B$10&lt;&gt;"",OR(NOT(ISNUMBER('Multiple Choice Questions'!$B$10)),'Multiple Choice Questions'!$B$10&lt;&gt;INT('Multiple Choice Questions'!$B$10),'Multiple Choice Questions'!$B$10&lt;1)),"'"&amp;'Multiple Choice Questions'!$B$10&amp;"' isn't a whole number of 1 or more. Question numbers are used as output folder names, so they need to be plain whole numbers.","")</f>
        <v>0</v>
      </c>
      <c r="F1915" s="4" t="s">
        <v>1800</v>
      </c>
    </row>
    <row r="1916" spans="1:6" ht="75" customHeight="1">
      <c r="A1916" t="s">
        <v>218</v>
      </c>
      <c r="B1916" t="s">
        <v>230</v>
      </c>
      <c r="C1916" t="s">
        <v>1799</v>
      </c>
      <c r="D1916" t="s">
        <v>165</v>
      </c>
      <c r="E1916" s="4">
        <f>IF(AND('Multiple Choice Questions'!$B$11&lt;&gt;"",OR(NOT(ISNUMBER('Multiple Choice Questions'!$B$11)),'Multiple Choice Questions'!$B$11&lt;&gt;INT('Multiple Choice Questions'!$B$11),'Multiple Choice Questions'!$B$11&lt;1)),"'"&amp;'Multiple Choice Questions'!$B$11&amp;"' isn't a whole number of 1 or more. Question numbers are used as output folder names, so they need to be plain whole numbers.","")</f>
        <v>0</v>
      </c>
      <c r="F1916" s="4" t="s">
        <v>1800</v>
      </c>
    </row>
    <row r="1917" spans="1:6" ht="75" customHeight="1">
      <c r="A1917" t="s">
        <v>218</v>
      </c>
      <c r="B1917" t="s">
        <v>231</v>
      </c>
      <c r="C1917" t="s">
        <v>1799</v>
      </c>
      <c r="D1917" t="s">
        <v>165</v>
      </c>
      <c r="E1917" s="4">
        <f>IF(AND('Multiple Choice Questions'!$B$12&lt;&gt;"",OR(NOT(ISNUMBER('Multiple Choice Questions'!$B$12)),'Multiple Choice Questions'!$B$12&lt;&gt;INT('Multiple Choice Questions'!$B$12),'Multiple Choice Questions'!$B$12&lt;1)),"'"&amp;'Multiple Choice Questions'!$B$12&amp;"' isn't a whole number of 1 or more. Question numbers are used as output folder names, so they need to be plain whole numbers.","")</f>
        <v>0</v>
      </c>
      <c r="F1917" s="4" t="s">
        <v>1800</v>
      </c>
    </row>
    <row r="1918" spans="1:6" ht="75" customHeight="1">
      <c r="A1918" t="s">
        <v>218</v>
      </c>
      <c r="B1918" t="s">
        <v>232</v>
      </c>
      <c r="C1918" t="s">
        <v>1799</v>
      </c>
      <c r="D1918" t="s">
        <v>165</v>
      </c>
      <c r="E1918" s="4">
        <f>IF(AND('Multiple Choice Questions'!$B$13&lt;&gt;"",OR(NOT(ISNUMBER('Multiple Choice Questions'!$B$13)),'Multiple Choice Questions'!$B$13&lt;&gt;INT('Multiple Choice Questions'!$B$13),'Multiple Choice Questions'!$B$13&lt;1)),"'"&amp;'Multiple Choice Questions'!$B$13&amp;"' isn't a whole number of 1 or more. Question numbers are used as output folder names, so they need to be plain whole numbers.","")</f>
        <v>0</v>
      </c>
      <c r="F1918" s="4" t="s">
        <v>1800</v>
      </c>
    </row>
    <row r="1919" spans="1:6" ht="75" customHeight="1">
      <c r="A1919" t="s">
        <v>218</v>
      </c>
      <c r="B1919" t="s">
        <v>233</v>
      </c>
      <c r="C1919" t="s">
        <v>1799</v>
      </c>
      <c r="D1919" t="s">
        <v>165</v>
      </c>
      <c r="E1919" s="4">
        <f>IF(AND('Multiple Choice Questions'!$B$14&lt;&gt;"",OR(NOT(ISNUMBER('Multiple Choice Questions'!$B$14)),'Multiple Choice Questions'!$B$14&lt;&gt;INT('Multiple Choice Questions'!$B$14),'Multiple Choice Questions'!$B$14&lt;1)),"'"&amp;'Multiple Choice Questions'!$B$14&amp;"' isn't a whole number of 1 or more. Question numbers are used as output folder names, so they need to be plain whole numbers.","")</f>
        <v>0</v>
      </c>
      <c r="F1919" s="4" t="s">
        <v>1800</v>
      </c>
    </row>
    <row r="1920" spans="1:6" ht="75" customHeight="1">
      <c r="A1920" t="s">
        <v>218</v>
      </c>
      <c r="B1920" t="s">
        <v>234</v>
      </c>
      <c r="C1920" t="s">
        <v>1799</v>
      </c>
      <c r="D1920" t="s">
        <v>165</v>
      </c>
      <c r="E1920" s="4">
        <f>IF(AND('Multiple Choice Questions'!$B$15&lt;&gt;"",OR(NOT(ISNUMBER('Multiple Choice Questions'!$B$15)),'Multiple Choice Questions'!$B$15&lt;&gt;INT('Multiple Choice Questions'!$B$15),'Multiple Choice Questions'!$B$15&lt;1)),"'"&amp;'Multiple Choice Questions'!$B$15&amp;"' isn't a whole number of 1 or more. Question numbers are used as output folder names, so they need to be plain whole numbers.","")</f>
        <v>0</v>
      </c>
      <c r="F1920" s="4" t="s">
        <v>1800</v>
      </c>
    </row>
    <row r="1921" spans="1:6" ht="75" customHeight="1">
      <c r="A1921" t="s">
        <v>218</v>
      </c>
      <c r="B1921" t="s">
        <v>235</v>
      </c>
      <c r="C1921" t="s">
        <v>1799</v>
      </c>
      <c r="D1921" t="s">
        <v>165</v>
      </c>
      <c r="E1921" s="4">
        <f>IF(AND('Multiple Choice Questions'!$B$16&lt;&gt;"",OR(NOT(ISNUMBER('Multiple Choice Questions'!$B$16)),'Multiple Choice Questions'!$B$16&lt;&gt;INT('Multiple Choice Questions'!$B$16),'Multiple Choice Questions'!$B$16&lt;1)),"'"&amp;'Multiple Choice Questions'!$B$16&amp;"' isn't a whole number of 1 or more. Question numbers are used as output folder names, so they need to be plain whole numbers.","")</f>
        <v>0</v>
      </c>
      <c r="F1921" s="4" t="s">
        <v>1800</v>
      </c>
    </row>
    <row r="1922" spans="1:6" ht="75" customHeight="1">
      <c r="A1922" t="s">
        <v>218</v>
      </c>
      <c r="B1922" t="s">
        <v>236</v>
      </c>
      <c r="C1922" t="s">
        <v>1799</v>
      </c>
      <c r="D1922" t="s">
        <v>165</v>
      </c>
      <c r="E1922" s="4">
        <f>IF(AND('Multiple Choice Questions'!$B$17&lt;&gt;"",OR(NOT(ISNUMBER('Multiple Choice Questions'!$B$17)),'Multiple Choice Questions'!$B$17&lt;&gt;INT('Multiple Choice Questions'!$B$17),'Multiple Choice Questions'!$B$17&lt;1)),"'"&amp;'Multiple Choice Questions'!$B$17&amp;"' isn't a whole number of 1 or more. Question numbers are used as output folder names, so they need to be plain whole numbers.","")</f>
        <v>0</v>
      </c>
      <c r="F1922" s="4" t="s">
        <v>1800</v>
      </c>
    </row>
    <row r="1923" spans="1:6" ht="75" customHeight="1">
      <c r="A1923" t="s">
        <v>218</v>
      </c>
      <c r="B1923" t="s">
        <v>237</v>
      </c>
      <c r="C1923" t="s">
        <v>1799</v>
      </c>
      <c r="D1923" t="s">
        <v>165</v>
      </c>
      <c r="E1923" s="4">
        <f>IF(AND('Multiple Choice Questions'!$B$18&lt;&gt;"",OR(NOT(ISNUMBER('Multiple Choice Questions'!$B$18)),'Multiple Choice Questions'!$B$18&lt;&gt;INT('Multiple Choice Questions'!$B$18),'Multiple Choice Questions'!$B$18&lt;1)),"'"&amp;'Multiple Choice Questions'!$B$18&amp;"' isn't a whole number of 1 or more. Question numbers are used as output folder names, so they need to be plain whole numbers.","")</f>
        <v>0</v>
      </c>
      <c r="F1923" s="4" t="s">
        <v>1800</v>
      </c>
    </row>
    <row r="1924" spans="1:6" ht="75" customHeight="1">
      <c r="A1924" t="s">
        <v>218</v>
      </c>
      <c r="B1924" t="s">
        <v>238</v>
      </c>
      <c r="C1924" t="s">
        <v>1799</v>
      </c>
      <c r="D1924" t="s">
        <v>165</v>
      </c>
      <c r="E1924" s="4">
        <f>IF(AND('Multiple Choice Questions'!$B$19&lt;&gt;"",OR(NOT(ISNUMBER('Multiple Choice Questions'!$B$19)),'Multiple Choice Questions'!$B$19&lt;&gt;INT('Multiple Choice Questions'!$B$19),'Multiple Choice Questions'!$B$19&lt;1)),"'"&amp;'Multiple Choice Questions'!$B$19&amp;"' isn't a whole number of 1 or more. Question numbers are used as output folder names, so they need to be plain whole numbers.","")</f>
        <v>0</v>
      </c>
      <c r="F1924" s="4" t="s">
        <v>1800</v>
      </c>
    </row>
    <row r="1925" spans="1:6" ht="75" customHeight="1">
      <c r="A1925" t="s">
        <v>218</v>
      </c>
      <c r="B1925" t="s">
        <v>239</v>
      </c>
      <c r="C1925" t="s">
        <v>1799</v>
      </c>
      <c r="D1925" t="s">
        <v>165</v>
      </c>
      <c r="E1925" s="4">
        <f>IF(AND('Multiple Choice Questions'!$B$20&lt;&gt;"",OR(NOT(ISNUMBER('Multiple Choice Questions'!$B$20)),'Multiple Choice Questions'!$B$20&lt;&gt;INT('Multiple Choice Questions'!$B$20),'Multiple Choice Questions'!$B$20&lt;1)),"'"&amp;'Multiple Choice Questions'!$B$20&amp;"' isn't a whole number of 1 or more. Question numbers are used as output folder names, so they need to be plain whole numbers.","")</f>
        <v>0</v>
      </c>
      <c r="F1925" s="4" t="s">
        <v>1800</v>
      </c>
    </row>
    <row r="1926" spans="1:6" ht="75" customHeight="1">
      <c r="A1926" t="s">
        <v>218</v>
      </c>
      <c r="B1926" t="s">
        <v>240</v>
      </c>
      <c r="C1926" t="s">
        <v>1799</v>
      </c>
      <c r="D1926" t="s">
        <v>165</v>
      </c>
      <c r="E1926" s="4">
        <f>IF(AND('Multiple Choice Questions'!$B$21&lt;&gt;"",OR(NOT(ISNUMBER('Multiple Choice Questions'!$B$21)),'Multiple Choice Questions'!$B$21&lt;&gt;INT('Multiple Choice Questions'!$B$21),'Multiple Choice Questions'!$B$21&lt;1)),"'"&amp;'Multiple Choice Questions'!$B$21&amp;"' isn't a whole number of 1 or more. Question numbers are used as output folder names, so they need to be plain whole numbers.","")</f>
        <v>0</v>
      </c>
      <c r="F1926" s="4" t="s">
        <v>1800</v>
      </c>
    </row>
    <row r="1927" spans="1:6" ht="75" customHeight="1">
      <c r="A1927" t="s">
        <v>218</v>
      </c>
      <c r="B1927" t="s">
        <v>241</v>
      </c>
      <c r="C1927" t="s">
        <v>1799</v>
      </c>
      <c r="D1927" t="s">
        <v>165</v>
      </c>
      <c r="E1927" s="4">
        <f>IF(AND('Multiple Choice Questions'!$B$22&lt;&gt;"",OR(NOT(ISNUMBER('Multiple Choice Questions'!$B$22)),'Multiple Choice Questions'!$B$22&lt;&gt;INT('Multiple Choice Questions'!$B$22),'Multiple Choice Questions'!$B$22&lt;1)),"'"&amp;'Multiple Choice Questions'!$B$22&amp;"' isn't a whole number of 1 or more. Question numbers are used as output folder names, so they need to be plain whole numbers.","")</f>
        <v>0</v>
      </c>
      <c r="F1927" s="4" t="s">
        <v>1800</v>
      </c>
    </row>
    <row r="1928" spans="1:6" ht="75" customHeight="1">
      <c r="A1928" t="s">
        <v>218</v>
      </c>
      <c r="B1928" t="s">
        <v>242</v>
      </c>
      <c r="C1928" t="s">
        <v>1799</v>
      </c>
      <c r="D1928" t="s">
        <v>165</v>
      </c>
      <c r="E1928" s="4">
        <f>IF(AND('Multiple Choice Questions'!$B$23&lt;&gt;"",OR(NOT(ISNUMBER('Multiple Choice Questions'!$B$23)),'Multiple Choice Questions'!$B$23&lt;&gt;INT('Multiple Choice Questions'!$B$23),'Multiple Choice Questions'!$B$23&lt;1)),"'"&amp;'Multiple Choice Questions'!$B$23&amp;"' isn't a whole number of 1 or more. Question numbers are used as output folder names, so they need to be plain whole numbers.","")</f>
        <v>0</v>
      </c>
      <c r="F1928" s="4" t="s">
        <v>1800</v>
      </c>
    </row>
    <row r="1929" spans="1:6" ht="75" customHeight="1">
      <c r="A1929" t="s">
        <v>218</v>
      </c>
      <c r="B1929" t="s">
        <v>243</v>
      </c>
      <c r="C1929" t="s">
        <v>1799</v>
      </c>
      <c r="D1929" t="s">
        <v>165</v>
      </c>
      <c r="E1929" s="4">
        <f>IF(AND('Multiple Choice Questions'!$B$24&lt;&gt;"",OR(NOT(ISNUMBER('Multiple Choice Questions'!$B$24)),'Multiple Choice Questions'!$B$24&lt;&gt;INT('Multiple Choice Questions'!$B$24),'Multiple Choice Questions'!$B$24&lt;1)),"'"&amp;'Multiple Choice Questions'!$B$24&amp;"' isn't a whole number of 1 or more. Question numbers are used as output folder names, so they need to be plain whole numbers.","")</f>
        <v>0</v>
      </c>
      <c r="F1929" s="4" t="s">
        <v>1800</v>
      </c>
    </row>
    <row r="1930" spans="1:6" ht="75" customHeight="1">
      <c r="A1930" t="s">
        <v>218</v>
      </c>
      <c r="B1930" t="s">
        <v>244</v>
      </c>
      <c r="C1930" t="s">
        <v>1799</v>
      </c>
      <c r="D1930" t="s">
        <v>165</v>
      </c>
      <c r="E1930" s="4">
        <f>IF(AND('Multiple Choice Questions'!$B$25&lt;&gt;"",OR(NOT(ISNUMBER('Multiple Choice Questions'!$B$25)),'Multiple Choice Questions'!$B$25&lt;&gt;INT('Multiple Choice Questions'!$B$25),'Multiple Choice Questions'!$B$25&lt;1)),"'"&amp;'Multiple Choice Questions'!$B$25&amp;"' isn't a whole number of 1 or more. Question numbers are used as output folder names, so they need to be plain whole numbers.","")</f>
        <v>0</v>
      </c>
      <c r="F1930" s="4" t="s">
        <v>1800</v>
      </c>
    </row>
    <row r="1931" spans="1:6" ht="75" customHeight="1">
      <c r="A1931" t="s">
        <v>218</v>
      </c>
      <c r="B1931" t="s">
        <v>245</v>
      </c>
      <c r="C1931" t="s">
        <v>1799</v>
      </c>
      <c r="D1931" t="s">
        <v>165</v>
      </c>
      <c r="E1931" s="4">
        <f>IF(AND('Multiple Choice Questions'!$B$26&lt;&gt;"",OR(NOT(ISNUMBER('Multiple Choice Questions'!$B$26)),'Multiple Choice Questions'!$B$26&lt;&gt;INT('Multiple Choice Questions'!$B$26),'Multiple Choice Questions'!$B$26&lt;1)),"'"&amp;'Multiple Choice Questions'!$B$26&amp;"' isn't a whole number of 1 or more. Question numbers are used as output folder names, so they need to be plain whole numbers.","")</f>
        <v>0</v>
      </c>
      <c r="F1931" s="4" t="s">
        <v>1800</v>
      </c>
    </row>
    <row r="1932" spans="1:6" ht="75" customHeight="1">
      <c r="A1932" t="s">
        <v>218</v>
      </c>
      <c r="B1932" t="s">
        <v>246</v>
      </c>
      <c r="C1932" t="s">
        <v>1799</v>
      </c>
      <c r="D1932" t="s">
        <v>165</v>
      </c>
      <c r="E1932" s="4">
        <f>IF(AND('Multiple Choice Questions'!$B$27&lt;&gt;"",OR(NOT(ISNUMBER('Multiple Choice Questions'!$B$27)),'Multiple Choice Questions'!$B$27&lt;&gt;INT('Multiple Choice Questions'!$B$27),'Multiple Choice Questions'!$B$27&lt;1)),"'"&amp;'Multiple Choice Questions'!$B$27&amp;"' isn't a whole number of 1 or more. Question numbers are used as output folder names, so they need to be plain whole numbers.","")</f>
        <v>0</v>
      </c>
      <c r="F1932" s="4" t="s">
        <v>1800</v>
      </c>
    </row>
    <row r="1933" spans="1:6" ht="75" customHeight="1">
      <c r="A1933" t="s">
        <v>218</v>
      </c>
      <c r="B1933" t="s">
        <v>247</v>
      </c>
      <c r="C1933" t="s">
        <v>1799</v>
      </c>
      <c r="D1933" t="s">
        <v>165</v>
      </c>
      <c r="E1933" s="4">
        <f>IF(AND('Multiple Choice Questions'!$B$28&lt;&gt;"",OR(NOT(ISNUMBER('Multiple Choice Questions'!$B$28)),'Multiple Choice Questions'!$B$28&lt;&gt;INT('Multiple Choice Questions'!$B$28),'Multiple Choice Questions'!$B$28&lt;1)),"'"&amp;'Multiple Choice Questions'!$B$28&amp;"' isn't a whole number of 1 or more. Question numbers are used as output folder names, so they need to be plain whole numbers.","")</f>
        <v>0</v>
      </c>
      <c r="F1933" s="4" t="s">
        <v>1800</v>
      </c>
    </row>
    <row r="1934" spans="1:6" ht="75" customHeight="1">
      <c r="A1934" t="s">
        <v>218</v>
      </c>
      <c r="B1934" t="s">
        <v>248</v>
      </c>
      <c r="C1934" t="s">
        <v>1799</v>
      </c>
      <c r="D1934" t="s">
        <v>165</v>
      </c>
      <c r="E1934" s="4">
        <f>IF(AND('Multiple Choice Questions'!$B$29&lt;&gt;"",OR(NOT(ISNUMBER('Multiple Choice Questions'!$B$29)),'Multiple Choice Questions'!$B$29&lt;&gt;INT('Multiple Choice Questions'!$B$29),'Multiple Choice Questions'!$B$29&lt;1)),"'"&amp;'Multiple Choice Questions'!$B$29&amp;"' isn't a whole number of 1 or more. Question numbers are used as output folder names, so they need to be plain whole numbers.","")</f>
        <v>0</v>
      </c>
      <c r="F1934" s="4" t="s">
        <v>1800</v>
      </c>
    </row>
    <row r="1935" spans="1:6" ht="75" customHeight="1">
      <c r="A1935" t="s">
        <v>218</v>
      </c>
      <c r="B1935" t="s">
        <v>249</v>
      </c>
      <c r="C1935" t="s">
        <v>1799</v>
      </c>
      <c r="D1935" t="s">
        <v>165</v>
      </c>
      <c r="E1935" s="4">
        <f>IF(AND('Multiple Choice Questions'!$B$30&lt;&gt;"",OR(NOT(ISNUMBER('Multiple Choice Questions'!$B$30)),'Multiple Choice Questions'!$B$30&lt;&gt;INT('Multiple Choice Questions'!$B$30),'Multiple Choice Questions'!$B$30&lt;1)),"'"&amp;'Multiple Choice Questions'!$B$30&amp;"' isn't a whole number of 1 or more. Question numbers are used as output folder names, so they need to be plain whole numbers.","")</f>
        <v>0</v>
      </c>
      <c r="F1935" s="4" t="s">
        <v>1800</v>
      </c>
    </row>
    <row r="1936" spans="1:6" ht="75" customHeight="1">
      <c r="A1936" t="s">
        <v>218</v>
      </c>
      <c r="B1936" t="s">
        <v>250</v>
      </c>
      <c r="C1936" t="s">
        <v>1799</v>
      </c>
      <c r="D1936" t="s">
        <v>165</v>
      </c>
      <c r="E1936" s="4">
        <f>IF(AND('Multiple Choice Questions'!$B$31&lt;&gt;"",OR(NOT(ISNUMBER('Multiple Choice Questions'!$B$31)),'Multiple Choice Questions'!$B$31&lt;&gt;INT('Multiple Choice Questions'!$B$31),'Multiple Choice Questions'!$B$31&lt;1)),"'"&amp;'Multiple Choice Questions'!$B$31&amp;"' isn't a whole number of 1 or more. Question numbers are used as output folder names, so they need to be plain whole numbers.","")</f>
        <v>0</v>
      </c>
      <c r="F1936" s="4" t="s">
        <v>1800</v>
      </c>
    </row>
    <row r="1937" spans="1:6" ht="75" customHeight="1">
      <c r="A1937" t="s">
        <v>218</v>
      </c>
      <c r="B1937" t="s">
        <v>251</v>
      </c>
      <c r="C1937" t="s">
        <v>1799</v>
      </c>
      <c r="D1937" t="s">
        <v>165</v>
      </c>
      <c r="E1937" s="4">
        <f>IF(AND('Multiple Choice Questions'!$B$32&lt;&gt;"",OR(NOT(ISNUMBER('Multiple Choice Questions'!$B$32)),'Multiple Choice Questions'!$B$32&lt;&gt;INT('Multiple Choice Questions'!$B$32),'Multiple Choice Questions'!$B$32&lt;1)),"'"&amp;'Multiple Choice Questions'!$B$32&amp;"' isn't a whole number of 1 or more. Question numbers are used as output folder names, so they need to be plain whole numbers.","")</f>
        <v>0</v>
      </c>
      <c r="F1937" s="4" t="s">
        <v>1800</v>
      </c>
    </row>
    <row r="1938" spans="1:6" ht="75" customHeight="1">
      <c r="A1938" t="s">
        <v>218</v>
      </c>
      <c r="B1938" t="s">
        <v>252</v>
      </c>
      <c r="C1938" t="s">
        <v>1799</v>
      </c>
      <c r="D1938" t="s">
        <v>165</v>
      </c>
      <c r="E1938" s="4">
        <f>IF(AND('Multiple Choice Questions'!$B$33&lt;&gt;"",OR(NOT(ISNUMBER('Multiple Choice Questions'!$B$33)),'Multiple Choice Questions'!$B$33&lt;&gt;INT('Multiple Choice Questions'!$B$33),'Multiple Choice Questions'!$B$33&lt;1)),"'"&amp;'Multiple Choice Questions'!$B$33&amp;"' isn't a whole number of 1 or more. Question numbers are used as output folder names, so they need to be plain whole numbers.","")</f>
        <v>0</v>
      </c>
      <c r="F1938" s="4" t="s">
        <v>1800</v>
      </c>
    </row>
    <row r="1939" spans="1:6" ht="75" customHeight="1">
      <c r="A1939" t="s">
        <v>218</v>
      </c>
      <c r="B1939" t="s">
        <v>253</v>
      </c>
      <c r="C1939" t="s">
        <v>1799</v>
      </c>
      <c r="D1939" t="s">
        <v>165</v>
      </c>
      <c r="E1939" s="4">
        <f>IF(AND('Multiple Choice Questions'!$B$34&lt;&gt;"",OR(NOT(ISNUMBER('Multiple Choice Questions'!$B$34)),'Multiple Choice Questions'!$B$34&lt;&gt;INT('Multiple Choice Questions'!$B$34),'Multiple Choice Questions'!$B$34&lt;1)),"'"&amp;'Multiple Choice Questions'!$B$34&amp;"' isn't a whole number of 1 or more. Question numbers are used as output folder names, so they need to be plain whole numbers.","")</f>
        <v>0</v>
      </c>
      <c r="F1939" s="4" t="s">
        <v>1800</v>
      </c>
    </row>
    <row r="1940" spans="1:6" ht="75" customHeight="1">
      <c r="A1940" t="s">
        <v>218</v>
      </c>
      <c r="B1940" t="s">
        <v>254</v>
      </c>
      <c r="C1940" t="s">
        <v>1799</v>
      </c>
      <c r="D1940" t="s">
        <v>165</v>
      </c>
      <c r="E1940" s="4">
        <f>IF(AND('Multiple Choice Questions'!$B$35&lt;&gt;"",OR(NOT(ISNUMBER('Multiple Choice Questions'!$B$35)),'Multiple Choice Questions'!$B$35&lt;&gt;INT('Multiple Choice Questions'!$B$35),'Multiple Choice Questions'!$B$35&lt;1)),"'"&amp;'Multiple Choice Questions'!$B$35&amp;"' isn't a whole number of 1 or more. Question numbers are used as output folder names, so they need to be plain whole numbers.","")</f>
        <v>0</v>
      </c>
      <c r="F1940" s="4" t="s">
        <v>1800</v>
      </c>
    </row>
    <row r="1941" spans="1:6" ht="75" customHeight="1">
      <c r="A1941" t="s">
        <v>218</v>
      </c>
      <c r="B1941" t="s">
        <v>255</v>
      </c>
      <c r="C1941" t="s">
        <v>1799</v>
      </c>
      <c r="D1941" t="s">
        <v>165</v>
      </c>
      <c r="E1941" s="4">
        <f>IF(AND('Multiple Choice Questions'!$B$36&lt;&gt;"",OR(NOT(ISNUMBER('Multiple Choice Questions'!$B$36)),'Multiple Choice Questions'!$B$36&lt;&gt;INT('Multiple Choice Questions'!$B$36),'Multiple Choice Questions'!$B$36&lt;1)),"'"&amp;'Multiple Choice Questions'!$B$36&amp;"' isn't a whole number of 1 or more. Question numbers are used as output folder names, so they need to be plain whole numbers.","")</f>
        <v>0</v>
      </c>
      <c r="F1941" s="4" t="s">
        <v>1800</v>
      </c>
    </row>
    <row r="1942" spans="1:6" ht="75" customHeight="1">
      <c r="A1942" t="s">
        <v>218</v>
      </c>
      <c r="B1942" t="s">
        <v>256</v>
      </c>
      <c r="C1942" t="s">
        <v>1799</v>
      </c>
      <c r="D1942" t="s">
        <v>165</v>
      </c>
      <c r="E1942" s="4">
        <f>IF(AND('Multiple Choice Questions'!$B$37&lt;&gt;"",OR(NOT(ISNUMBER('Multiple Choice Questions'!$B$37)),'Multiple Choice Questions'!$B$37&lt;&gt;INT('Multiple Choice Questions'!$B$37),'Multiple Choice Questions'!$B$37&lt;1)),"'"&amp;'Multiple Choice Questions'!$B$37&amp;"' isn't a whole number of 1 or more. Question numbers are used as output folder names, so they need to be plain whole numbers.","")</f>
        <v>0</v>
      </c>
      <c r="F1942" s="4" t="s">
        <v>1800</v>
      </c>
    </row>
    <row r="1943" spans="1:6" ht="75" customHeight="1">
      <c r="A1943" t="s">
        <v>218</v>
      </c>
      <c r="B1943" t="s">
        <v>257</v>
      </c>
      <c r="C1943" t="s">
        <v>1799</v>
      </c>
      <c r="D1943" t="s">
        <v>165</v>
      </c>
      <c r="E1943" s="4">
        <f>IF(AND('Multiple Choice Questions'!$B$38&lt;&gt;"",OR(NOT(ISNUMBER('Multiple Choice Questions'!$B$38)),'Multiple Choice Questions'!$B$38&lt;&gt;INT('Multiple Choice Questions'!$B$38),'Multiple Choice Questions'!$B$38&lt;1)),"'"&amp;'Multiple Choice Questions'!$B$38&amp;"' isn't a whole number of 1 or more. Question numbers are used as output folder names, so they need to be plain whole numbers.","")</f>
        <v>0</v>
      </c>
      <c r="F1943" s="4" t="s">
        <v>1800</v>
      </c>
    </row>
    <row r="1944" spans="1:6" ht="75" customHeight="1">
      <c r="A1944" t="s">
        <v>218</v>
      </c>
      <c r="B1944" t="s">
        <v>258</v>
      </c>
      <c r="C1944" t="s">
        <v>1799</v>
      </c>
      <c r="D1944" t="s">
        <v>165</v>
      </c>
      <c r="E1944" s="4">
        <f>IF(AND('Multiple Choice Questions'!$B$39&lt;&gt;"",OR(NOT(ISNUMBER('Multiple Choice Questions'!$B$39)),'Multiple Choice Questions'!$B$39&lt;&gt;INT('Multiple Choice Questions'!$B$39),'Multiple Choice Questions'!$B$39&lt;1)),"'"&amp;'Multiple Choice Questions'!$B$39&amp;"' isn't a whole number of 1 or more. Question numbers are used as output folder names, so they need to be plain whole numbers.","")</f>
        <v>0</v>
      </c>
      <c r="F1944" s="4" t="s">
        <v>1800</v>
      </c>
    </row>
    <row r="1945" spans="1:6" ht="75" customHeight="1">
      <c r="A1945" t="s">
        <v>218</v>
      </c>
      <c r="B1945" t="s">
        <v>259</v>
      </c>
      <c r="C1945" t="s">
        <v>1799</v>
      </c>
      <c r="D1945" t="s">
        <v>165</v>
      </c>
      <c r="E1945" s="4">
        <f>IF(AND('Multiple Choice Questions'!$B$40&lt;&gt;"",OR(NOT(ISNUMBER('Multiple Choice Questions'!$B$40)),'Multiple Choice Questions'!$B$40&lt;&gt;INT('Multiple Choice Questions'!$B$40),'Multiple Choice Questions'!$B$40&lt;1)),"'"&amp;'Multiple Choice Questions'!$B$40&amp;"' isn't a whole number of 1 or more. Question numbers are used as output folder names, so they need to be plain whole numbers.","")</f>
        <v>0</v>
      </c>
      <c r="F1945" s="4" t="s">
        <v>1800</v>
      </c>
    </row>
    <row r="1946" spans="1:6" ht="75" customHeight="1">
      <c r="A1946" t="s">
        <v>218</v>
      </c>
      <c r="B1946" t="s">
        <v>260</v>
      </c>
      <c r="C1946" t="s">
        <v>1799</v>
      </c>
      <c r="D1946" t="s">
        <v>165</v>
      </c>
      <c r="E1946" s="4">
        <f>IF(AND('Multiple Choice Questions'!$B$41&lt;&gt;"",OR(NOT(ISNUMBER('Multiple Choice Questions'!$B$41)),'Multiple Choice Questions'!$B$41&lt;&gt;INT('Multiple Choice Questions'!$B$41),'Multiple Choice Questions'!$B$41&lt;1)),"'"&amp;'Multiple Choice Questions'!$B$41&amp;"' isn't a whole number of 1 or more. Question numbers are used as output folder names, so they need to be plain whole numbers.","")</f>
        <v>0</v>
      </c>
      <c r="F1946" s="4" t="s">
        <v>1800</v>
      </c>
    </row>
    <row r="1947" spans="1:6" ht="75" customHeight="1">
      <c r="A1947" t="s">
        <v>218</v>
      </c>
      <c r="B1947" t="s">
        <v>261</v>
      </c>
      <c r="C1947" t="s">
        <v>1799</v>
      </c>
      <c r="D1947" t="s">
        <v>165</v>
      </c>
      <c r="E1947" s="4">
        <f>IF(AND('Multiple Choice Questions'!$B$42&lt;&gt;"",OR(NOT(ISNUMBER('Multiple Choice Questions'!$B$42)),'Multiple Choice Questions'!$B$42&lt;&gt;INT('Multiple Choice Questions'!$B$42),'Multiple Choice Questions'!$B$42&lt;1)),"'"&amp;'Multiple Choice Questions'!$B$42&amp;"' isn't a whole number of 1 or more. Question numbers are used as output folder names, so they need to be plain whole numbers.","")</f>
        <v>0</v>
      </c>
      <c r="F1947" s="4" t="s">
        <v>1800</v>
      </c>
    </row>
    <row r="1948" spans="1:6" ht="75" customHeight="1">
      <c r="A1948" t="s">
        <v>218</v>
      </c>
      <c r="B1948" t="s">
        <v>262</v>
      </c>
      <c r="C1948" t="s">
        <v>1799</v>
      </c>
      <c r="D1948" t="s">
        <v>165</v>
      </c>
      <c r="E1948" s="4">
        <f>IF(AND('Multiple Choice Questions'!$B$43&lt;&gt;"",OR(NOT(ISNUMBER('Multiple Choice Questions'!$B$43)),'Multiple Choice Questions'!$B$43&lt;&gt;INT('Multiple Choice Questions'!$B$43),'Multiple Choice Questions'!$B$43&lt;1)),"'"&amp;'Multiple Choice Questions'!$B$43&amp;"' isn't a whole number of 1 or more. Question numbers are used as output folder names, so they need to be plain whole numbers.","")</f>
        <v>0</v>
      </c>
      <c r="F1948" s="4" t="s">
        <v>1800</v>
      </c>
    </row>
    <row r="1949" spans="1:6" ht="75" customHeight="1">
      <c r="A1949" t="s">
        <v>218</v>
      </c>
      <c r="B1949" t="s">
        <v>263</v>
      </c>
      <c r="C1949" t="s">
        <v>1799</v>
      </c>
      <c r="D1949" t="s">
        <v>165</v>
      </c>
      <c r="E1949" s="4">
        <f>IF(AND('Multiple Choice Questions'!$B$44&lt;&gt;"",OR(NOT(ISNUMBER('Multiple Choice Questions'!$B$44)),'Multiple Choice Questions'!$B$44&lt;&gt;INT('Multiple Choice Questions'!$B$44),'Multiple Choice Questions'!$B$44&lt;1)),"'"&amp;'Multiple Choice Questions'!$B$44&amp;"' isn't a whole number of 1 or more. Question numbers are used as output folder names, so they need to be plain whole numbers.","")</f>
        <v>0</v>
      </c>
      <c r="F1949" s="4" t="s">
        <v>1800</v>
      </c>
    </row>
    <row r="1950" spans="1:6" ht="75" customHeight="1">
      <c r="A1950" t="s">
        <v>218</v>
      </c>
      <c r="B1950" t="s">
        <v>264</v>
      </c>
      <c r="C1950" t="s">
        <v>1799</v>
      </c>
      <c r="D1950" t="s">
        <v>165</v>
      </c>
      <c r="E1950" s="4">
        <f>IF(AND('Multiple Choice Questions'!$B$45&lt;&gt;"",OR(NOT(ISNUMBER('Multiple Choice Questions'!$B$45)),'Multiple Choice Questions'!$B$45&lt;&gt;INT('Multiple Choice Questions'!$B$45),'Multiple Choice Questions'!$B$45&lt;1)),"'"&amp;'Multiple Choice Questions'!$B$45&amp;"' isn't a whole number of 1 or more. Question numbers are used as output folder names, so they need to be plain whole numbers.","")</f>
        <v>0</v>
      </c>
      <c r="F1950" s="4" t="s">
        <v>1800</v>
      </c>
    </row>
    <row r="1951" spans="1:6" ht="75" customHeight="1">
      <c r="A1951" t="s">
        <v>218</v>
      </c>
      <c r="B1951" t="s">
        <v>265</v>
      </c>
      <c r="C1951" t="s">
        <v>1799</v>
      </c>
      <c r="D1951" t="s">
        <v>165</v>
      </c>
      <c r="E1951" s="4">
        <f>IF(AND('Multiple Choice Questions'!$B$46&lt;&gt;"",OR(NOT(ISNUMBER('Multiple Choice Questions'!$B$46)),'Multiple Choice Questions'!$B$46&lt;&gt;INT('Multiple Choice Questions'!$B$46),'Multiple Choice Questions'!$B$46&lt;1)),"'"&amp;'Multiple Choice Questions'!$B$46&amp;"' isn't a whole number of 1 or more. Question numbers are used as output folder names, so they need to be plain whole numbers.","")</f>
        <v>0</v>
      </c>
      <c r="F1951" s="4" t="s">
        <v>1800</v>
      </c>
    </row>
    <row r="1952" spans="1:6" ht="75" customHeight="1">
      <c r="A1952" t="s">
        <v>218</v>
      </c>
      <c r="B1952" t="s">
        <v>266</v>
      </c>
      <c r="C1952" t="s">
        <v>1799</v>
      </c>
      <c r="D1952" t="s">
        <v>165</v>
      </c>
      <c r="E1952" s="4">
        <f>IF(AND('Multiple Choice Questions'!$B$47&lt;&gt;"",OR(NOT(ISNUMBER('Multiple Choice Questions'!$B$47)),'Multiple Choice Questions'!$B$47&lt;&gt;INT('Multiple Choice Questions'!$B$47),'Multiple Choice Questions'!$B$47&lt;1)),"'"&amp;'Multiple Choice Questions'!$B$47&amp;"' isn't a whole number of 1 or more. Question numbers are used as output folder names, so they need to be plain whole numbers.","")</f>
        <v>0</v>
      </c>
      <c r="F1952" s="4" t="s">
        <v>1800</v>
      </c>
    </row>
    <row r="1953" spans="1:6" ht="75" customHeight="1">
      <c r="A1953" t="s">
        <v>218</v>
      </c>
      <c r="B1953" t="s">
        <v>267</v>
      </c>
      <c r="C1953" t="s">
        <v>1799</v>
      </c>
      <c r="D1953" t="s">
        <v>165</v>
      </c>
      <c r="E1953" s="4">
        <f>IF(AND('Multiple Choice Questions'!$B$48&lt;&gt;"",OR(NOT(ISNUMBER('Multiple Choice Questions'!$B$48)),'Multiple Choice Questions'!$B$48&lt;&gt;INT('Multiple Choice Questions'!$B$48),'Multiple Choice Questions'!$B$48&lt;1)),"'"&amp;'Multiple Choice Questions'!$B$48&amp;"' isn't a whole number of 1 or more. Question numbers are used as output folder names, so they need to be plain whole numbers.","")</f>
        <v>0</v>
      </c>
      <c r="F1953" s="4" t="s">
        <v>1800</v>
      </c>
    </row>
    <row r="1954" spans="1:6" ht="75" customHeight="1">
      <c r="A1954" t="s">
        <v>218</v>
      </c>
      <c r="B1954" t="s">
        <v>268</v>
      </c>
      <c r="C1954" t="s">
        <v>1799</v>
      </c>
      <c r="D1954" t="s">
        <v>165</v>
      </c>
      <c r="E1954" s="4">
        <f>IF(AND('Multiple Choice Questions'!$B$49&lt;&gt;"",OR(NOT(ISNUMBER('Multiple Choice Questions'!$B$49)),'Multiple Choice Questions'!$B$49&lt;&gt;INT('Multiple Choice Questions'!$B$49),'Multiple Choice Questions'!$B$49&lt;1)),"'"&amp;'Multiple Choice Questions'!$B$49&amp;"' isn't a whole number of 1 or more. Question numbers are used as output folder names, so they need to be plain whole numbers.","")</f>
        <v>0</v>
      </c>
      <c r="F1954" s="4" t="s">
        <v>1800</v>
      </c>
    </row>
    <row r="1955" spans="1:6" ht="75" customHeight="1">
      <c r="A1955" t="s">
        <v>218</v>
      </c>
      <c r="B1955" t="s">
        <v>269</v>
      </c>
      <c r="C1955" t="s">
        <v>1799</v>
      </c>
      <c r="D1955" t="s">
        <v>165</v>
      </c>
      <c r="E1955" s="4">
        <f>IF(AND('Multiple Choice Questions'!$B$50&lt;&gt;"",OR(NOT(ISNUMBER('Multiple Choice Questions'!$B$50)),'Multiple Choice Questions'!$B$50&lt;&gt;INT('Multiple Choice Questions'!$B$50),'Multiple Choice Questions'!$B$50&lt;1)),"'"&amp;'Multiple Choice Questions'!$B$50&amp;"' isn't a whole number of 1 or more. Question numbers are used as output folder names, so they need to be plain whole numbers.","")</f>
        <v>0</v>
      </c>
      <c r="F1955" s="4" t="s">
        <v>1800</v>
      </c>
    </row>
    <row r="1956" spans="1:6" ht="75" customHeight="1">
      <c r="A1956" t="s">
        <v>218</v>
      </c>
      <c r="B1956" t="s">
        <v>270</v>
      </c>
      <c r="C1956" t="s">
        <v>1799</v>
      </c>
      <c r="D1956" t="s">
        <v>165</v>
      </c>
      <c r="E1956" s="4">
        <f>IF(AND('Multiple Choice Questions'!$B$51&lt;&gt;"",OR(NOT(ISNUMBER('Multiple Choice Questions'!$B$51)),'Multiple Choice Questions'!$B$51&lt;&gt;INT('Multiple Choice Questions'!$B$51),'Multiple Choice Questions'!$B$51&lt;1)),"'"&amp;'Multiple Choice Questions'!$B$51&amp;"' isn't a whole number of 1 or more. Question numbers are used as output folder names, so they need to be plain whole numbers.","")</f>
        <v>0</v>
      </c>
      <c r="F1956" s="4" t="s">
        <v>1800</v>
      </c>
    </row>
    <row r="1957" spans="1:6" ht="75" customHeight="1">
      <c r="A1957" t="s">
        <v>271</v>
      </c>
      <c r="B1957" t="s">
        <v>219</v>
      </c>
      <c r="C1957" t="s">
        <v>1799</v>
      </c>
      <c r="D1957" t="s">
        <v>165</v>
      </c>
      <c r="E1957" s="4">
        <f>IF(AND('Hybrid Questions'!$B$2&lt;&gt;"",OR(NOT(ISNUMBER('Hybrid Questions'!$B$2)),'Hybrid Questions'!$B$2&lt;&gt;INT('Hybrid Questions'!$B$2),'Hybrid Questions'!$B$2&lt;1)),"'"&amp;'Hybrid Questions'!$B$2&amp;"' isn't a whole number of 1 or more. Question numbers are used as output folder names, so they need to be plain whole numbers.","")</f>
        <v>0</v>
      </c>
      <c r="F1957" s="4" t="s">
        <v>1800</v>
      </c>
    </row>
    <row r="1958" spans="1:6" ht="75" customHeight="1">
      <c r="A1958" t="s">
        <v>271</v>
      </c>
      <c r="B1958" t="s">
        <v>222</v>
      </c>
      <c r="C1958" t="s">
        <v>1799</v>
      </c>
      <c r="D1958" t="s">
        <v>165</v>
      </c>
      <c r="E1958" s="4">
        <f>IF(AND('Hybrid Questions'!$B$3&lt;&gt;"",OR(NOT(ISNUMBER('Hybrid Questions'!$B$3)),'Hybrid Questions'!$B$3&lt;&gt;INT('Hybrid Questions'!$B$3),'Hybrid Questions'!$B$3&lt;1)),"'"&amp;'Hybrid Questions'!$B$3&amp;"' isn't a whole number of 1 or more. Question numbers are used as output folder names, so they need to be plain whole numbers.","")</f>
        <v>0</v>
      </c>
      <c r="F1958" s="4" t="s">
        <v>1800</v>
      </c>
    </row>
    <row r="1959" spans="1:6" ht="75" customHeight="1">
      <c r="A1959" t="s">
        <v>271</v>
      </c>
      <c r="B1959" t="s">
        <v>223</v>
      </c>
      <c r="C1959" t="s">
        <v>1799</v>
      </c>
      <c r="D1959" t="s">
        <v>165</v>
      </c>
      <c r="E1959" s="4">
        <f>IF(AND('Hybrid Questions'!$B$4&lt;&gt;"",OR(NOT(ISNUMBER('Hybrid Questions'!$B$4)),'Hybrid Questions'!$B$4&lt;&gt;INT('Hybrid Questions'!$B$4),'Hybrid Questions'!$B$4&lt;1)),"'"&amp;'Hybrid Questions'!$B$4&amp;"' isn't a whole number of 1 or more. Question numbers are used as output folder names, so they need to be plain whole numbers.","")</f>
        <v>0</v>
      </c>
      <c r="F1959" s="4" t="s">
        <v>1800</v>
      </c>
    </row>
    <row r="1960" spans="1:6" ht="75" customHeight="1">
      <c r="A1960" t="s">
        <v>271</v>
      </c>
      <c r="B1960" t="s">
        <v>224</v>
      </c>
      <c r="C1960" t="s">
        <v>1799</v>
      </c>
      <c r="D1960" t="s">
        <v>165</v>
      </c>
      <c r="E1960" s="4">
        <f>IF(AND('Hybrid Questions'!$B$5&lt;&gt;"",OR(NOT(ISNUMBER('Hybrid Questions'!$B$5)),'Hybrid Questions'!$B$5&lt;&gt;INT('Hybrid Questions'!$B$5),'Hybrid Questions'!$B$5&lt;1)),"'"&amp;'Hybrid Questions'!$B$5&amp;"' isn't a whole number of 1 or more. Question numbers are used as output folder names, so they need to be plain whole numbers.","")</f>
        <v>0</v>
      </c>
      <c r="F1960" s="4" t="s">
        <v>1800</v>
      </c>
    </row>
    <row r="1961" spans="1:6" ht="75" customHeight="1">
      <c r="A1961" t="s">
        <v>271</v>
      </c>
      <c r="B1961" t="s">
        <v>225</v>
      </c>
      <c r="C1961" t="s">
        <v>1799</v>
      </c>
      <c r="D1961" t="s">
        <v>165</v>
      </c>
      <c r="E1961" s="4">
        <f>IF(AND('Hybrid Questions'!$B$6&lt;&gt;"",OR(NOT(ISNUMBER('Hybrid Questions'!$B$6)),'Hybrid Questions'!$B$6&lt;&gt;INT('Hybrid Questions'!$B$6),'Hybrid Questions'!$B$6&lt;1)),"'"&amp;'Hybrid Questions'!$B$6&amp;"' isn't a whole number of 1 or more. Question numbers are used as output folder names, so they need to be plain whole numbers.","")</f>
        <v>0</v>
      </c>
      <c r="F1961" s="4" t="s">
        <v>1800</v>
      </c>
    </row>
    <row r="1962" spans="1:6" ht="75" customHeight="1">
      <c r="A1962" t="s">
        <v>271</v>
      </c>
      <c r="B1962" t="s">
        <v>226</v>
      </c>
      <c r="C1962" t="s">
        <v>1799</v>
      </c>
      <c r="D1962" t="s">
        <v>165</v>
      </c>
      <c r="E1962" s="4">
        <f>IF(AND('Hybrid Questions'!$B$7&lt;&gt;"",OR(NOT(ISNUMBER('Hybrid Questions'!$B$7)),'Hybrid Questions'!$B$7&lt;&gt;INT('Hybrid Questions'!$B$7),'Hybrid Questions'!$B$7&lt;1)),"'"&amp;'Hybrid Questions'!$B$7&amp;"' isn't a whole number of 1 or more. Question numbers are used as output folder names, so they need to be plain whole numbers.","")</f>
        <v>0</v>
      </c>
      <c r="F1962" s="4" t="s">
        <v>1800</v>
      </c>
    </row>
    <row r="1963" spans="1:6" ht="75" customHeight="1">
      <c r="A1963" t="s">
        <v>271</v>
      </c>
      <c r="B1963" t="s">
        <v>227</v>
      </c>
      <c r="C1963" t="s">
        <v>1799</v>
      </c>
      <c r="D1963" t="s">
        <v>165</v>
      </c>
      <c r="E1963" s="4">
        <f>IF(AND('Hybrid Questions'!$B$8&lt;&gt;"",OR(NOT(ISNUMBER('Hybrid Questions'!$B$8)),'Hybrid Questions'!$B$8&lt;&gt;INT('Hybrid Questions'!$B$8),'Hybrid Questions'!$B$8&lt;1)),"'"&amp;'Hybrid Questions'!$B$8&amp;"' isn't a whole number of 1 or more. Question numbers are used as output folder names, so they need to be plain whole numbers.","")</f>
        <v>0</v>
      </c>
      <c r="F1963" s="4" t="s">
        <v>1800</v>
      </c>
    </row>
    <row r="1964" spans="1:6" ht="75" customHeight="1">
      <c r="A1964" t="s">
        <v>271</v>
      </c>
      <c r="B1964" t="s">
        <v>228</v>
      </c>
      <c r="C1964" t="s">
        <v>1799</v>
      </c>
      <c r="D1964" t="s">
        <v>165</v>
      </c>
      <c r="E1964" s="4">
        <f>IF(AND('Hybrid Questions'!$B$9&lt;&gt;"",OR(NOT(ISNUMBER('Hybrid Questions'!$B$9)),'Hybrid Questions'!$B$9&lt;&gt;INT('Hybrid Questions'!$B$9),'Hybrid Questions'!$B$9&lt;1)),"'"&amp;'Hybrid Questions'!$B$9&amp;"' isn't a whole number of 1 or more. Question numbers are used as output folder names, so they need to be plain whole numbers.","")</f>
        <v>0</v>
      </c>
      <c r="F1964" s="4" t="s">
        <v>1800</v>
      </c>
    </row>
    <row r="1965" spans="1:6" ht="75" customHeight="1">
      <c r="A1965" t="s">
        <v>271</v>
      </c>
      <c r="B1965" t="s">
        <v>229</v>
      </c>
      <c r="C1965" t="s">
        <v>1799</v>
      </c>
      <c r="D1965" t="s">
        <v>165</v>
      </c>
      <c r="E1965" s="4">
        <f>IF(AND('Hybrid Questions'!$B$10&lt;&gt;"",OR(NOT(ISNUMBER('Hybrid Questions'!$B$10)),'Hybrid Questions'!$B$10&lt;&gt;INT('Hybrid Questions'!$B$10),'Hybrid Questions'!$B$10&lt;1)),"'"&amp;'Hybrid Questions'!$B$10&amp;"' isn't a whole number of 1 or more. Question numbers are used as output folder names, so they need to be plain whole numbers.","")</f>
        <v>0</v>
      </c>
      <c r="F1965" s="4" t="s">
        <v>1800</v>
      </c>
    </row>
    <row r="1966" spans="1:6" ht="75" customHeight="1">
      <c r="A1966" t="s">
        <v>271</v>
      </c>
      <c r="B1966" t="s">
        <v>230</v>
      </c>
      <c r="C1966" t="s">
        <v>1799</v>
      </c>
      <c r="D1966" t="s">
        <v>165</v>
      </c>
      <c r="E1966" s="4">
        <f>IF(AND('Hybrid Questions'!$B$11&lt;&gt;"",OR(NOT(ISNUMBER('Hybrid Questions'!$B$11)),'Hybrid Questions'!$B$11&lt;&gt;INT('Hybrid Questions'!$B$11),'Hybrid Questions'!$B$11&lt;1)),"'"&amp;'Hybrid Questions'!$B$11&amp;"' isn't a whole number of 1 or more. Question numbers are used as output folder names, so they need to be plain whole numbers.","")</f>
        <v>0</v>
      </c>
      <c r="F1966" s="4" t="s">
        <v>1800</v>
      </c>
    </row>
    <row r="1967" spans="1:6" ht="75" customHeight="1">
      <c r="A1967" t="s">
        <v>271</v>
      </c>
      <c r="B1967" t="s">
        <v>231</v>
      </c>
      <c r="C1967" t="s">
        <v>1799</v>
      </c>
      <c r="D1967" t="s">
        <v>165</v>
      </c>
      <c r="E1967" s="4">
        <f>IF(AND('Hybrid Questions'!$B$12&lt;&gt;"",OR(NOT(ISNUMBER('Hybrid Questions'!$B$12)),'Hybrid Questions'!$B$12&lt;&gt;INT('Hybrid Questions'!$B$12),'Hybrid Questions'!$B$12&lt;1)),"'"&amp;'Hybrid Questions'!$B$12&amp;"' isn't a whole number of 1 or more. Question numbers are used as output folder names, so they need to be plain whole numbers.","")</f>
        <v>0</v>
      </c>
      <c r="F1967" s="4" t="s">
        <v>1800</v>
      </c>
    </row>
    <row r="1968" spans="1:6" ht="75" customHeight="1">
      <c r="A1968" t="s">
        <v>271</v>
      </c>
      <c r="B1968" t="s">
        <v>232</v>
      </c>
      <c r="C1968" t="s">
        <v>1799</v>
      </c>
      <c r="D1968" t="s">
        <v>165</v>
      </c>
      <c r="E1968" s="4">
        <f>IF(AND('Hybrid Questions'!$B$13&lt;&gt;"",OR(NOT(ISNUMBER('Hybrid Questions'!$B$13)),'Hybrid Questions'!$B$13&lt;&gt;INT('Hybrid Questions'!$B$13),'Hybrid Questions'!$B$13&lt;1)),"'"&amp;'Hybrid Questions'!$B$13&amp;"' isn't a whole number of 1 or more. Question numbers are used as output folder names, so they need to be plain whole numbers.","")</f>
        <v>0</v>
      </c>
      <c r="F1968" s="4" t="s">
        <v>1800</v>
      </c>
    </row>
    <row r="1969" spans="1:6" ht="75" customHeight="1">
      <c r="A1969" t="s">
        <v>271</v>
      </c>
      <c r="B1969" t="s">
        <v>233</v>
      </c>
      <c r="C1969" t="s">
        <v>1799</v>
      </c>
      <c r="D1969" t="s">
        <v>165</v>
      </c>
      <c r="E1969" s="4">
        <f>IF(AND('Hybrid Questions'!$B$14&lt;&gt;"",OR(NOT(ISNUMBER('Hybrid Questions'!$B$14)),'Hybrid Questions'!$B$14&lt;&gt;INT('Hybrid Questions'!$B$14),'Hybrid Questions'!$B$14&lt;1)),"'"&amp;'Hybrid Questions'!$B$14&amp;"' isn't a whole number of 1 or more. Question numbers are used as output folder names, so they need to be plain whole numbers.","")</f>
        <v>0</v>
      </c>
      <c r="F1969" s="4" t="s">
        <v>1800</v>
      </c>
    </row>
    <row r="1970" spans="1:6" ht="75" customHeight="1">
      <c r="A1970" t="s">
        <v>271</v>
      </c>
      <c r="B1970" t="s">
        <v>234</v>
      </c>
      <c r="C1970" t="s">
        <v>1799</v>
      </c>
      <c r="D1970" t="s">
        <v>165</v>
      </c>
      <c r="E1970" s="4">
        <f>IF(AND('Hybrid Questions'!$B$15&lt;&gt;"",OR(NOT(ISNUMBER('Hybrid Questions'!$B$15)),'Hybrid Questions'!$B$15&lt;&gt;INT('Hybrid Questions'!$B$15),'Hybrid Questions'!$B$15&lt;1)),"'"&amp;'Hybrid Questions'!$B$15&amp;"' isn't a whole number of 1 or more. Question numbers are used as output folder names, so they need to be plain whole numbers.","")</f>
        <v>0</v>
      </c>
      <c r="F1970" s="4" t="s">
        <v>1800</v>
      </c>
    </row>
    <row r="1971" spans="1:6" ht="75" customHeight="1">
      <c r="A1971" t="s">
        <v>271</v>
      </c>
      <c r="B1971" t="s">
        <v>235</v>
      </c>
      <c r="C1971" t="s">
        <v>1799</v>
      </c>
      <c r="D1971" t="s">
        <v>165</v>
      </c>
      <c r="E1971" s="4">
        <f>IF(AND('Hybrid Questions'!$B$16&lt;&gt;"",OR(NOT(ISNUMBER('Hybrid Questions'!$B$16)),'Hybrid Questions'!$B$16&lt;&gt;INT('Hybrid Questions'!$B$16),'Hybrid Questions'!$B$16&lt;1)),"'"&amp;'Hybrid Questions'!$B$16&amp;"' isn't a whole number of 1 or more. Question numbers are used as output folder names, so they need to be plain whole numbers.","")</f>
        <v>0</v>
      </c>
      <c r="F1971" s="4" t="s">
        <v>1800</v>
      </c>
    </row>
    <row r="1972" spans="1:6" ht="75" customHeight="1">
      <c r="A1972" t="s">
        <v>271</v>
      </c>
      <c r="B1972" t="s">
        <v>236</v>
      </c>
      <c r="C1972" t="s">
        <v>1799</v>
      </c>
      <c r="D1972" t="s">
        <v>165</v>
      </c>
      <c r="E1972" s="4">
        <f>IF(AND('Hybrid Questions'!$B$17&lt;&gt;"",OR(NOT(ISNUMBER('Hybrid Questions'!$B$17)),'Hybrid Questions'!$B$17&lt;&gt;INT('Hybrid Questions'!$B$17),'Hybrid Questions'!$B$17&lt;1)),"'"&amp;'Hybrid Questions'!$B$17&amp;"' isn't a whole number of 1 or more. Question numbers are used as output folder names, so they need to be plain whole numbers.","")</f>
        <v>0</v>
      </c>
      <c r="F1972" s="4" t="s">
        <v>1800</v>
      </c>
    </row>
    <row r="1973" spans="1:6" ht="75" customHeight="1">
      <c r="A1973" t="s">
        <v>271</v>
      </c>
      <c r="B1973" t="s">
        <v>237</v>
      </c>
      <c r="C1973" t="s">
        <v>1799</v>
      </c>
      <c r="D1973" t="s">
        <v>165</v>
      </c>
      <c r="E1973" s="4">
        <f>IF(AND('Hybrid Questions'!$B$18&lt;&gt;"",OR(NOT(ISNUMBER('Hybrid Questions'!$B$18)),'Hybrid Questions'!$B$18&lt;&gt;INT('Hybrid Questions'!$B$18),'Hybrid Questions'!$B$18&lt;1)),"'"&amp;'Hybrid Questions'!$B$18&amp;"' isn't a whole number of 1 or more. Question numbers are used as output folder names, so they need to be plain whole numbers.","")</f>
        <v>0</v>
      </c>
      <c r="F1973" s="4" t="s">
        <v>1800</v>
      </c>
    </row>
    <row r="1974" spans="1:6" ht="75" customHeight="1">
      <c r="A1974" t="s">
        <v>271</v>
      </c>
      <c r="B1974" t="s">
        <v>238</v>
      </c>
      <c r="C1974" t="s">
        <v>1799</v>
      </c>
      <c r="D1974" t="s">
        <v>165</v>
      </c>
      <c r="E1974" s="4">
        <f>IF(AND('Hybrid Questions'!$B$19&lt;&gt;"",OR(NOT(ISNUMBER('Hybrid Questions'!$B$19)),'Hybrid Questions'!$B$19&lt;&gt;INT('Hybrid Questions'!$B$19),'Hybrid Questions'!$B$19&lt;1)),"'"&amp;'Hybrid Questions'!$B$19&amp;"' isn't a whole number of 1 or more. Question numbers are used as output folder names, so they need to be plain whole numbers.","")</f>
        <v>0</v>
      </c>
      <c r="F1974" s="4" t="s">
        <v>1800</v>
      </c>
    </row>
    <row r="1975" spans="1:6" ht="75" customHeight="1">
      <c r="A1975" t="s">
        <v>271</v>
      </c>
      <c r="B1975" t="s">
        <v>239</v>
      </c>
      <c r="C1975" t="s">
        <v>1799</v>
      </c>
      <c r="D1975" t="s">
        <v>165</v>
      </c>
      <c r="E1975" s="4">
        <f>IF(AND('Hybrid Questions'!$B$20&lt;&gt;"",OR(NOT(ISNUMBER('Hybrid Questions'!$B$20)),'Hybrid Questions'!$B$20&lt;&gt;INT('Hybrid Questions'!$B$20),'Hybrid Questions'!$B$20&lt;1)),"'"&amp;'Hybrid Questions'!$B$20&amp;"' isn't a whole number of 1 or more. Question numbers are used as output folder names, so they need to be plain whole numbers.","")</f>
        <v>0</v>
      </c>
      <c r="F1975" s="4" t="s">
        <v>1800</v>
      </c>
    </row>
    <row r="1976" spans="1:6" ht="75" customHeight="1">
      <c r="A1976" t="s">
        <v>271</v>
      </c>
      <c r="B1976" t="s">
        <v>240</v>
      </c>
      <c r="C1976" t="s">
        <v>1799</v>
      </c>
      <c r="D1976" t="s">
        <v>165</v>
      </c>
      <c r="E1976" s="4">
        <f>IF(AND('Hybrid Questions'!$B$21&lt;&gt;"",OR(NOT(ISNUMBER('Hybrid Questions'!$B$21)),'Hybrid Questions'!$B$21&lt;&gt;INT('Hybrid Questions'!$B$21),'Hybrid Questions'!$B$21&lt;1)),"'"&amp;'Hybrid Questions'!$B$21&amp;"' isn't a whole number of 1 or more. Question numbers are used as output folder names, so they need to be plain whole numbers.","")</f>
        <v>0</v>
      </c>
      <c r="F1976" s="4" t="s">
        <v>1800</v>
      </c>
    </row>
    <row r="1977" spans="1:6" ht="75" customHeight="1">
      <c r="A1977" t="s">
        <v>271</v>
      </c>
      <c r="B1977" t="s">
        <v>241</v>
      </c>
      <c r="C1977" t="s">
        <v>1799</v>
      </c>
      <c r="D1977" t="s">
        <v>165</v>
      </c>
      <c r="E1977" s="4">
        <f>IF(AND('Hybrid Questions'!$B$22&lt;&gt;"",OR(NOT(ISNUMBER('Hybrid Questions'!$B$22)),'Hybrid Questions'!$B$22&lt;&gt;INT('Hybrid Questions'!$B$22),'Hybrid Questions'!$B$22&lt;1)),"'"&amp;'Hybrid Questions'!$B$22&amp;"' isn't a whole number of 1 or more. Question numbers are used as output folder names, so they need to be plain whole numbers.","")</f>
        <v>0</v>
      </c>
      <c r="F1977" s="4" t="s">
        <v>1800</v>
      </c>
    </row>
    <row r="1978" spans="1:6" ht="75" customHeight="1">
      <c r="A1978" t="s">
        <v>271</v>
      </c>
      <c r="B1978" t="s">
        <v>242</v>
      </c>
      <c r="C1978" t="s">
        <v>1799</v>
      </c>
      <c r="D1978" t="s">
        <v>165</v>
      </c>
      <c r="E1978" s="4">
        <f>IF(AND('Hybrid Questions'!$B$23&lt;&gt;"",OR(NOT(ISNUMBER('Hybrid Questions'!$B$23)),'Hybrid Questions'!$B$23&lt;&gt;INT('Hybrid Questions'!$B$23),'Hybrid Questions'!$B$23&lt;1)),"'"&amp;'Hybrid Questions'!$B$23&amp;"' isn't a whole number of 1 or more. Question numbers are used as output folder names, so they need to be plain whole numbers.","")</f>
        <v>0</v>
      </c>
      <c r="F1978" s="4" t="s">
        <v>1800</v>
      </c>
    </row>
    <row r="1979" spans="1:6" ht="75" customHeight="1">
      <c r="A1979" t="s">
        <v>271</v>
      </c>
      <c r="B1979" t="s">
        <v>243</v>
      </c>
      <c r="C1979" t="s">
        <v>1799</v>
      </c>
      <c r="D1979" t="s">
        <v>165</v>
      </c>
      <c r="E1979" s="4">
        <f>IF(AND('Hybrid Questions'!$B$24&lt;&gt;"",OR(NOT(ISNUMBER('Hybrid Questions'!$B$24)),'Hybrid Questions'!$B$24&lt;&gt;INT('Hybrid Questions'!$B$24),'Hybrid Questions'!$B$24&lt;1)),"'"&amp;'Hybrid Questions'!$B$24&amp;"' isn't a whole number of 1 or more. Question numbers are used as output folder names, so they need to be plain whole numbers.","")</f>
        <v>0</v>
      </c>
      <c r="F1979" s="4" t="s">
        <v>1800</v>
      </c>
    </row>
    <row r="1980" spans="1:6" ht="75" customHeight="1">
      <c r="A1980" t="s">
        <v>271</v>
      </c>
      <c r="B1980" t="s">
        <v>244</v>
      </c>
      <c r="C1980" t="s">
        <v>1799</v>
      </c>
      <c r="D1980" t="s">
        <v>165</v>
      </c>
      <c r="E1980" s="4">
        <f>IF(AND('Hybrid Questions'!$B$25&lt;&gt;"",OR(NOT(ISNUMBER('Hybrid Questions'!$B$25)),'Hybrid Questions'!$B$25&lt;&gt;INT('Hybrid Questions'!$B$25),'Hybrid Questions'!$B$25&lt;1)),"'"&amp;'Hybrid Questions'!$B$25&amp;"' isn't a whole number of 1 or more. Question numbers are used as output folder names, so they need to be plain whole numbers.","")</f>
        <v>0</v>
      </c>
      <c r="F1980" s="4" t="s">
        <v>1800</v>
      </c>
    </row>
    <row r="1981" spans="1:6" ht="75" customHeight="1">
      <c r="A1981" t="s">
        <v>271</v>
      </c>
      <c r="B1981" t="s">
        <v>245</v>
      </c>
      <c r="C1981" t="s">
        <v>1799</v>
      </c>
      <c r="D1981" t="s">
        <v>165</v>
      </c>
      <c r="E1981" s="4">
        <f>IF(AND('Hybrid Questions'!$B$26&lt;&gt;"",OR(NOT(ISNUMBER('Hybrid Questions'!$B$26)),'Hybrid Questions'!$B$26&lt;&gt;INT('Hybrid Questions'!$B$26),'Hybrid Questions'!$B$26&lt;1)),"'"&amp;'Hybrid Questions'!$B$26&amp;"' isn't a whole number of 1 or more. Question numbers are used as output folder names, so they need to be plain whole numbers.","")</f>
        <v>0</v>
      </c>
      <c r="F1981" s="4" t="s">
        <v>1800</v>
      </c>
    </row>
    <row r="1982" spans="1:6" ht="75" customHeight="1">
      <c r="A1982" t="s">
        <v>271</v>
      </c>
      <c r="B1982" t="s">
        <v>246</v>
      </c>
      <c r="C1982" t="s">
        <v>1799</v>
      </c>
      <c r="D1982" t="s">
        <v>165</v>
      </c>
      <c r="E1982" s="4">
        <f>IF(AND('Hybrid Questions'!$B$27&lt;&gt;"",OR(NOT(ISNUMBER('Hybrid Questions'!$B$27)),'Hybrid Questions'!$B$27&lt;&gt;INT('Hybrid Questions'!$B$27),'Hybrid Questions'!$B$27&lt;1)),"'"&amp;'Hybrid Questions'!$B$27&amp;"' isn't a whole number of 1 or more. Question numbers are used as output folder names, so they need to be plain whole numbers.","")</f>
        <v>0</v>
      </c>
      <c r="F1982" s="4" t="s">
        <v>1800</v>
      </c>
    </row>
    <row r="1983" spans="1:6" ht="75" customHeight="1">
      <c r="A1983" t="s">
        <v>271</v>
      </c>
      <c r="B1983" t="s">
        <v>247</v>
      </c>
      <c r="C1983" t="s">
        <v>1799</v>
      </c>
      <c r="D1983" t="s">
        <v>165</v>
      </c>
      <c r="E1983" s="4">
        <f>IF(AND('Hybrid Questions'!$B$28&lt;&gt;"",OR(NOT(ISNUMBER('Hybrid Questions'!$B$28)),'Hybrid Questions'!$B$28&lt;&gt;INT('Hybrid Questions'!$B$28),'Hybrid Questions'!$B$28&lt;1)),"'"&amp;'Hybrid Questions'!$B$28&amp;"' isn't a whole number of 1 or more. Question numbers are used as output folder names, so they need to be plain whole numbers.","")</f>
        <v>0</v>
      </c>
      <c r="F1983" s="4" t="s">
        <v>1800</v>
      </c>
    </row>
    <row r="1984" spans="1:6" ht="75" customHeight="1">
      <c r="A1984" t="s">
        <v>271</v>
      </c>
      <c r="B1984" t="s">
        <v>248</v>
      </c>
      <c r="C1984" t="s">
        <v>1799</v>
      </c>
      <c r="D1984" t="s">
        <v>165</v>
      </c>
      <c r="E1984" s="4">
        <f>IF(AND('Hybrid Questions'!$B$29&lt;&gt;"",OR(NOT(ISNUMBER('Hybrid Questions'!$B$29)),'Hybrid Questions'!$B$29&lt;&gt;INT('Hybrid Questions'!$B$29),'Hybrid Questions'!$B$29&lt;1)),"'"&amp;'Hybrid Questions'!$B$29&amp;"' isn't a whole number of 1 or more. Question numbers are used as output folder names, so they need to be plain whole numbers.","")</f>
        <v>0</v>
      </c>
      <c r="F1984" s="4" t="s">
        <v>1800</v>
      </c>
    </row>
    <row r="1985" spans="1:6" ht="75" customHeight="1">
      <c r="A1985" t="s">
        <v>271</v>
      </c>
      <c r="B1985" t="s">
        <v>249</v>
      </c>
      <c r="C1985" t="s">
        <v>1799</v>
      </c>
      <c r="D1985" t="s">
        <v>165</v>
      </c>
      <c r="E1985" s="4">
        <f>IF(AND('Hybrid Questions'!$B$30&lt;&gt;"",OR(NOT(ISNUMBER('Hybrid Questions'!$B$30)),'Hybrid Questions'!$B$30&lt;&gt;INT('Hybrid Questions'!$B$30),'Hybrid Questions'!$B$30&lt;1)),"'"&amp;'Hybrid Questions'!$B$30&amp;"' isn't a whole number of 1 or more. Question numbers are used as output folder names, so they need to be plain whole numbers.","")</f>
        <v>0</v>
      </c>
      <c r="F1985" s="4" t="s">
        <v>1800</v>
      </c>
    </row>
    <row r="1986" spans="1:6" ht="75" customHeight="1">
      <c r="A1986" t="s">
        <v>271</v>
      </c>
      <c r="B1986" t="s">
        <v>250</v>
      </c>
      <c r="C1986" t="s">
        <v>1799</v>
      </c>
      <c r="D1986" t="s">
        <v>165</v>
      </c>
      <c r="E1986" s="4">
        <f>IF(AND('Hybrid Questions'!$B$31&lt;&gt;"",OR(NOT(ISNUMBER('Hybrid Questions'!$B$31)),'Hybrid Questions'!$B$31&lt;&gt;INT('Hybrid Questions'!$B$31),'Hybrid Questions'!$B$31&lt;1)),"'"&amp;'Hybrid Questions'!$B$31&amp;"' isn't a whole number of 1 or more. Question numbers are used as output folder names, so they need to be plain whole numbers.","")</f>
        <v>0</v>
      </c>
      <c r="F1986" s="4" t="s">
        <v>1800</v>
      </c>
    </row>
    <row r="1987" spans="1:6" ht="75" customHeight="1">
      <c r="A1987" t="s">
        <v>271</v>
      </c>
      <c r="B1987" t="s">
        <v>251</v>
      </c>
      <c r="C1987" t="s">
        <v>1799</v>
      </c>
      <c r="D1987" t="s">
        <v>165</v>
      </c>
      <c r="E1987" s="4">
        <f>IF(AND('Hybrid Questions'!$B$32&lt;&gt;"",OR(NOT(ISNUMBER('Hybrid Questions'!$B$32)),'Hybrid Questions'!$B$32&lt;&gt;INT('Hybrid Questions'!$B$32),'Hybrid Questions'!$B$32&lt;1)),"'"&amp;'Hybrid Questions'!$B$32&amp;"' isn't a whole number of 1 or more. Question numbers are used as output folder names, so they need to be plain whole numbers.","")</f>
        <v>0</v>
      </c>
      <c r="F1987" s="4" t="s">
        <v>1800</v>
      </c>
    </row>
    <row r="1988" spans="1:6" ht="75" customHeight="1">
      <c r="A1988" t="s">
        <v>271</v>
      </c>
      <c r="B1988" t="s">
        <v>252</v>
      </c>
      <c r="C1988" t="s">
        <v>1799</v>
      </c>
      <c r="D1988" t="s">
        <v>165</v>
      </c>
      <c r="E1988" s="4">
        <f>IF(AND('Hybrid Questions'!$B$33&lt;&gt;"",OR(NOT(ISNUMBER('Hybrid Questions'!$B$33)),'Hybrid Questions'!$B$33&lt;&gt;INT('Hybrid Questions'!$B$33),'Hybrid Questions'!$B$33&lt;1)),"'"&amp;'Hybrid Questions'!$B$33&amp;"' isn't a whole number of 1 or more. Question numbers are used as output folder names, so they need to be plain whole numbers.","")</f>
        <v>0</v>
      </c>
      <c r="F1988" s="4" t="s">
        <v>1800</v>
      </c>
    </row>
    <row r="1989" spans="1:6" ht="75" customHeight="1">
      <c r="A1989" t="s">
        <v>271</v>
      </c>
      <c r="B1989" t="s">
        <v>253</v>
      </c>
      <c r="C1989" t="s">
        <v>1799</v>
      </c>
      <c r="D1989" t="s">
        <v>165</v>
      </c>
      <c r="E1989" s="4">
        <f>IF(AND('Hybrid Questions'!$B$34&lt;&gt;"",OR(NOT(ISNUMBER('Hybrid Questions'!$B$34)),'Hybrid Questions'!$B$34&lt;&gt;INT('Hybrid Questions'!$B$34),'Hybrid Questions'!$B$34&lt;1)),"'"&amp;'Hybrid Questions'!$B$34&amp;"' isn't a whole number of 1 or more. Question numbers are used as output folder names, so they need to be plain whole numbers.","")</f>
        <v>0</v>
      </c>
      <c r="F1989" s="4" t="s">
        <v>1800</v>
      </c>
    </row>
    <row r="1990" spans="1:6" ht="75" customHeight="1">
      <c r="A1990" t="s">
        <v>271</v>
      </c>
      <c r="B1990" t="s">
        <v>254</v>
      </c>
      <c r="C1990" t="s">
        <v>1799</v>
      </c>
      <c r="D1990" t="s">
        <v>165</v>
      </c>
      <c r="E1990" s="4">
        <f>IF(AND('Hybrid Questions'!$B$35&lt;&gt;"",OR(NOT(ISNUMBER('Hybrid Questions'!$B$35)),'Hybrid Questions'!$B$35&lt;&gt;INT('Hybrid Questions'!$B$35),'Hybrid Questions'!$B$35&lt;1)),"'"&amp;'Hybrid Questions'!$B$35&amp;"' isn't a whole number of 1 or more. Question numbers are used as output folder names, so they need to be plain whole numbers.","")</f>
        <v>0</v>
      </c>
      <c r="F1990" s="4" t="s">
        <v>1800</v>
      </c>
    </row>
    <row r="1991" spans="1:6" ht="75" customHeight="1">
      <c r="A1991" t="s">
        <v>271</v>
      </c>
      <c r="B1991" t="s">
        <v>255</v>
      </c>
      <c r="C1991" t="s">
        <v>1799</v>
      </c>
      <c r="D1991" t="s">
        <v>165</v>
      </c>
      <c r="E1991" s="4">
        <f>IF(AND('Hybrid Questions'!$B$36&lt;&gt;"",OR(NOT(ISNUMBER('Hybrid Questions'!$B$36)),'Hybrid Questions'!$B$36&lt;&gt;INT('Hybrid Questions'!$B$36),'Hybrid Questions'!$B$36&lt;1)),"'"&amp;'Hybrid Questions'!$B$36&amp;"' isn't a whole number of 1 or more. Question numbers are used as output folder names, so they need to be plain whole numbers.","")</f>
        <v>0</v>
      </c>
      <c r="F1991" s="4" t="s">
        <v>1800</v>
      </c>
    </row>
    <row r="1992" spans="1:6" ht="75" customHeight="1">
      <c r="A1992" t="s">
        <v>271</v>
      </c>
      <c r="B1992" t="s">
        <v>256</v>
      </c>
      <c r="C1992" t="s">
        <v>1799</v>
      </c>
      <c r="D1992" t="s">
        <v>165</v>
      </c>
      <c r="E1992" s="4">
        <f>IF(AND('Hybrid Questions'!$B$37&lt;&gt;"",OR(NOT(ISNUMBER('Hybrid Questions'!$B$37)),'Hybrid Questions'!$B$37&lt;&gt;INT('Hybrid Questions'!$B$37),'Hybrid Questions'!$B$37&lt;1)),"'"&amp;'Hybrid Questions'!$B$37&amp;"' isn't a whole number of 1 or more. Question numbers are used as output folder names, so they need to be plain whole numbers.","")</f>
        <v>0</v>
      </c>
      <c r="F1992" s="4" t="s">
        <v>1800</v>
      </c>
    </row>
    <row r="1993" spans="1:6" ht="75" customHeight="1">
      <c r="A1993" t="s">
        <v>271</v>
      </c>
      <c r="B1993" t="s">
        <v>257</v>
      </c>
      <c r="C1993" t="s">
        <v>1799</v>
      </c>
      <c r="D1993" t="s">
        <v>165</v>
      </c>
      <c r="E1993" s="4">
        <f>IF(AND('Hybrid Questions'!$B$38&lt;&gt;"",OR(NOT(ISNUMBER('Hybrid Questions'!$B$38)),'Hybrid Questions'!$B$38&lt;&gt;INT('Hybrid Questions'!$B$38),'Hybrid Questions'!$B$38&lt;1)),"'"&amp;'Hybrid Questions'!$B$38&amp;"' isn't a whole number of 1 or more. Question numbers are used as output folder names, so they need to be plain whole numbers.","")</f>
        <v>0</v>
      </c>
      <c r="F1993" s="4" t="s">
        <v>1800</v>
      </c>
    </row>
    <row r="1994" spans="1:6" ht="75" customHeight="1">
      <c r="A1994" t="s">
        <v>271</v>
      </c>
      <c r="B1994" t="s">
        <v>258</v>
      </c>
      <c r="C1994" t="s">
        <v>1799</v>
      </c>
      <c r="D1994" t="s">
        <v>165</v>
      </c>
      <c r="E1994" s="4">
        <f>IF(AND('Hybrid Questions'!$B$39&lt;&gt;"",OR(NOT(ISNUMBER('Hybrid Questions'!$B$39)),'Hybrid Questions'!$B$39&lt;&gt;INT('Hybrid Questions'!$B$39),'Hybrid Questions'!$B$39&lt;1)),"'"&amp;'Hybrid Questions'!$B$39&amp;"' isn't a whole number of 1 or more. Question numbers are used as output folder names, so they need to be plain whole numbers.","")</f>
        <v>0</v>
      </c>
      <c r="F1994" s="4" t="s">
        <v>1800</v>
      </c>
    </row>
    <row r="1995" spans="1:6" ht="75" customHeight="1">
      <c r="A1995" t="s">
        <v>271</v>
      </c>
      <c r="B1995" t="s">
        <v>259</v>
      </c>
      <c r="C1995" t="s">
        <v>1799</v>
      </c>
      <c r="D1995" t="s">
        <v>165</v>
      </c>
      <c r="E1995" s="4">
        <f>IF(AND('Hybrid Questions'!$B$40&lt;&gt;"",OR(NOT(ISNUMBER('Hybrid Questions'!$B$40)),'Hybrid Questions'!$B$40&lt;&gt;INT('Hybrid Questions'!$B$40),'Hybrid Questions'!$B$40&lt;1)),"'"&amp;'Hybrid Questions'!$B$40&amp;"' isn't a whole number of 1 or more. Question numbers are used as output folder names, so they need to be plain whole numbers.","")</f>
        <v>0</v>
      </c>
      <c r="F1995" s="4" t="s">
        <v>1800</v>
      </c>
    </row>
    <row r="1996" spans="1:6" ht="75" customHeight="1">
      <c r="A1996" t="s">
        <v>271</v>
      </c>
      <c r="B1996" t="s">
        <v>260</v>
      </c>
      <c r="C1996" t="s">
        <v>1799</v>
      </c>
      <c r="D1996" t="s">
        <v>165</v>
      </c>
      <c r="E1996" s="4">
        <f>IF(AND('Hybrid Questions'!$B$41&lt;&gt;"",OR(NOT(ISNUMBER('Hybrid Questions'!$B$41)),'Hybrid Questions'!$B$41&lt;&gt;INT('Hybrid Questions'!$B$41),'Hybrid Questions'!$B$41&lt;1)),"'"&amp;'Hybrid Questions'!$B$41&amp;"' isn't a whole number of 1 or more. Question numbers are used as output folder names, so they need to be plain whole numbers.","")</f>
        <v>0</v>
      </c>
      <c r="F1996" s="4" t="s">
        <v>1800</v>
      </c>
    </row>
    <row r="1997" spans="1:6" ht="75" customHeight="1">
      <c r="A1997" t="s">
        <v>271</v>
      </c>
      <c r="B1997" t="s">
        <v>261</v>
      </c>
      <c r="C1997" t="s">
        <v>1799</v>
      </c>
      <c r="D1997" t="s">
        <v>165</v>
      </c>
      <c r="E1997" s="4">
        <f>IF(AND('Hybrid Questions'!$B$42&lt;&gt;"",OR(NOT(ISNUMBER('Hybrid Questions'!$B$42)),'Hybrid Questions'!$B$42&lt;&gt;INT('Hybrid Questions'!$B$42),'Hybrid Questions'!$B$42&lt;1)),"'"&amp;'Hybrid Questions'!$B$42&amp;"' isn't a whole number of 1 or more. Question numbers are used as output folder names, so they need to be plain whole numbers.","")</f>
        <v>0</v>
      </c>
      <c r="F1997" s="4" t="s">
        <v>1800</v>
      </c>
    </row>
    <row r="1998" spans="1:6" ht="75" customHeight="1">
      <c r="A1998" t="s">
        <v>271</v>
      </c>
      <c r="B1998" t="s">
        <v>262</v>
      </c>
      <c r="C1998" t="s">
        <v>1799</v>
      </c>
      <c r="D1998" t="s">
        <v>165</v>
      </c>
      <c r="E1998" s="4">
        <f>IF(AND('Hybrid Questions'!$B$43&lt;&gt;"",OR(NOT(ISNUMBER('Hybrid Questions'!$B$43)),'Hybrid Questions'!$B$43&lt;&gt;INT('Hybrid Questions'!$B$43),'Hybrid Questions'!$B$43&lt;1)),"'"&amp;'Hybrid Questions'!$B$43&amp;"' isn't a whole number of 1 or more. Question numbers are used as output folder names, so they need to be plain whole numbers.","")</f>
        <v>0</v>
      </c>
      <c r="F1998" s="4" t="s">
        <v>1800</v>
      </c>
    </row>
    <row r="1999" spans="1:6" ht="75" customHeight="1">
      <c r="A1999" t="s">
        <v>271</v>
      </c>
      <c r="B1999" t="s">
        <v>263</v>
      </c>
      <c r="C1999" t="s">
        <v>1799</v>
      </c>
      <c r="D1999" t="s">
        <v>165</v>
      </c>
      <c r="E1999" s="4">
        <f>IF(AND('Hybrid Questions'!$B$44&lt;&gt;"",OR(NOT(ISNUMBER('Hybrid Questions'!$B$44)),'Hybrid Questions'!$B$44&lt;&gt;INT('Hybrid Questions'!$B$44),'Hybrid Questions'!$B$44&lt;1)),"'"&amp;'Hybrid Questions'!$B$44&amp;"' isn't a whole number of 1 or more. Question numbers are used as output folder names, so they need to be plain whole numbers.","")</f>
        <v>0</v>
      </c>
      <c r="F1999" s="4" t="s">
        <v>1800</v>
      </c>
    </row>
    <row r="2000" spans="1:6" ht="75" customHeight="1">
      <c r="A2000" t="s">
        <v>271</v>
      </c>
      <c r="B2000" t="s">
        <v>264</v>
      </c>
      <c r="C2000" t="s">
        <v>1799</v>
      </c>
      <c r="D2000" t="s">
        <v>165</v>
      </c>
      <c r="E2000" s="4">
        <f>IF(AND('Hybrid Questions'!$B$45&lt;&gt;"",OR(NOT(ISNUMBER('Hybrid Questions'!$B$45)),'Hybrid Questions'!$B$45&lt;&gt;INT('Hybrid Questions'!$B$45),'Hybrid Questions'!$B$45&lt;1)),"'"&amp;'Hybrid Questions'!$B$45&amp;"' isn't a whole number of 1 or more. Question numbers are used as output folder names, so they need to be plain whole numbers.","")</f>
        <v>0</v>
      </c>
      <c r="F2000" s="4" t="s">
        <v>1800</v>
      </c>
    </row>
    <row r="2001" spans="1:6" ht="75" customHeight="1">
      <c r="A2001" t="s">
        <v>271</v>
      </c>
      <c r="B2001" t="s">
        <v>265</v>
      </c>
      <c r="C2001" t="s">
        <v>1799</v>
      </c>
      <c r="D2001" t="s">
        <v>165</v>
      </c>
      <c r="E2001" s="4">
        <f>IF(AND('Hybrid Questions'!$B$46&lt;&gt;"",OR(NOT(ISNUMBER('Hybrid Questions'!$B$46)),'Hybrid Questions'!$B$46&lt;&gt;INT('Hybrid Questions'!$B$46),'Hybrid Questions'!$B$46&lt;1)),"'"&amp;'Hybrid Questions'!$B$46&amp;"' isn't a whole number of 1 or more. Question numbers are used as output folder names, so they need to be plain whole numbers.","")</f>
        <v>0</v>
      </c>
      <c r="F2001" s="4" t="s">
        <v>1800</v>
      </c>
    </row>
    <row r="2002" spans="1:6" ht="75" customHeight="1">
      <c r="A2002" t="s">
        <v>271</v>
      </c>
      <c r="B2002" t="s">
        <v>266</v>
      </c>
      <c r="C2002" t="s">
        <v>1799</v>
      </c>
      <c r="D2002" t="s">
        <v>165</v>
      </c>
      <c r="E2002" s="4">
        <f>IF(AND('Hybrid Questions'!$B$47&lt;&gt;"",OR(NOT(ISNUMBER('Hybrid Questions'!$B$47)),'Hybrid Questions'!$B$47&lt;&gt;INT('Hybrid Questions'!$B$47),'Hybrid Questions'!$B$47&lt;1)),"'"&amp;'Hybrid Questions'!$B$47&amp;"' isn't a whole number of 1 or more. Question numbers are used as output folder names, so they need to be plain whole numbers.","")</f>
        <v>0</v>
      </c>
      <c r="F2002" s="4" t="s">
        <v>1800</v>
      </c>
    </row>
    <row r="2003" spans="1:6" ht="75" customHeight="1">
      <c r="A2003" t="s">
        <v>271</v>
      </c>
      <c r="B2003" t="s">
        <v>267</v>
      </c>
      <c r="C2003" t="s">
        <v>1799</v>
      </c>
      <c r="D2003" t="s">
        <v>165</v>
      </c>
      <c r="E2003" s="4">
        <f>IF(AND('Hybrid Questions'!$B$48&lt;&gt;"",OR(NOT(ISNUMBER('Hybrid Questions'!$B$48)),'Hybrid Questions'!$B$48&lt;&gt;INT('Hybrid Questions'!$B$48),'Hybrid Questions'!$B$48&lt;1)),"'"&amp;'Hybrid Questions'!$B$48&amp;"' isn't a whole number of 1 or more. Question numbers are used as output folder names, so they need to be plain whole numbers.","")</f>
        <v>0</v>
      </c>
      <c r="F2003" s="4" t="s">
        <v>1800</v>
      </c>
    </row>
    <row r="2004" spans="1:6" ht="75" customHeight="1">
      <c r="A2004" t="s">
        <v>271</v>
      </c>
      <c r="B2004" t="s">
        <v>268</v>
      </c>
      <c r="C2004" t="s">
        <v>1799</v>
      </c>
      <c r="D2004" t="s">
        <v>165</v>
      </c>
      <c r="E2004" s="4">
        <f>IF(AND('Hybrid Questions'!$B$49&lt;&gt;"",OR(NOT(ISNUMBER('Hybrid Questions'!$B$49)),'Hybrid Questions'!$B$49&lt;&gt;INT('Hybrid Questions'!$B$49),'Hybrid Questions'!$B$49&lt;1)),"'"&amp;'Hybrid Questions'!$B$49&amp;"' isn't a whole number of 1 or more. Question numbers are used as output folder names, so they need to be plain whole numbers.","")</f>
        <v>0</v>
      </c>
      <c r="F2004" s="4" t="s">
        <v>1800</v>
      </c>
    </row>
    <row r="2005" spans="1:6" ht="75" customHeight="1">
      <c r="A2005" t="s">
        <v>271</v>
      </c>
      <c r="B2005" t="s">
        <v>269</v>
      </c>
      <c r="C2005" t="s">
        <v>1799</v>
      </c>
      <c r="D2005" t="s">
        <v>165</v>
      </c>
      <c r="E2005" s="4">
        <f>IF(AND('Hybrid Questions'!$B$50&lt;&gt;"",OR(NOT(ISNUMBER('Hybrid Questions'!$B$50)),'Hybrid Questions'!$B$50&lt;&gt;INT('Hybrid Questions'!$B$50),'Hybrid Questions'!$B$50&lt;1)),"'"&amp;'Hybrid Questions'!$B$50&amp;"' isn't a whole number of 1 or more. Question numbers are used as output folder names, so they need to be plain whole numbers.","")</f>
        <v>0</v>
      </c>
      <c r="F2005" s="4" t="s">
        <v>1800</v>
      </c>
    </row>
    <row r="2006" spans="1:6" ht="75" customHeight="1">
      <c r="A2006" t="s">
        <v>271</v>
      </c>
      <c r="B2006" t="s">
        <v>270</v>
      </c>
      <c r="C2006" t="s">
        <v>1799</v>
      </c>
      <c r="D2006" t="s">
        <v>165</v>
      </c>
      <c r="E2006" s="4">
        <f>IF(AND('Hybrid Questions'!$B$51&lt;&gt;"",OR(NOT(ISNUMBER('Hybrid Questions'!$B$51)),'Hybrid Questions'!$B$51&lt;&gt;INT('Hybrid Questions'!$B$51),'Hybrid Questions'!$B$51&lt;1)),"'"&amp;'Hybrid Questions'!$B$51&amp;"' isn't a whole number of 1 or more. Question numbers are used as output folder names, so they need to be plain whole numbers.","")</f>
        <v>0</v>
      </c>
      <c r="F2006" s="4" t="s">
        <v>1800</v>
      </c>
    </row>
    <row r="2007" spans="1:6" ht="75" customHeight="1">
      <c r="A2007" t="s">
        <v>1801</v>
      </c>
      <c r="B2007" t="s">
        <v>1802</v>
      </c>
      <c r="C2007" t="s">
        <v>1803</v>
      </c>
      <c r="D2007" t="s">
        <v>165</v>
      </c>
      <c r="E2007" s="4" cm="1">
        <f t="array" ref="E2007">IF((IFERROR(ROWS(_xlfn.UNIQUE(_xlfn._xlws.FILTER(_xlfn.VSTACK('Open Questions'!$A$2:$A$1001,'Multiple Choice Questions'!$A$2:$A$1001,'Hybrid Questions'!$A$2:$A$1001,'Hybrid Questions'!$D$2:$D$1001),_xlfn.VSTACK('Open Questions'!$A$2:$A$1001,'Multiple Choice Questions'!$A$2:$A$1001,'Hybrid Questions'!$A$2:$A$1001,'Hybrid Questions'!$D$2:$D$1001)&lt;&gt;""))),0))&gt;(COUNTA(Responses!$1:$1)-1),"Your question setup points at "&amp;IFERROR(ROWS(_xlfn.UNIQUE(_xlfn._xlws.FILTER(_xlfn.VSTACK('Open Questions'!$A$2:$A$1001,'Multiple Choice Questions'!$A$2:$A$1001,'Hybrid Questions'!$A$2:$A$1001,'Hybrid Questions'!$D$2:$D$1001),_xlfn.VSTACK('Open Questions'!$A$2:$A$1001,'Multiple Choice Questions'!$A$2:$A$1001,'Hybrid Questions'!$A$2:$A$1001,'Hybrid Questions'!$D$2:$D$1001)&lt;&gt;""))),0)&amp;" different column(s), but Responses only has "&amp;(COUNTA(Responses!$1:$1)-1)&amp;" column(s) of data — some of the columns you have referenced don't exist.","")</f>
        <v>0</v>
      </c>
      <c r="F2007" s="4" t="s">
        <v>1804</v>
      </c>
    </row>
    <row r="2008" spans="1:6" ht="75" customHeight="1">
      <c r="A2008" t="s">
        <v>271</v>
      </c>
      <c r="B2008" t="s">
        <v>272</v>
      </c>
      <c r="C2008" t="s">
        <v>1805</v>
      </c>
      <c r="D2008" t="s">
        <v>165</v>
      </c>
      <c r="E2008" s="4">
        <f>IF(AND('Hybrid Questions'!$D$2&lt;&gt;"",IFERROR(INDEX(Responses!$A$1:$XFD$1,1,CHOOSE(LEN(TRIM('Hybrid Questions'!$D$2)),CODE(TRIM('Hybrid Questions'!$D$2))-64,(CODE(LEFT(TRIM('Hybrid Questions'!$D$2),1))-64)*26+(CODE(RIGHT(TRIM('Hybrid Questions'!$D$2),1))-64),(CODE(LEFT(TRIM('Hybrid Questions'!$D$2),1))-64)*676+(CODE(MID(TRIM('Hybrid Questions'!$D$2),2,1))-64)*26+(CODE(RIGHT(TRIM('Hybrid Questions'!$D$2),1))-64))),"")=""),"Column '"&amp;'Hybrid Questions'!$D$2&amp;"' has no header on the Responses sheet, so there are no multiple-choice answers to analyse.","")</f>
        <v>0</v>
      </c>
      <c r="F2008" s="4" t="s">
        <v>217</v>
      </c>
    </row>
    <row r="2009" spans="1:6" ht="75" customHeight="1">
      <c r="A2009" t="s">
        <v>271</v>
      </c>
      <c r="B2009" t="s">
        <v>275</v>
      </c>
      <c r="C2009" t="s">
        <v>1805</v>
      </c>
      <c r="D2009" t="s">
        <v>165</v>
      </c>
      <c r="E2009" s="4">
        <f>IF(AND('Hybrid Questions'!$D$3&lt;&gt;"",IFERROR(INDEX(Responses!$A$1:$XFD$1,1,CHOOSE(LEN(TRIM('Hybrid Questions'!$D$3)),CODE(TRIM('Hybrid Questions'!$D$3))-64,(CODE(LEFT(TRIM('Hybrid Questions'!$D$3),1))-64)*26+(CODE(RIGHT(TRIM('Hybrid Questions'!$D$3),1))-64),(CODE(LEFT(TRIM('Hybrid Questions'!$D$3),1))-64)*676+(CODE(MID(TRIM('Hybrid Questions'!$D$3),2,1))-64)*26+(CODE(RIGHT(TRIM('Hybrid Questions'!$D$3),1))-64))),"")=""),"Column '"&amp;'Hybrid Questions'!$D$3&amp;"' has no header on the Responses sheet, so there are no multiple-choice answers to analyse.","")</f>
        <v>0</v>
      </c>
      <c r="F2009" s="4" t="s">
        <v>217</v>
      </c>
    </row>
    <row r="2010" spans="1:6" ht="75" customHeight="1">
      <c r="A2010" t="s">
        <v>271</v>
      </c>
      <c r="B2010" t="s">
        <v>276</v>
      </c>
      <c r="C2010" t="s">
        <v>1805</v>
      </c>
      <c r="D2010" t="s">
        <v>165</v>
      </c>
      <c r="E2010" s="4">
        <f>IF(AND('Hybrid Questions'!$D$4&lt;&gt;"",IFERROR(INDEX(Responses!$A$1:$XFD$1,1,CHOOSE(LEN(TRIM('Hybrid Questions'!$D$4)),CODE(TRIM('Hybrid Questions'!$D$4))-64,(CODE(LEFT(TRIM('Hybrid Questions'!$D$4),1))-64)*26+(CODE(RIGHT(TRIM('Hybrid Questions'!$D$4),1))-64),(CODE(LEFT(TRIM('Hybrid Questions'!$D$4),1))-64)*676+(CODE(MID(TRIM('Hybrid Questions'!$D$4),2,1))-64)*26+(CODE(RIGHT(TRIM('Hybrid Questions'!$D$4),1))-64))),"")=""),"Column '"&amp;'Hybrid Questions'!$D$4&amp;"' has no header on the Responses sheet, so there are no multiple-choice answers to analyse.","")</f>
        <v>0</v>
      </c>
      <c r="F2010" s="4" t="s">
        <v>217</v>
      </c>
    </row>
    <row r="2011" spans="1:6" ht="75" customHeight="1">
      <c r="A2011" t="s">
        <v>271</v>
      </c>
      <c r="B2011" t="s">
        <v>277</v>
      </c>
      <c r="C2011" t="s">
        <v>1805</v>
      </c>
      <c r="D2011" t="s">
        <v>165</v>
      </c>
      <c r="E2011" s="4">
        <f>IF(AND('Hybrid Questions'!$D$5&lt;&gt;"",IFERROR(INDEX(Responses!$A$1:$XFD$1,1,CHOOSE(LEN(TRIM('Hybrid Questions'!$D$5)),CODE(TRIM('Hybrid Questions'!$D$5))-64,(CODE(LEFT(TRIM('Hybrid Questions'!$D$5),1))-64)*26+(CODE(RIGHT(TRIM('Hybrid Questions'!$D$5),1))-64),(CODE(LEFT(TRIM('Hybrid Questions'!$D$5),1))-64)*676+(CODE(MID(TRIM('Hybrid Questions'!$D$5),2,1))-64)*26+(CODE(RIGHT(TRIM('Hybrid Questions'!$D$5),1))-64))),"")=""),"Column '"&amp;'Hybrid Questions'!$D$5&amp;"' has no header on the Responses sheet, so there are no multiple-choice answers to analyse.","")</f>
        <v>0</v>
      </c>
      <c r="F2011" s="4" t="s">
        <v>217</v>
      </c>
    </row>
    <row r="2012" spans="1:6" ht="75" customHeight="1">
      <c r="A2012" t="s">
        <v>271</v>
      </c>
      <c r="B2012" t="s">
        <v>278</v>
      </c>
      <c r="C2012" t="s">
        <v>1805</v>
      </c>
      <c r="D2012" t="s">
        <v>165</v>
      </c>
      <c r="E2012" s="4">
        <f>IF(AND('Hybrid Questions'!$D$6&lt;&gt;"",IFERROR(INDEX(Responses!$A$1:$XFD$1,1,CHOOSE(LEN(TRIM('Hybrid Questions'!$D$6)),CODE(TRIM('Hybrid Questions'!$D$6))-64,(CODE(LEFT(TRIM('Hybrid Questions'!$D$6),1))-64)*26+(CODE(RIGHT(TRIM('Hybrid Questions'!$D$6),1))-64),(CODE(LEFT(TRIM('Hybrid Questions'!$D$6),1))-64)*676+(CODE(MID(TRIM('Hybrid Questions'!$D$6),2,1))-64)*26+(CODE(RIGHT(TRIM('Hybrid Questions'!$D$6),1))-64))),"")=""),"Column '"&amp;'Hybrid Questions'!$D$6&amp;"' has no header on the Responses sheet, so there are no multiple-choice answers to analyse.","")</f>
        <v>0</v>
      </c>
      <c r="F2012" s="4" t="s">
        <v>217</v>
      </c>
    </row>
    <row r="2013" spans="1:6" ht="75" customHeight="1">
      <c r="A2013" t="s">
        <v>271</v>
      </c>
      <c r="B2013" t="s">
        <v>279</v>
      </c>
      <c r="C2013" t="s">
        <v>1805</v>
      </c>
      <c r="D2013" t="s">
        <v>165</v>
      </c>
      <c r="E2013" s="4">
        <f>IF(AND('Hybrid Questions'!$D$7&lt;&gt;"",IFERROR(INDEX(Responses!$A$1:$XFD$1,1,CHOOSE(LEN(TRIM('Hybrid Questions'!$D$7)),CODE(TRIM('Hybrid Questions'!$D$7))-64,(CODE(LEFT(TRIM('Hybrid Questions'!$D$7),1))-64)*26+(CODE(RIGHT(TRIM('Hybrid Questions'!$D$7),1))-64),(CODE(LEFT(TRIM('Hybrid Questions'!$D$7),1))-64)*676+(CODE(MID(TRIM('Hybrid Questions'!$D$7),2,1))-64)*26+(CODE(RIGHT(TRIM('Hybrid Questions'!$D$7),1))-64))),"")=""),"Column '"&amp;'Hybrid Questions'!$D$7&amp;"' has no header on the Responses sheet, so there are no multiple-choice answers to analyse.","")</f>
        <v>0</v>
      </c>
      <c r="F2013" s="4" t="s">
        <v>217</v>
      </c>
    </row>
    <row r="2014" spans="1:6" ht="75" customHeight="1">
      <c r="A2014" t="s">
        <v>271</v>
      </c>
      <c r="B2014" t="s">
        <v>280</v>
      </c>
      <c r="C2014" t="s">
        <v>1805</v>
      </c>
      <c r="D2014" t="s">
        <v>165</v>
      </c>
      <c r="E2014" s="4">
        <f>IF(AND('Hybrid Questions'!$D$8&lt;&gt;"",IFERROR(INDEX(Responses!$A$1:$XFD$1,1,CHOOSE(LEN(TRIM('Hybrid Questions'!$D$8)),CODE(TRIM('Hybrid Questions'!$D$8))-64,(CODE(LEFT(TRIM('Hybrid Questions'!$D$8),1))-64)*26+(CODE(RIGHT(TRIM('Hybrid Questions'!$D$8),1))-64),(CODE(LEFT(TRIM('Hybrid Questions'!$D$8),1))-64)*676+(CODE(MID(TRIM('Hybrid Questions'!$D$8),2,1))-64)*26+(CODE(RIGHT(TRIM('Hybrid Questions'!$D$8),1))-64))),"")=""),"Column '"&amp;'Hybrid Questions'!$D$8&amp;"' has no header on the Responses sheet, so there are no multiple-choice answers to analyse.","")</f>
        <v>0</v>
      </c>
      <c r="F2014" s="4" t="s">
        <v>217</v>
      </c>
    </row>
    <row r="2015" spans="1:6" ht="75" customHeight="1">
      <c r="A2015" t="s">
        <v>271</v>
      </c>
      <c r="B2015" t="s">
        <v>281</v>
      </c>
      <c r="C2015" t="s">
        <v>1805</v>
      </c>
      <c r="D2015" t="s">
        <v>165</v>
      </c>
      <c r="E2015" s="4">
        <f>IF(AND('Hybrid Questions'!$D$9&lt;&gt;"",IFERROR(INDEX(Responses!$A$1:$XFD$1,1,CHOOSE(LEN(TRIM('Hybrid Questions'!$D$9)),CODE(TRIM('Hybrid Questions'!$D$9))-64,(CODE(LEFT(TRIM('Hybrid Questions'!$D$9),1))-64)*26+(CODE(RIGHT(TRIM('Hybrid Questions'!$D$9),1))-64),(CODE(LEFT(TRIM('Hybrid Questions'!$D$9),1))-64)*676+(CODE(MID(TRIM('Hybrid Questions'!$D$9),2,1))-64)*26+(CODE(RIGHT(TRIM('Hybrid Questions'!$D$9),1))-64))),"")=""),"Column '"&amp;'Hybrid Questions'!$D$9&amp;"' has no header on the Responses sheet, so there are no multiple-choice answers to analyse.","")</f>
        <v>0</v>
      </c>
      <c r="F2015" s="4" t="s">
        <v>217</v>
      </c>
    </row>
    <row r="2016" spans="1:6" ht="75" customHeight="1">
      <c r="A2016" t="s">
        <v>271</v>
      </c>
      <c r="B2016" t="s">
        <v>282</v>
      </c>
      <c r="C2016" t="s">
        <v>1805</v>
      </c>
      <c r="D2016" t="s">
        <v>165</v>
      </c>
      <c r="E2016" s="4">
        <f>IF(AND('Hybrid Questions'!$D$10&lt;&gt;"",IFERROR(INDEX(Responses!$A$1:$XFD$1,1,CHOOSE(LEN(TRIM('Hybrid Questions'!$D$10)),CODE(TRIM('Hybrid Questions'!$D$10))-64,(CODE(LEFT(TRIM('Hybrid Questions'!$D$10),1))-64)*26+(CODE(RIGHT(TRIM('Hybrid Questions'!$D$10),1))-64),(CODE(LEFT(TRIM('Hybrid Questions'!$D$10),1))-64)*676+(CODE(MID(TRIM('Hybrid Questions'!$D$10),2,1))-64)*26+(CODE(RIGHT(TRIM('Hybrid Questions'!$D$10),1))-64))),"")=""),"Column '"&amp;'Hybrid Questions'!$D$10&amp;"' has no header on the Responses sheet, so there are no multiple-choice answers to analyse.","")</f>
        <v>0</v>
      </c>
      <c r="F2016" s="4" t="s">
        <v>217</v>
      </c>
    </row>
    <row r="2017" spans="1:6" ht="75" customHeight="1">
      <c r="A2017" t="s">
        <v>271</v>
      </c>
      <c r="B2017" t="s">
        <v>283</v>
      </c>
      <c r="C2017" t="s">
        <v>1805</v>
      </c>
      <c r="D2017" t="s">
        <v>165</v>
      </c>
      <c r="E2017" s="4">
        <f>IF(AND('Hybrid Questions'!$D$11&lt;&gt;"",IFERROR(INDEX(Responses!$A$1:$XFD$1,1,CHOOSE(LEN(TRIM('Hybrid Questions'!$D$11)),CODE(TRIM('Hybrid Questions'!$D$11))-64,(CODE(LEFT(TRIM('Hybrid Questions'!$D$11),1))-64)*26+(CODE(RIGHT(TRIM('Hybrid Questions'!$D$11),1))-64),(CODE(LEFT(TRIM('Hybrid Questions'!$D$11),1))-64)*676+(CODE(MID(TRIM('Hybrid Questions'!$D$11),2,1))-64)*26+(CODE(RIGHT(TRIM('Hybrid Questions'!$D$11),1))-64))),"")=""),"Column '"&amp;'Hybrid Questions'!$D$11&amp;"' has no header on the Responses sheet, so there are no multiple-choice answers to analyse.","")</f>
        <v>0</v>
      </c>
      <c r="F2017" s="4" t="s">
        <v>217</v>
      </c>
    </row>
    <row r="2018" spans="1:6" ht="75" customHeight="1">
      <c r="A2018" t="s">
        <v>271</v>
      </c>
      <c r="B2018" t="s">
        <v>284</v>
      </c>
      <c r="C2018" t="s">
        <v>1805</v>
      </c>
      <c r="D2018" t="s">
        <v>165</v>
      </c>
      <c r="E2018" s="4">
        <f>IF(AND('Hybrid Questions'!$D$12&lt;&gt;"",IFERROR(INDEX(Responses!$A$1:$XFD$1,1,CHOOSE(LEN(TRIM('Hybrid Questions'!$D$12)),CODE(TRIM('Hybrid Questions'!$D$12))-64,(CODE(LEFT(TRIM('Hybrid Questions'!$D$12),1))-64)*26+(CODE(RIGHT(TRIM('Hybrid Questions'!$D$12),1))-64),(CODE(LEFT(TRIM('Hybrid Questions'!$D$12),1))-64)*676+(CODE(MID(TRIM('Hybrid Questions'!$D$12),2,1))-64)*26+(CODE(RIGHT(TRIM('Hybrid Questions'!$D$12),1))-64))),"")=""),"Column '"&amp;'Hybrid Questions'!$D$12&amp;"' has no header on the Responses sheet, so there are no multiple-choice answers to analyse.","")</f>
        <v>0</v>
      </c>
      <c r="F2018" s="4" t="s">
        <v>217</v>
      </c>
    </row>
    <row r="2019" spans="1:6" ht="75" customHeight="1">
      <c r="A2019" t="s">
        <v>271</v>
      </c>
      <c r="B2019" t="s">
        <v>285</v>
      </c>
      <c r="C2019" t="s">
        <v>1805</v>
      </c>
      <c r="D2019" t="s">
        <v>165</v>
      </c>
      <c r="E2019" s="4">
        <f>IF(AND('Hybrid Questions'!$D$13&lt;&gt;"",IFERROR(INDEX(Responses!$A$1:$XFD$1,1,CHOOSE(LEN(TRIM('Hybrid Questions'!$D$13)),CODE(TRIM('Hybrid Questions'!$D$13))-64,(CODE(LEFT(TRIM('Hybrid Questions'!$D$13),1))-64)*26+(CODE(RIGHT(TRIM('Hybrid Questions'!$D$13),1))-64),(CODE(LEFT(TRIM('Hybrid Questions'!$D$13),1))-64)*676+(CODE(MID(TRIM('Hybrid Questions'!$D$13),2,1))-64)*26+(CODE(RIGHT(TRIM('Hybrid Questions'!$D$13),1))-64))),"")=""),"Column '"&amp;'Hybrid Questions'!$D$13&amp;"' has no header on the Responses sheet, so there are no multiple-choice answers to analyse.","")</f>
        <v>0</v>
      </c>
      <c r="F2019" s="4" t="s">
        <v>217</v>
      </c>
    </row>
    <row r="2020" spans="1:6" ht="75" customHeight="1">
      <c r="A2020" t="s">
        <v>271</v>
      </c>
      <c r="B2020" t="s">
        <v>286</v>
      </c>
      <c r="C2020" t="s">
        <v>1805</v>
      </c>
      <c r="D2020" t="s">
        <v>165</v>
      </c>
      <c r="E2020" s="4">
        <f>IF(AND('Hybrid Questions'!$D$14&lt;&gt;"",IFERROR(INDEX(Responses!$A$1:$XFD$1,1,CHOOSE(LEN(TRIM('Hybrid Questions'!$D$14)),CODE(TRIM('Hybrid Questions'!$D$14))-64,(CODE(LEFT(TRIM('Hybrid Questions'!$D$14),1))-64)*26+(CODE(RIGHT(TRIM('Hybrid Questions'!$D$14),1))-64),(CODE(LEFT(TRIM('Hybrid Questions'!$D$14),1))-64)*676+(CODE(MID(TRIM('Hybrid Questions'!$D$14),2,1))-64)*26+(CODE(RIGHT(TRIM('Hybrid Questions'!$D$14),1))-64))),"")=""),"Column '"&amp;'Hybrid Questions'!$D$14&amp;"' has no header on the Responses sheet, so there are no multiple-choice answers to analyse.","")</f>
        <v>0</v>
      </c>
      <c r="F2020" s="4" t="s">
        <v>217</v>
      </c>
    </row>
    <row r="2021" spans="1:6" ht="75" customHeight="1">
      <c r="A2021" t="s">
        <v>271</v>
      </c>
      <c r="B2021" t="s">
        <v>287</v>
      </c>
      <c r="C2021" t="s">
        <v>1805</v>
      </c>
      <c r="D2021" t="s">
        <v>165</v>
      </c>
      <c r="E2021" s="4">
        <f>IF(AND('Hybrid Questions'!$D$15&lt;&gt;"",IFERROR(INDEX(Responses!$A$1:$XFD$1,1,CHOOSE(LEN(TRIM('Hybrid Questions'!$D$15)),CODE(TRIM('Hybrid Questions'!$D$15))-64,(CODE(LEFT(TRIM('Hybrid Questions'!$D$15),1))-64)*26+(CODE(RIGHT(TRIM('Hybrid Questions'!$D$15),1))-64),(CODE(LEFT(TRIM('Hybrid Questions'!$D$15),1))-64)*676+(CODE(MID(TRIM('Hybrid Questions'!$D$15),2,1))-64)*26+(CODE(RIGHT(TRIM('Hybrid Questions'!$D$15),1))-64))),"")=""),"Column '"&amp;'Hybrid Questions'!$D$15&amp;"' has no header on the Responses sheet, so there are no multiple-choice answers to analyse.","")</f>
        <v>0</v>
      </c>
      <c r="F2021" s="4" t="s">
        <v>217</v>
      </c>
    </row>
    <row r="2022" spans="1:6" ht="75" customHeight="1">
      <c r="A2022" t="s">
        <v>271</v>
      </c>
      <c r="B2022" t="s">
        <v>288</v>
      </c>
      <c r="C2022" t="s">
        <v>1805</v>
      </c>
      <c r="D2022" t="s">
        <v>165</v>
      </c>
      <c r="E2022" s="4">
        <f>IF(AND('Hybrid Questions'!$D$16&lt;&gt;"",IFERROR(INDEX(Responses!$A$1:$XFD$1,1,CHOOSE(LEN(TRIM('Hybrid Questions'!$D$16)),CODE(TRIM('Hybrid Questions'!$D$16))-64,(CODE(LEFT(TRIM('Hybrid Questions'!$D$16),1))-64)*26+(CODE(RIGHT(TRIM('Hybrid Questions'!$D$16),1))-64),(CODE(LEFT(TRIM('Hybrid Questions'!$D$16),1))-64)*676+(CODE(MID(TRIM('Hybrid Questions'!$D$16),2,1))-64)*26+(CODE(RIGHT(TRIM('Hybrid Questions'!$D$16),1))-64))),"")=""),"Column '"&amp;'Hybrid Questions'!$D$16&amp;"' has no header on the Responses sheet, so there are no multiple-choice answers to analyse.","")</f>
        <v>0</v>
      </c>
      <c r="F2022" s="4" t="s">
        <v>217</v>
      </c>
    </row>
    <row r="2023" spans="1:6" ht="75" customHeight="1">
      <c r="A2023" t="s">
        <v>271</v>
      </c>
      <c r="B2023" t="s">
        <v>289</v>
      </c>
      <c r="C2023" t="s">
        <v>1805</v>
      </c>
      <c r="D2023" t="s">
        <v>165</v>
      </c>
      <c r="E2023" s="4">
        <f>IF(AND('Hybrid Questions'!$D$17&lt;&gt;"",IFERROR(INDEX(Responses!$A$1:$XFD$1,1,CHOOSE(LEN(TRIM('Hybrid Questions'!$D$17)),CODE(TRIM('Hybrid Questions'!$D$17))-64,(CODE(LEFT(TRIM('Hybrid Questions'!$D$17),1))-64)*26+(CODE(RIGHT(TRIM('Hybrid Questions'!$D$17),1))-64),(CODE(LEFT(TRIM('Hybrid Questions'!$D$17),1))-64)*676+(CODE(MID(TRIM('Hybrid Questions'!$D$17),2,1))-64)*26+(CODE(RIGHT(TRIM('Hybrid Questions'!$D$17),1))-64))),"")=""),"Column '"&amp;'Hybrid Questions'!$D$17&amp;"' has no header on the Responses sheet, so there are no multiple-choice answers to analyse.","")</f>
        <v>0</v>
      </c>
      <c r="F2023" s="4" t="s">
        <v>217</v>
      </c>
    </row>
    <row r="2024" spans="1:6" ht="75" customHeight="1">
      <c r="A2024" t="s">
        <v>271</v>
      </c>
      <c r="B2024" t="s">
        <v>290</v>
      </c>
      <c r="C2024" t="s">
        <v>1805</v>
      </c>
      <c r="D2024" t="s">
        <v>165</v>
      </c>
      <c r="E2024" s="4">
        <f>IF(AND('Hybrid Questions'!$D$18&lt;&gt;"",IFERROR(INDEX(Responses!$A$1:$XFD$1,1,CHOOSE(LEN(TRIM('Hybrid Questions'!$D$18)),CODE(TRIM('Hybrid Questions'!$D$18))-64,(CODE(LEFT(TRIM('Hybrid Questions'!$D$18),1))-64)*26+(CODE(RIGHT(TRIM('Hybrid Questions'!$D$18),1))-64),(CODE(LEFT(TRIM('Hybrid Questions'!$D$18),1))-64)*676+(CODE(MID(TRIM('Hybrid Questions'!$D$18),2,1))-64)*26+(CODE(RIGHT(TRIM('Hybrid Questions'!$D$18),1))-64))),"")=""),"Column '"&amp;'Hybrid Questions'!$D$18&amp;"' has no header on the Responses sheet, so there are no multiple-choice answers to analyse.","")</f>
        <v>0</v>
      </c>
      <c r="F2024" s="4" t="s">
        <v>217</v>
      </c>
    </row>
    <row r="2025" spans="1:6" ht="75" customHeight="1">
      <c r="A2025" t="s">
        <v>271</v>
      </c>
      <c r="B2025" t="s">
        <v>291</v>
      </c>
      <c r="C2025" t="s">
        <v>1805</v>
      </c>
      <c r="D2025" t="s">
        <v>165</v>
      </c>
      <c r="E2025" s="4">
        <f>IF(AND('Hybrid Questions'!$D$19&lt;&gt;"",IFERROR(INDEX(Responses!$A$1:$XFD$1,1,CHOOSE(LEN(TRIM('Hybrid Questions'!$D$19)),CODE(TRIM('Hybrid Questions'!$D$19))-64,(CODE(LEFT(TRIM('Hybrid Questions'!$D$19),1))-64)*26+(CODE(RIGHT(TRIM('Hybrid Questions'!$D$19),1))-64),(CODE(LEFT(TRIM('Hybrid Questions'!$D$19),1))-64)*676+(CODE(MID(TRIM('Hybrid Questions'!$D$19),2,1))-64)*26+(CODE(RIGHT(TRIM('Hybrid Questions'!$D$19),1))-64))),"")=""),"Column '"&amp;'Hybrid Questions'!$D$19&amp;"' has no header on the Responses sheet, so there are no multiple-choice answers to analyse.","")</f>
        <v>0</v>
      </c>
      <c r="F2025" s="4" t="s">
        <v>217</v>
      </c>
    </row>
    <row r="2026" spans="1:6" ht="75" customHeight="1">
      <c r="A2026" t="s">
        <v>271</v>
      </c>
      <c r="B2026" t="s">
        <v>292</v>
      </c>
      <c r="C2026" t="s">
        <v>1805</v>
      </c>
      <c r="D2026" t="s">
        <v>165</v>
      </c>
      <c r="E2026" s="4">
        <f>IF(AND('Hybrid Questions'!$D$20&lt;&gt;"",IFERROR(INDEX(Responses!$A$1:$XFD$1,1,CHOOSE(LEN(TRIM('Hybrid Questions'!$D$20)),CODE(TRIM('Hybrid Questions'!$D$20))-64,(CODE(LEFT(TRIM('Hybrid Questions'!$D$20),1))-64)*26+(CODE(RIGHT(TRIM('Hybrid Questions'!$D$20),1))-64),(CODE(LEFT(TRIM('Hybrid Questions'!$D$20),1))-64)*676+(CODE(MID(TRIM('Hybrid Questions'!$D$20),2,1))-64)*26+(CODE(RIGHT(TRIM('Hybrid Questions'!$D$20),1))-64))),"")=""),"Column '"&amp;'Hybrid Questions'!$D$20&amp;"' has no header on the Responses sheet, so there are no multiple-choice answers to analyse.","")</f>
        <v>0</v>
      </c>
      <c r="F2026" s="4" t="s">
        <v>217</v>
      </c>
    </row>
    <row r="2027" spans="1:6" ht="75" customHeight="1">
      <c r="A2027" t="s">
        <v>271</v>
      </c>
      <c r="B2027" t="s">
        <v>293</v>
      </c>
      <c r="C2027" t="s">
        <v>1805</v>
      </c>
      <c r="D2027" t="s">
        <v>165</v>
      </c>
      <c r="E2027" s="4">
        <f>IF(AND('Hybrid Questions'!$D$21&lt;&gt;"",IFERROR(INDEX(Responses!$A$1:$XFD$1,1,CHOOSE(LEN(TRIM('Hybrid Questions'!$D$21)),CODE(TRIM('Hybrid Questions'!$D$21))-64,(CODE(LEFT(TRIM('Hybrid Questions'!$D$21),1))-64)*26+(CODE(RIGHT(TRIM('Hybrid Questions'!$D$21),1))-64),(CODE(LEFT(TRIM('Hybrid Questions'!$D$21),1))-64)*676+(CODE(MID(TRIM('Hybrid Questions'!$D$21),2,1))-64)*26+(CODE(RIGHT(TRIM('Hybrid Questions'!$D$21),1))-64))),"")=""),"Column '"&amp;'Hybrid Questions'!$D$21&amp;"' has no header on the Responses sheet, so there are no multiple-choice answers to analyse.","")</f>
        <v>0</v>
      </c>
      <c r="F2027" s="4" t="s">
        <v>217</v>
      </c>
    </row>
    <row r="2028" spans="1:6" ht="75" customHeight="1">
      <c r="A2028" t="s">
        <v>271</v>
      </c>
      <c r="B2028" t="s">
        <v>294</v>
      </c>
      <c r="C2028" t="s">
        <v>1805</v>
      </c>
      <c r="D2028" t="s">
        <v>165</v>
      </c>
      <c r="E2028" s="4">
        <f>IF(AND('Hybrid Questions'!$D$22&lt;&gt;"",IFERROR(INDEX(Responses!$A$1:$XFD$1,1,CHOOSE(LEN(TRIM('Hybrid Questions'!$D$22)),CODE(TRIM('Hybrid Questions'!$D$22))-64,(CODE(LEFT(TRIM('Hybrid Questions'!$D$22),1))-64)*26+(CODE(RIGHT(TRIM('Hybrid Questions'!$D$22),1))-64),(CODE(LEFT(TRIM('Hybrid Questions'!$D$22),1))-64)*676+(CODE(MID(TRIM('Hybrid Questions'!$D$22),2,1))-64)*26+(CODE(RIGHT(TRIM('Hybrid Questions'!$D$22),1))-64))),"")=""),"Column '"&amp;'Hybrid Questions'!$D$22&amp;"' has no header on the Responses sheet, so there are no multiple-choice answers to analyse.","")</f>
        <v>0</v>
      </c>
      <c r="F2028" s="4" t="s">
        <v>217</v>
      </c>
    </row>
    <row r="2029" spans="1:6" ht="75" customHeight="1">
      <c r="A2029" t="s">
        <v>271</v>
      </c>
      <c r="B2029" t="s">
        <v>295</v>
      </c>
      <c r="C2029" t="s">
        <v>1805</v>
      </c>
      <c r="D2029" t="s">
        <v>165</v>
      </c>
      <c r="E2029" s="4">
        <f>IF(AND('Hybrid Questions'!$D$23&lt;&gt;"",IFERROR(INDEX(Responses!$A$1:$XFD$1,1,CHOOSE(LEN(TRIM('Hybrid Questions'!$D$23)),CODE(TRIM('Hybrid Questions'!$D$23))-64,(CODE(LEFT(TRIM('Hybrid Questions'!$D$23),1))-64)*26+(CODE(RIGHT(TRIM('Hybrid Questions'!$D$23),1))-64),(CODE(LEFT(TRIM('Hybrid Questions'!$D$23),1))-64)*676+(CODE(MID(TRIM('Hybrid Questions'!$D$23),2,1))-64)*26+(CODE(RIGHT(TRIM('Hybrid Questions'!$D$23),1))-64))),"")=""),"Column '"&amp;'Hybrid Questions'!$D$23&amp;"' has no header on the Responses sheet, so there are no multiple-choice answers to analyse.","")</f>
        <v>0</v>
      </c>
      <c r="F2029" s="4" t="s">
        <v>217</v>
      </c>
    </row>
    <row r="2030" spans="1:6" ht="75" customHeight="1">
      <c r="A2030" t="s">
        <v>271</v>
      </c>
      <c r="B2030" t="s">
        <v>296</v>
      </c>
      <c r="C2030" t="s">
        <v>1805</v>
      </c>
      <c r="D2030" t="s">
        <v>165</v>
      </c>
      <c r="E2030" s="4">
        <f>IF(AND('Hybrid Questions'!$D$24&lt;&gt;"",IFERROR(INDEX(Responses!$A$1:$XFD$1,1,CHOOSE(LEN(TRIM('Hybrid Questions'!$D$24)),CODE(TRIM('Hybrid Questions'!$D$24))-64,(CODE(LEFT(TRIM('Hybrid Questions'!$D$24),1))-64)*26+(CODE(RIGHT(TRIM('Hybrid Questions'!$D$24),1))-64),(CODE(LEFT(TRIM('Hybrid Questions'!$D$24),1))-64)*676+(CODE(MID(TRIM('Hybrid Questions'!$D$24),2,1))-64)*26+(CODE(RIGHT(TRIM('Hybrid Questions'!$D$24),1))-64))),"")=""),"Column '"&amp;'Hybrid Questions'!$D$24&amp;"' has no header on the Responses sheet, so there are no multiple-choice answers to analyse.","")</f>
        <v>0</v>
      </c>
      <c r="F2030" s="4" t="s">
        <v>217</v>
      </c>
    </row>
    <row r="2031" spans="1:6" ht="75" customHeight="1">
      <c r="A2031" t="s">
        <v>271</v>
      </c>
      <c r="B2031" t="s">
        <v>297</v>
      </c>
      <c r="C2031" t="s">
        <v>1805</v>
      </c>
      <c r="D2031" t="s">
        <v>165</v>
      </c>
      <c r="E2031" s="4">
        <f>IF(AND('Hybrid Questions'!$D$25&lt;&gt;"",IFERROR(INDEX(Responses!$A$1:$XFD$1,1,CHOOSE(LEN(TRIM('Hybrid Questions'!$D$25)),CODE(TRIM('Hybrid Questions'!$D$25))-64,(CODE(LEFT(TRIM('Hybrid Questions'!$D$25),1))-64)*26+(CODE(RIGHT(TRIM('Hybrid Questions'!$D$25),1))-64),(CODE(LEFT(TRIM('Hybrid Questions'!$D$25),1))-64)*676+(CODE(MID(TRIM('Hybrid Questions'!$D$25),2,1))-64)*26+(CODE(RIGHT(TRIM('Hybrid Questions'!$D$25),1))-64))),"")=""),"Column '"&amp;'Hybrid Questions'!$D$25&amp;"' has no header on the Responses sheet, so there are no multiple-choice answers to analyse.","")</f>
        <v>0</v>
      </c>
      <c r="F2031" s="4" t="s">
        <v>217</v>
      </c>
    </row>
    <row r="2032" spans="1:6" ht="75" customHeight="1">
      <c r="A2032" t="s">
        <v>271</v>
      </c>
      <c r="B2032" t="s">
        <v>298</v>
      </c>
      <c r="C2032" t="s">
        <v>1805</v>
      </c>
      <c r="D2032" t="s">
        <v>165</v>
      </c>
      <c r="E2032" s="4">
        <f>IF(AND('Hybrid Questions'!$D$26&lt;&gt;"",IFERROR(INDEX(Responses!$A$1:$XFD$1,1,CHOOSE(LEN(TRIM('Hybrid Questions'!$D$26)),CODE(TRIM('Hybrid Questions'!$D$26))-64,(CODE(LEFT(TRIM('Hybrid Questions'!$D$26),1))-64)*26+(CODE(RIGHT(TRIM('Hybrid Questions'!$D$26),1))-64),(CODE(LEFT(TRIM('Hybrid Questions'!$D$26),1))-64)*676+(CODE(MID(TRIM('Hybrid Questions'!$D$26),2,1))-64)*26+(CODE(RIGHT(TRIM('Hybrid Questions'!$D$26),1))-64))),"")=""),"Column '"&amp;'Hybrid Questions'!$D$26&amp;"' has no header on the Responses sheet, so there are no multiple-choice answers to analyse.","")</f>
        <v>0</v>
      </c>
      <c r="F2032" s="4" t="s">
        <v>217</v>
      </c>
    </row>
    <row r="2033" spans="1:6" ht="75" customHeight="1">
      <c r="A2033" t="s">
        <v>271</v>
      </c>
      <c r="B2033" t="s">
        <v>299</v>
      </c>
      <c r="C2033" t="s">
        <v>1805</v>
      </c>
      <c r="D2033" t="s">
        <v>165</v>
      </c>
      <c r="E2033" s="4">
        <f>IF(AND('Hybrid Questions'!$D$27&lt;&gt;"",IFERROR(INDEX(Responses!$A$1:$XFD$1,1,CHOOSE(LEN(TRIM('Hybrid Questions'!$D$27)),CODE(TRIM('Hybrid Questions'!$D$27))-64,(CODE(LEFT(TRIM('Hybrid Questions'!$D$27),1))-64)*26+(CODE(RIGHT(TRIM('Hybrid Questions'!$D$27),1))-64),(CODE(LEFT(TRIM('Hybrid Questions'!$D$27),1))-64)*676+(CODE(MID(TRIM('Hybrid Questions'!$D$27),2,1))-64)*26+(CODE(RIGHT(TRIM('Hybrid Questions'!$D$27),1))-64))),"")=""),"Column '"&amp;'Hybrid Questions'!$D$27&amp;"' has no header on the Responses sheet, so there are no multiple-choice answers to analyse.","")</f>
        <v>0</v>
      </c>
      <c r="F2033" s="4" t="s">
        <v>217</v>
      </c>
    </row>
    <row r="2034" spans="1:6" ht="75" customHeight="1">
      <c r="A2034" t="s">
        <v>271</v>
      </c>
      <c r="B2034" t="s">
        <v>300</v>
      </c>
      <c r="C2034" t="s">
        <v>1805</v>
      </c>
      <c r="D2034" t="s">
        <v>165</v>
      </c>
      <c r="E2034" s="4">
        <f>IF(AND('Hybrid Questions'!$D$28&lt;&gt;"",IFERROR(INDEX(Responses!$A$1:$XFD$1,1,CHOOSE(LEN(TRIM('Hybrid Questions'!$D$28)),CODE(TRIM('Hybrid Questions'!$D$28))-64,(CODE(LEFT(TRIM('Hybrid Questions'!$D$28),1))-64)*26+(CODE(RIGHT(TRIM('Hybrid Questions'!$D$28),1))-64),(CODE(LEFT(TRIM('Hybrid Questions'!$D$28),1))-64)*676+(CODE(MID(TRIM('Hybrid Questions'!$D$28),2,1))-64)*26+(CODE(RIGHT(TRIM('Hybrid Questions'!$D$28),1))-64))),"")=""),"Column '"&amp;'Hybrid Questions'!$D$28&amp;"' has no header on the Responses sheet, so there are no multiple-choice answers to analyse.","")</f>
        <v>0</v>
      </c>
      <c r="F2034" s="4" t="s">
        <v>217</v>
      </c>
    </row>
    <row r="2035" spans="1:6" ht="75" customHeight="1">
      <c r="A2035" t="s">
        <v>271</v>
      </c>
      <c r="B2035" t="s">
        <v>301</v>
      </c>
      <c r="C2035" t="s">
        <v>1805</v>
      </c>
      <c r="D2035" t="s">
        <v>165</v>
      </c>
      <c r="E2035" s="4">
        <f>IF(AND('Hybrid Questions'!$D$29&lt;&gt;"",IFERROR(INDEX(Responses!$A$1:$XFD$1,1,CHOOSE(LEN(TRIM('Hybrid Questions'!$D$29)),CODE(TRIM('Hybrid Questions'!$D$29))-64,(CODE(LEFT(TRIM('Hybrid Questions'!$D$29),1))-64)*26+(CODE(RIGHT(TRIM('Hybrid Questions'!$D$29),1))-64),(CODE(LEFT(TRIM('Hybrid Questions'!$D$29),1))-64)*676+(CODE(MID(TRIM('Hybrid Questions'!$D$29),2,1))-64)*26+(CODE(RIGHT(TRIM('Hybrid Questions'!$D$29),1))-64))),"")=""),"Column '"&amp;'Hybrid Questions'!$D$29&amp;"' has no header on the Responses sheet, so there are no multiple-choice answers to analyse.","")</f>
        <v>0</v>
      </c>
      <c r="F2035" s="4" t="s">
        <v>217</v>
      </c>
    </row>
    <row r="2036" spans="1:6" ht="75" customHeight="1">
      <c r="A2036" t="s">
        <v>271</v>
      </c>
      <c r="B2036" t="s">
        <v>302</v>
      </c>
      <c r="C2036" t="s">
        <v>1805</v>
      </c>
      <c r="D2036" t="s">
        <v>165</v>
      </c>
      <c r="E2036" s="4">
        <f>IF(AND('Hybrid Questions'!$D$30&lt;&gt;"",IFERROR(INDEX(Responses!$A$1:$XFD$1,1,CHOOSE(LEN(TRIM('Hybrid Questions'!$D$30)),CODE(TRIM('Hybrid Questions'!$D$30))-64,(CODE(LEFT(TRIM('Hybrid Questions'!$D$30),1))-64)*26+(CODE(RIGHT(TRIM('Hybrid Questions'!$D$30),1))-64),(CODE(LEFT(TRIM('Hybrid Questions'!$D$30),1))-64)*676+(CODE(MID(TRIM('Hybrid Questions'!$D$30),2,1))-64)*26+(CODE(RIGHT(TRIM('Hybrid Questions'!$D$30),1))-64))),"")=""),"Column '"&amp;'Hybrid Questions'!$D$30&amp;"' has no header on the Responses sheet, so there are no multiple-choice answers to analyse.","")</f>
        <v>0</v>
      </c>
      <c r="F2036" s="4" t="s">
        <v>217</v>
      </c>
    </row>
    <row r="2037" spans="1:6" ht="75" customHeight="1">
      <c r="A2037" t="s">
        <v>271</v>
      </c>
      <c r="B2037" t="s">
        <v>303</v>
      </c>
      <c r="C2037" t="s">
        <v>1805</v>
      </c>
      <c r="D2037" t="s">
        <v>165</v>
      </c>
      <c r="E2037" s="4">
        <f>IF(AND('Hybrid Questions'!$D$31&lt;&gt;"",IFERROR(INDEX(Responses!$A$1:$XFD$1,1,CHOOSE(LEN(TRIM('Hybrid Questions'!$D$31)),CODE(TRIM('Hybrid Questions'!$D$31))-64,(CODE(LEFT(TRIM('Hybrid Questions'!$D$31),1))-64)*26+(CODE(RIGHT(TRIM('Hybrid Questions'!$D$31),1))-64),(CODE(LEFT(TRIM('Hybrid Questions'!$D$31),1))-64)*676+(CODE(MID(TRIM('Hybrid Questions'!$D$31),2,1))-64)*26+(CODE(RIGHT(TRIM('Hybrid Questions'!$D$31),1))-64))),"")=""),"Column '"&amp;'Hybrid Questions'!$D$31&amp;"' has no header on the Responses sheet, so there are no multiple-choice answers to analyse.","")</f>
        <v>0</v>
      </c>
      <c r="F2037" s="4" t="s">
        <v>217</v>
      </c>
    </row>
    <row r="2038" spans="1:6" ht="75" customHeight="1">
      <c r="A2038" t="s">
        <v>271</v>
      </c>
      <c r="B2038" t="s">
        <v>304</v>
      </c>
      <c r="C2038" t="s">
        <v>1805</v>
      </c>
      <c r="D2038" t="s">
        <v>165</v>
      </c>
      <c r="E2038" s="4">
        <f>IF(AND('Hybrid Questions'!$D$32&lt;&gt;"",IFERROR(INDEX(Responses!$A$1:$XFD$1,1,CHOOSE(LEN(TRIM('Hybrid Questions'!$D$32)),CODE(TRIM('Hybrid Questions'!$D$32))-64,(CODE(LEFT(TRIM('Hybrid Questions'!$D$32),1))-64)*26+(CODE(RIGHT(TRIM('Hybrid Questions'!$D$32),1))-64),(CODE(LEFT(TRIM('Hybrid Questions'!$D$32),1))-64)*676+(CODE(MID(TRIM('Hybrid Questions'!$D$32),2,1))-64)*26+(CODE(RIGHT(TRIM('Hybrid Questions'!$D$32),1))-64))),"")=""),"Column '"&amp;'Hybrid Questions'!$D$32&amp;"' has no header on the Responses sheet, so there are no multiple-choice answers to analyse.","")</f>
        <v>0</v>
      </c>
      <c r="F2038" s="4" t="s">
        <v>217</v>
      </c>
    </row>
    <row r="2039" spans="1:6" ht="75" customHeight="1">
      <c r="A2039" t="s">
        <v>271</v>
      </c>
      <c r="B2039" t="s">
        <v>305</v>
      </c>
      <c r="C2039" t="s">
        <v>1805</v>
      </c>
      <c r="D2039" t="s">
        <v>165</v>
      </c>
      <c r="E2039" s="4">
        <f>IF(AND('Hybrid Questions'!$D$33&lt;&gt;"",IFERROR(INDEX(Responses!$A$1:$XFD$1,1,CHOOSE(LEN(TRIM('Hybrid Questions'!$D$33)),CODE(TRIM('Hybrid Questions'!$D$33))-64,(CODE(LEFT(TRIM('Hybrid Questions'!$D$33),1))-64)*26+(CODE(RIGHT(TRIM('Hybrid Questions'!$D$33),1))-64),(CODE(LEFT(TRIM('Hybrid Questions'!$D$33),1))-64)*676+(CODE(MID(TRIM('Hybrid Questions'!$D$33),2,1))-64)*26+(CODE(RIGHT(TRIM('Hybrid Questions'!$D$33),1))-64))),"")=""),"Column '"&amp;'Hybrid Questions'!$D$33&amp;"' has no header on the Responses sheet, so there are no multiple-choice answers to analyse.","")</f>
        <v>0</v>
      </c>
      <c r="F2039" s="4" t="s">
        <v>217</v>
      </c>
    </row>
    <row r="2040" spans="1:6" ht="75" customHeight="1">
      <c r="A2040" t="s">
        <v>271</v>
      </c>
      <c r="B2040" t="s">
        <v>306</v>
      </c>
      <c r="C2040" t="s">
        <v>1805</v>
      </c>
      <c r="D2040" t="s">
        <v>165</v>
      </c>
      <c r="E2040" s="4">
        <f>IF(AND('Hybrid Questions'!$D$34&lt;&gt;"",IFERROR(INDEX(Responses!$A$1:$XFD$1,1,CHOOSE(LEN(TRIM('Hybrid Questions'!$D$34)),CODE(TRIM('Hybrid Questions'!$D$34))-64,(CODE(LEFT(TRIM('Hybrid Questions'!$D$34),1))-64)*26+(CODE(RIGHT(TRIM('Hybrid Questions'!$D$34),1))-64),(CODE(LEFT(TRIM('Hybrid Questions'!$D$34),1))-64)*676+(CODE(MID(TRIM('Hybrid Questions'!$D$34),2,1))-64)*26+(CODE(RIGHT(TRIM('Hybrid Questions'!$D$34),1))-64))),"")=""),"Column '"&amp;'Hybrid Questions'!$D$34&amp;"' has no header on the Responses sheet, so there are no multiple-choice answers to analyse.","")</f>
        <v>0</v>
      </c>
      <c r="F2040" s="4" t="s">
        <v>217</v>
      </c>
    </row>
    <row r="2041" spans="1:6" ht="75" customHeight="1">
      <c r="A2041" t="s">
        <v>271</v>
      </c>
      <c r="B2041" t="s">
        <v>307</v>
      </c>
      <c r="C2041" t="s">
        <v>1805</v>
      </c>
      <c r="D2041" t="s">
        <v>165</v>
      </c>
      <c r="E2041" s="4">
        <f>IF(AND('Hybrid Questions'!$D$35&lt;&gt;"",IFERROR(INDEX(Responses!$A$1:$XFD$1,1,CHOOSE(LEN(TRIM('Hybrid Questions'!$D$35)),CODE(TRIM('Hybrid Questions'!$D$35))-64,(CODE(LEFT(TRIM('Hybrid Questions'!$D$35),1))-64)*26+(CODE(RIGHT(TRIM('Hybrid Questions'!$D$35),1))-64),(CODE(LEFT(TRIM('Hybrid Questions'!$D$35),1))-64)*676+(CODE(MID(TRIM('Hybrid Questions'!$D$35),2,1))-64)*26+(CODE(RIGHT(TRIM('Hybrid Questions'!$D$35),1))-64))),"")=""),"Column '"&amp;'Hybrid Questions'!$D$35&amp;"' has no header on the Responses sheet, so there are no multiple-choice answers to analyse.","")</f>
        <v>0</v>
      </c>
      <c r="F2041" s="4" t="s">
        <v>217</v>
      </c>
    </row>
    <row r="2042" spans="1:6" ht="75" customHeight="1">
      <c r="A2042" t="s">
        <v>271</v>
      </c>
      <c r="B2042" t="s">
        <v>308</v>
      </c>
      <c r="C2042" t="s">
        <v>1805</v>
      </c>
      <c r="D2042" t="s">
        <v>165</v>
      </c>
      <c r="E2042" s="4">
        <f>IF(AND('Hybrid Questions'!$D$36&lt;&gt;"",IFERROR(INDEX(Responses!$A$1:$XFD$1,1,CHOOSE(LEN(TRIM('Hybrid Questions'!$D$36)),CODE(TRIM('Hybrid Questions'!$D$36))-64,(CODE(LEFT(TRIM('Hybrid Questions'!$D$36),1))-64)*26+(CODE(RIGHT(TRIM('Hybrid Questions'!$D$36),1))-64),(CODE(LEFT(TRIM('Hybrid Questions'!$D$36),1))-64)*676+(CODE(MID(TRIM('Hybrid Questions'!$D$36),2,1))-64)*26+(CODE(RIGHT(TRIM('Hybrid Questions'!$D$36),1))-64))),"")=""),"Column '"&amp;'Hybrid Questions'!$D$36&amp;"' has no header on the Responses sheet, so there are no multiple-choice answers to analyse.","")</f>
        <v>0</v>
      </c>
      <c r="F2042" s="4" t="s">
        <v>217</v>
      </c>
    </row>
    <row r="2043" spans="1:6" ht="75" customHeight="1">
      <c r="A2043" t="s">
        <v>271</v>
      </c>
      <c r="B2043" t="s">
        <v>309</v>
      </c>
      <c r="C2043" t="s">
        <v>1805</v>
      </c>
      <c r="D2043" t="s">
        <v>165</v>
      </c>
      <c r="E2043" s="4">
        <f>IF(AND('Hybrid Questions'!$D$37&lt;&gt;"",IFERROR(INDEX(Responses!$A$1:$XFD$1,1,CHOOSE(LEN(TRIM('Hybrid Questions'!$D$37)),CODE(TRIM('Hybrid Questions'!$D$37))-64,(CODE(LEFT(TRIM('Hybrid Questions'!$D$37),1))-64)*26+(CODE(RIGHT(TRIM('Hybrid Questions'!$D$37),1))-64),(CODE(LEFT(TRIM('Hybrid Questions'!$D$37),1))-64)*676+(CODE(MID(TRIM('Hybrid Questions'!$D$37),2,1))-64)*26+(CODE(RIGHT(TRIM('Hybrid Questions'!$D$37),1))-64))),"")=""),"Column '"&amp;'Hybrid Questions'!$D$37&amp;"' has no header on the Responses sheet, so there are no multiple-choice answers to analyse.","")</f>
        <v>0</v>
      </c>
      <c r="F2043" s="4" t="s">
        <v>217</v>
      </c>
    </row>
    <row r="2044" spans="1:6" ht="75" customHeight="1">
      <c r="A2044" t="s">
        <v>271</v>
      </c>
      <c r="B2044" t="s">
        <v>310</v>
      </c>
      <c r="C2044" t="s">
        <v>1805</v>
      </c>
      <c r="D2044" t="s">
        <v>165</v>
      </c>
      <c r="E2044" s="4">
        <f>IF(AND('Hybrid Questions'!$D$38&lt;&gt;"",IFERROR(INDEX(Responses!$A$1:$XFD$1,1,CHOOSE(LEN(TRIM('Hybrid Questions'!$D$38)),CODE(TRIM('Hybrid Questions'!$D$38))-64,(CODE(LEFT(TRIM('Hybrid Questions'!$D$38),1))-64)*26+(CODE(RIGHT(TRIM('Hybrid Questions'!$D$38),1))-64),(CODE(LEFT(TRIM('Hybrid Questions'!$D$38),1))-64)*676+(CODE(MID(TRIM('Hybrid Questions'!$D$38),2,1))-64)*26+(CODE(RIGHT(TRIM('Hybrid Questions'!$D$38),1))-64))),"")=""),"Column '"&amp;'Hybrid Questions'!$D$38&amp;"' has no header on the Responses sheet, so there are no multiple-choice answers to analyse.","")</f>
        <v>0</v>
      </c>
      <c r="F2044" s="4" t="s">
        <v>217</v>
      </c>
    </row>
    <row r="2045" spans="1:6" ht="75" customHeight="1">
      <c r="A2045" t="s">
        <v>271</v>
      </c>
      <c r="B2045" t="s">
        <v>311</v>
      </c>
      <c r="C2045" t="s">
        <v>1805</v>
      </c>
      <c r="D2045" t="s">
        <v>165</v>
      </c>
      <c r="E2045" s="4">
        <f>IF(AND('Hybrid Questions'!$D$39&lt;&gt;"",IFERROR(INDEX(Responses!$A$1:$XFD$1,1,CHOOSE(LEN(TRIM('Hybrid Questions'!$D$39)),CODE(TRIM('Hybrid Questions'!$D$39))-64,(CODE(LEFT(TRIM('Hybrid Questions'!$D$39),1))-64)*26+(CODE(RIGHT(TRIM('Hybrid Questions'!$D$39),1))-64),(CODE(LEFT(TRIM('Hybrid Questions'!$D$39),1))-64)*676+(CODE(MID(TRIM('Hybrid Questions'!$D$39),2,1))-64)*26+(CODE(RIGHT(TRIM('Hybrid Questions'!$D$39),1))-64))),"")=""),"Column '"&amp;'Hybrid Questions'!$D$39&amp;"' has no header on the Responses sheet, so there are no multiple-choice answers to analyse.","")</f>
        <v>0</v>
      </c>
      <c r="F2045" s="4" t="s">
        <v>217</v>
      </c>
    </row>
    <row r="2046" spans="1:6" ht="75" customHeight="1">
      <c r="A2046" t="s">
        <v>271</v>
      </c>
      <c r="B2046" t="s">
        <v>312</v>
      </c>
      <c r="C2046" t="s">
        <v>1805</v>
      </c>
      <c r="D2046" t="s">
        <v>165</v>
      </c>
      <c r="E2046" s="4">
        <f>IF(AND('Hybrid Questions'!$D$40&lt;&gt;"",IFERROR(INDEX(Responses!$A$1:$XFD$1,1,CHOOSE(LEN(TRIM('Hybrid Questions'!$D$40)),CODE(TRIM('Hybrid Questions'!$D$40))-64,(CODE(LEFT(TRIM('Hybrid Questions'!$D$40),1))-64)*26+(CODE(RIGHT(TRIM('Hybrid Questions'!$D$40),1))-64),(CODE(LEFT(TRIM('Hybrid Questions'!$D$40),1))-64)*676+(CODE(MID(TRIM('Hybrid Questions'!$D$40),2,1))-64)*26+(CODE(RIGHT(TRIM('Hybrid Questions'!$D$40),1))-64))),"")=""),"Column '"&amp;'Hybrid Questions'!$D$40&amp;"' has no header on the Responses sheet, so there are no multiple-choice answers to analyse.","")</f>
        <v>0</v>
      </c>
      <c r="F2046" s="4" t="s">
        <v>217</v>
      </c>
    </row>
    <row r="2047" spans="1:6" ht="75" customHeight="1">
      <c r="A2047" t="s">
        <v>271</v>
      </c>
      <c r="B2047" t="s">
        <v>313</v>
      </c>
      <c r="C2047" t="s">
        <v>1805</v>
      </c>
      <c r="D2047" t="s">
        <v>165</v>
      </c>
      <c r="E2047" s="4">
        <f>IF(AND('Hybrid Questions'!$D$41&lt;&gt;"",IFERROR(INDEX(Responses!$A$1:$XFD$1,1,CHOOSE(LEN(TRIM('Hybrid Questions'!$D$41)),CODE(TRIM('Hybrid Questions'!$D$41))-64,(CODE(LEFT(TRIM('Hybrid Questions'!$D$41),1))-64)*26+(CODE(RIGHT(TRIM('Hybrid Questions'!$D$41),1))-64),(CODE(LEFT(TRIM('Hybrid Questions'!$D$41),1))-64)*676+(CODE(MID(TRIM('Hybrid Questions'!$D$41),2,1))-64)*26+(CODE(RIGHT(TRIM('Hybrid Questions'!$D$41),1))-64))),"")=""),"Column '"&amp;'Hybrid Questions'!$D$41&amp;"' has no header on the Responses sheet, so there are no multiple-choice answers to analyse.","")</f>
        <v>0</v>
      </c>
      <c r="F2047" s="4" t="s">
        <v>217</v>
      </c>
    </row>
    <row r="2048" spans="1:6" ht="75" customHeight="1">
      <c r="A2048" t="s">
        <v>271</v>
      </c>
      <c r="B2048" t="s">
        <v>314</v>
      </c>
      <c r="C2048" t="s">
        <v>1805</v>
      </c>
      <c r="D2048" t="s">
        <v>165</v>
      </c>
      <c r="E2048" s="4">
        <f>IF(AND('Hybrid Questions'!$D$42&lt;&gt;"",IFERROR(INDEX(Responses!$A$1:$XFD$1,1,CHOOSE(LEN(TRIM('Hybrid Questions'!$D$42)),CODE(TRIM('Hybrid Questions'!$D$42))-64,(CODE(LEFT(TRIM('Hybrid Questions'!$D$42),1))-64)*26+(CODE(RIGHT(TRIM('Hybrid Questions'!$D$42),1))-64),(CODE(LEFT(TRIM('Hybrid Questions'!$D$42),1))-64)*676+(CODE(MID(TRIM('Hybrid Questions'!$D$42),2,1))-64)*26+(CODE(RIGHT(TRIM('Hybrid Questions'!$D$42),1))-64))),"")=""),"Column '"&amp;'Hybrid Questions'!$D$42&amp;"' has no header on the Responses sheet, so there are no multiple-choice answers to analyse.","")</f>
        <v>0</v>
      </c>
      <c r="F2048" s="4" t="s">
        <v>217</v>
      </c>
    </row>
    <row r="2049" spans="1:6" ht="75" customHeight="1">
      <c r="A2049" t="s">
        <v>271</v>
      </c>
      <c r="B2049" t="s">
        <v>315</v>
      </c>
      <c r="C2049" t="s">
        <v>1805</v>
      </c>
      <c r="D2049" t="s">
        <v>165</v>
      </c>
      <c r="E2049" s="4">
        <f>IF(AND('Hybrid Questions'!$D$43&lt;&gt;"",IFERROR(INDEX(Responses!$A$1:$XFD$1,1,CHOOSE(LEN(TRIM('Hybrid Questions'!$D$43)),CODE(TRIM('Hybrid Questions'!$D$43))-64,(CODE(LEFT(TRIM('Hybrid Questions'!$D$43),1))-64)*26+(CODE(RIGHT(TRIM('Hybrid Questions'!$D$43),1))-64),(CODE(LEFT(TRIM('Hybrid Questions'!$D$43),1))-64)*676+(CODE(MID(TRIM('Hybrid Questions'!$D$43),2,1))-64)*26+(CODE(RIGHT(TRIM('Hybrid Questions'!$D$43),1))-64))),"")=""),"Column '"&amp;'Hybrid Questions'!$D$43&amp;"' has no header on the Responses sheet, so there are no multiple-choice answers to analyse.","")</f>
        <v>0</v>
      </c>
      <c r="F2049" s="4" t="s">
        <v>217</v>
      </c>
    </row>
    <row r="2050" spans="1:6" ht="75" customHeight="1">
      <c r="A2050" t="s">
        <v>271</v>
      </c>
      <c r="B2050" t="s">
        <v>316</v>
      </c>
      <c r="C2050" t="s">
        <v>1805</v>
      </c>
      <c r="D2050" t="s">
        <v>165</v>
      </c>
      <c r="E2050" s="4">
        <f>IF(AND('Hybrid Questions'!$D$44&lt;&gt;"",IFERROR(INDEX(Responses!$A$1:$XFD$1,1,CHOOSE(LEN(TRIM('Hybrid Questions'!$D$44)),CODE(TRIM('Hybrid Questions'!$D$44))-64,(CODE(LEFT(TRIM('Hybrid Questions'!$D$44),1))-64)*26+(CODE(RIGHT(TRIM('Hybrid Questions'!$D$44),1))-64),(CODE(LEFT(TRIM('Hybrid Questions'!$D$44),1))-64)*676+(CODE(MID(TRIM('Hybrid Questions'!$D$44),2,1))-64)*26+(CODE(RIGHT(TRIM('Hybrid Questions'!$D$44),1))-64))),"")=""),"Column '"&amp;'Hybrid Questions'!$D$44&amp;"' has no header on the Responses sheet, so there are no multiple-choice answers to analyse.","")</f>
        <v>0</v>
      </c>
      <c r="F2050" s="4" t="s">
        <v>217</v>
      </c>
    </row>
    <row r="2051" spans="1:6" ht="75" customHeight="1">
      <c r="A2051" t="s">
        <v>271</v>
      </c>
      <c r="B2051" t="s">
        <v>317</v>
      </c>
      <c r="C2051" t="s">
        <v>1805</v>
      </c>
      <c r="D2051" t="s">
        <v>165</v>
      </c>
      <c r="E2051" s="4">
        <f>IF(AND('Hybrid Questions'!$D$45&lt;&gt;"",IFERROR(INDEX(Responses!$A$1:$XFD$1,1,CHOOSE(LEN(TRIM('Hybrid Questions'!$D$45)),CODE(TRIM('Hybrid Questions'!$D$45))-64,(CODE(LEFT(TRIM('Hybrid Questions'!$D$45),1))-64)*26+(CODE(RIGHT(TRIM('Hybrid Questions'!$D$45),1))-64),(CODE(LEFT(TRIM('Hybrid Questions'!$D$45),1))-64)*676+(CODE(MID(TRIM('Hybrid Questions'!$D$45),2,1))-64)*26+(CODE(RIGHT(TRIM('Hybrid Questions'!$D$45),1))-64))),"")=""),"Column '"&amp;'Hybrid Questions'!$D$45&amp;"' has no header on the Responses sheet, so there are no multiple-choice answers to analyse.","")</f>
        <v>0</v>
      </c>
      <c r="F2051" s="4" t="s">
        <v>217</v>
      </c>
    </row>
    <row r="2052" spans="1:6" ht="75" customHeight="1">
      <c r="A2052" t="s">
        <v>271</v>
      </c>
      <c r="B2052" t="s">
        <v>318</v>
      </c>
      <c r="C2052" t="s">
        <v>1805</v>
      </c>
      <c r="D2052" t="s">
        <v>165</v>
      </c>
      <c r="E2052" s="4">
        <f>IF(AND('Hybrid Questions'!$D$46&lt;&gt;"",IFERROR(INDEX(Responses!$A$1:$XFD$1,1,CHOOSE(LEN(TRIM('Hybrid Questions'!$D$46)),CODE(TRIM('Hybrid Questions'!$D$46))-64,(CODE(LEFT(TRIM('Hybrid Questions'!$D$46),1))-64)*26+(CODE(RIGHT(TRIM('Hybrid Questions'!$D$46),1))-64),(CODE(LEFT(TRIM('Hybrid Questions'!$D$46),1))-64)*676+(CODE(MID(TRIM('Hybrid Questions'!$D$46),2,1))-64)*26+(CODE(RIGHT(TRIM('Hybrid Questions'!$D$46),1))-64))),"")=""),"Column '"&amp;'Hybrid Questions'!$D$46&amp;"' has no header on the Responses sheet, so there are no multiple-choice answers to analyse.","")</f>
        <v>0</v>
      </c>
      <c r="F2052" s="4" t="s">
        <v>217</v>
      </c>
    </row>
    <row r="2053" spans="1:6" ht="75" customHeight="1">
      <c r="A2053" t="s">
        <v>271</v>
      </c>
      <c r="B2053" t="s">
        <v>319</v>
      </c>
      <c r="C2053" t="s">
        <v>1805</v>
      </c>
      <c r="D2053" t="s">
        <v>165</v>
      </c>
      <c r="E2053" s="4">
        <f>IF(AND('Hybrid Questions'!$D$47&lt;&gt;"",IFERROR(INDEX(Responses!$A$1:$XFD$1,1,CHOOSE(LEN(TRIM('Hybrid Questions'!$D$47)),CODE(TRIM('Hybrid Questions'!$D$47))-64,(CODE(LEFT(TRIM('Hybrid Questions'!$D$47),1))-64)*26+(CODE(RIGHT(TRIM('Hybrid Questions'!$D$47),1))-64),(CODE(LEFT(TRIM('Hybrid Questions'!$D$47),1))-64)*676+(CODE(MID(TRIM('Hybrid Questions'!$D$47),2,1))-64)*26+(CODE(RIGHT(TRIM('Hybrid Questions'!$D$47),1))-64))),"")=""),"Column '"&amp;'Hybrid Questions'!$D$47&amp;"' has no header on the Responses sheet, so there are no multiple-choice answers to analyse.","")</f>
        <v>0</v>
      </c>
      <c r="F2053" s="4" t="s">
        <v>217</v>
      </c>
    </row>
    <row r="2054" spans="1:6" ht="75" customHeight="1">
      <c r="A2054" t="s">
        <v>271</v>
      </c>
      <c r="B2054" t="s">
        <v>320</v>
      </c>
      <c r="C2054" t="s">
        <v>1805</v>
      </c>
      <c r="D2054" t="s">
        <v>165</v>
      </c>
      <c r="E2054" s="4">
        <f>IF(AND('Hybrid Questions'!$D$48&lt;&gt;"",IFERROR(INDEX(Responses!$A$1:$XFD$1,1,CHOOSE(LEN(TRIM('Hybrid Questions'!$D$48)),CODE(TRIM('Hybrid Questions'!$D$48))-64,(CODE(LEFT(TRIM('Hybrid Questions'!$D$48),1))-64)*26+(CODE(RIGHT(TRIM('Hybrid Questions'!$D$48),1))-64),(CODE(LEFT(TRIM('Hybrid Questions'!$D$48),1))-64)*676+(CODE(MID(TRIM('Hybrid Questions'!$D$48),2,1))-64)*26+(CODE(RIGHT(TRIM('Hybrid Questions'!$D$48),1))-64))),"")=""),"Column '"&amp;'Hybrid Questions'!$D$48&amp;"' has no header on the Responses sheet, so there are no multiple-choice answers to analyse.","")</f>
        <v>0</v>
      </c>
      <c r="F2054" s="4" t="s">
        <v>217</v>
      </c>
    </row>
    <row r="2055" spans="1:6" ht="75" customHeight="1">
      <c r="A2055" t="s">
        <v>271</v>
      </c>
      <c r="B2055" t="s">
        <v>321</v>
      </c>
      <c r="C2055" t="s">
        <v>1805</v>
      </c>
      <c r="D2055" t="s">
        <v>165</v>
      </c>
      <c r="E2055" s="4">
        <f>IF(AND('Hybrid Questions'!$D$49&lt;&gt;"",IFERROR(INDEX(Responses!$A$1:$XFD$1,1,CHOOSE(LEN(TRIM('Hybrid Questions'!$D$49)),CODE(TRIM('Hybrid Questions'!$D$49))-64,(CODE(LEFT(TRIM('Hybrid Questions'!$D$49),1))-64)*26+(CODE(RIGHT(TRIM('Hybrid Questions'!$D$49),1))-64),(CODE(LEFT(TRIM('Hybrid Questions'!$D$49),1))-64)*676+(CODE(MID(TRIM('Hybrid Questions'!$D$49),2,1))-64)*26+(CODE(RIGHT(TRIM('Hybrid Questions'!$D$49),1))-64))),"")=""),"Column '"&amp;'Hybrid Questions'!$D$49&amp;"' has no header on the Responses sheet, so there are no multiple-choice answers to analyse.","")</f>
        <v>0</v>
      </c>
      <c r="F2055" s="4" t="s">
        <v>217</v>
      </c>
    </row>
    <row r="2056" spans="1:6" ht="75" customHeight="1">
      <c r="A2056" t="s">
        <v>271</v>
      </c>
      <c r="B2056" t="s">
        <v>322</v>
      </c>
      <c r="C2056" t="s">
        <v>1805</v>
      </c>
      <c r="D2056" t="s">
        <v>165</v>
      </c>
      <c r="E2056" s="4">
        <f>IF(AND('Hybrid Questions'!$D$50&lt;&gt;"",IFERROR(INDEX(Responses!$A$1:$XFD$1,1,CHOOSE(LEN(TRIM('Hybrid Questions'!$D$50)),CODE(TRIM('Hybrid Questions'!$D$50))-64,(CODE(LEFT(TRIM('Hybrid Questions'!$D$50),1))-64)*26+(CODE(RIGHT(TRIM('Hybrid Questions'!$D$50),1))-64),(CODE(LEFT(TRIM('Hybrid Questions'!$D$50),1))-64)*676+(CODE(MID(TRIM('Hybrid Questions'!$D$50),2,1))-64)*26+(CODE(RIGHT(TRIM('Hybrid Questions'!$D$50),1))-64))),"")=""),"Column '"&amp;'Hybrid Questions'!$D$50&amp;"' has no header on the Responses sheet, so there are no multiple-choice answers to analyse.","")</f>
        <v>0</v>
      </c>
      <c r="F2056" s="4" t="s">
        <v>217</v>
      </c>
    </row>
    <row r="2057" spans="1:6" ht="75" customHeight="1">
      <c r="A2057" t="s">
        <v>271</v>
      </c>
      <c r="B2057" t="s">
        <v>323</v>
      </c>
      <c r="C2057" t="s">
        <v>1805</v>
      </c>
      <c r="D2057" t="s">
        <v>165</v>
      </c>
      <c r="E2057" s="4">
        <f>IF(AND('Hybrid Questions'!$D$51&lt;&gt;"",IFERROR(INDEX(Responses!$A$1:$XFD$1,1,CHOOSE(LEN(TRIM('Hybrid Questions'!$D$51)),CODE(TRIM('Hybrid Questions'!$D$51))-64,(CODE(LEFT(TRIM('Hybrid Questions'!$D$51),1))-64)*26+(CODE(RIGHT(TRIM('Hybrid Questions'!$D$51),1))-64),(CODE(LEFT(TRIM('Hybrid Questions'!$D$51),1))-64)*676+(CODE(MID(TRIM('Hybrid Questions'!$D$51),2,1))-64)*26+(CODE(RIGHT(TRIM('Hybrid Questions'!$D$51),1))-64))),"")=""),"Column '"&amp;'Hybrid Questions'!$D$51&amp;"' has no header on the Responses sheet, so there are no multiple-choice answers to analyse.","")</f>
        <v>0</v>
      </c>
      <c r="F2057" s="4" t="s">
        <v>217</v>
      </c>
    </row>
    <row r="2058" spans="1:6" ht="75" customHeight="1">
      <c r="A2058" t="s">
        <v>271</v>
      </c>
      <c r="B2058" t="s">
        <v>163</v>
      </c>
      <c r="C2058" t="s">
        <v>1806</v>
      </c>
      <c r="D2058" t="s">
        <v>165</v>
      </c>
      <c r="E2058" s="4">
        <f>IF(AND('Hybrid Questions'!$A$2&lt;&gt;"",IFERROR(INDEX(Responses!$A$1:$XFD$1,1,CHOOSE(LEN(TRIM('Hybrid Questions'!$A$2)),CODE(TRIM('Hybrid Questions'!$A$2))-64,(CODE(LEFT(TRIM('Hybrid Questions'!$A$2),1))-64)*26+(CODE(RIGHT(TRIM('Hybrid Questions'!$A$2),1))-64),(CODE(LEFT(TRIM('Hybrid Questions'!$A$2),1))-64)*676+(CODE(MID(TRIM('Hybrid Questions'!$A$2),2,1))-64)*26+(CODE(RIGHT(TRIM('Hybrid Questions'!$A$2),1))-64))),"")=""),"Column '"&amp;'Hybrid Questions'!$A$2&amp;"' has no header on the Responses sheet, so there are no free-text answers to analyse.","")</f>
        <v>0</v>
      </c>
      <c r="F2058" s="4" t="s">
        <v>217</v>
      </c>
    </row>
    <row r="2059" spans="1:6" ht="75" customHeight="1">
      <c r="A2059" t="s">
        <v>271</v>
      </c>
      <c r="B2059" t="s">
        <v>167</v>
      </c>
      <c r="C2059" t="s">
        <v>1806</v>
      </c>
      <c r="D2059" t="s">
        <v>165</v>
      </c>
      <c r="E2059" s="4">
        <f>IF(AND('Hybrid Questions'!$A$3&lt;&gt;"",IFERROR(INDEX(Responses!$A$1:$XFD$1,1,CHOOSE(LEN(TRIM('Hybrid Questions'!$A$3)),CODE(TRIM('Hybrid Questions'!$A$3))-64,(CODE(LEFT(TRIM('Hybrid Questions'!$A$3),1))-64)*26+(CODE(RIGHT(TRIM('Hybrid Questions'!$A$3),1))-64),(CODE(LEFT(TRIM('Hybrid Questions'!$A$3),1))-64)*676+(CODE(MID(TRIM('Hybrid Questions'!$A$3),2,1))-64)*26+(CODE(RIGHT(TRIM('Hybrid Questions'!$A$3),1))-64))),"")=""),"Column '"&amp;'Hybrid Questions'!$A$3&amp;"' has no header on the Responses sheet, so there are no free-text answers to analyse.","")</f>
        <v>0</v>
      </c>
      <c r="F2059" s="4" t="s">
        <v>217</v>
      </c>
    </row>
    <row r="2060" spans="1:6" ht="75" customHeight="1">
      <c r="A2060" t="s">
        <v>271</v>
      </c>
      <c r="B2060" t="s">
        <v>168</v>
      </c>
      <c r="C2060" t="s">
        <v>1806</v>
      </c>
      <c r="D2060" t="s">
        <v>165</v>
      </c>
      <c r="E2060" s="4">
        <f>IF(AND('Hybrid Questions'!$A$4&lt;&gt;"",IFERROR(INDEX(Responses!$A$1:$XFD$1,1,CHOOSE(LEN(TRIM('Hybrid Questions'!$A$4)),CODE(TRIM('Hybrid Questions'!$A$4))-64,(CODE(LEFT(TRIM('Hybrid Questions'!$A$4),1))-64)*26+(CODE(RIGHT(TRIM('Hybrid Questions'!$A$4),1))-64),(CODE(LEFT(TRIM('Hybrid Questions'!$A$4),1))-64)*676+(CODE(MID(TRIM('Hybrid Questions'!$A$4),2,1))-64)*26+(CODE(RIGHT(TRIM('Hybrid Questions'!$A$4),1))-64))),"")=""),"Column '"&amp;'Hybrid Questions'!$A$4&amp;"' has no header on the Responses sheet, so there are no free-text answers to analyse.","")</f>
        <v>0</v>
      </c>
      <c r="F2060" s="4" t="s">
        <v>217</v>
      </c>
    </row>
    <row r="2061" spans="1:6" ht="75" customHeight="1">
      <c r="A2061" t="s">
        <v>271</v>
      </c>
      <c r="B2061" t="s">
        <v>169</v>
      </c>
      <c r="C2061" t="s">
        <v>1806</v>
      </c>
      <c r="D2061" t="s">
        <v>165</v>
      </c>
      <c r="E2061" s="4">
        <f>IF(AND('Hybrid Questions'!$A$5&lt;&gt;"",IFERROR(INDEX(Responses!$A$1:$XFD$1,1,CHOOSE(LEN(TRIM('Hybrid Questions'!$A$5)),CODE(TRIM('Hybrid Questions'!$A$5))-64,(CODE(LEFT(TRIM('Hybrid Questions'!$A$5),1))-64)*26+(CODE(RIGHT(TRIM('Hybrid Questions'!$A$5),1))-64),(CODE(LEFT(TRIM('Hybrid Questions'!$A$5),1))-64)*676+(CODE(MID(TRIM('Hybrid Questions'!$A$5),2,1))-64)*26+(CODE(RIGHT(TRIM('Hybrid Questions'!$A$5),1))-64))),"")=""),"Column '"&amp;'Hybrid Questions'!$A$5&amp;"' has no header on the Responses sheet, so there are no free-text answers to analyse.","")</f>
        <v>0</v>
      </c>
      <c r="F2061" s="4" t="s">
        <v>217</v>
      </c>
    </row>
    <row r="2062" spans="1:6" ht="75" customHeight="1">
      <c r="A2062" t="s">
        <v>271</v>
      </c>
      <c r="B2062" t="s">
        <v>170</v>
      </c>
      <c r="C2062" t="s">
        <v>1806</v>
      </c>
      <c r="D2062" t="s">
        <v>165</v>
      </c>
      <c r="E2062" s="4">
        <f>IF(AND('Hybrid Questions'!$A$6&lt;&gt;"",IFERROR(INDEX(Responses!$A$1:$XFD$1,1,CHOOSE(LEN(TRIM('Hybrid Questions'!$A$6)),CODE(TRIM('Hybrid Questions'!$A$6))-64,(CODE(LEFT(TRIM('Hybrid Questions'!$A$6),1))-64)*26+(CODE(RIGHT(TRIM('Hybrid Questions'!$A$6),1))-64),(CODE(LEFT(TRIM('Hybrid Questions'!$A$6),1))-64)*676+(CODE(MID(TRIM('Hybrid Questions'!$A$6),2,1))-64)*26+(CODE(RIGHT(TRIM('Hybrid Questions'!$A$6),1))-64))),"")=""),"Column '"&amp;'Hybrid Questions'!$A$6&amp;"' has no header on the Responses sheet, so there are no free-text answers to analyse.","")</f>
        <v>0</v>
      </c>
      <c r="F2062" s="4" t="s">
        <v>217</v>
      </c>
    </row>
    <row r="2063" spans="1:6" ht="75" customHeight="1">
      <c r="A2063" t="s">
        <v>271</v>
      </c>
      <c r="B2063" t="s">
        <v>171</v>
      </c>
      <c r="C2063" t="s">
        <v>1806</v>
      </c>
      <c r="D2063" t="s">
        <v>165</v>
      </c>
      <c r="E2063" s="4">
        <f>IF(AND('Hybrid Questions'!$A$7&lt;&gt;"",IFERROR(INDEX(Responses!$A$1:$XFD$1,1,CHOOSE(LEN(TRIM('Hybrid Questions'!$A$7)),CODE(TRIM('Hybrid Questions'!$A$7))-64,(CODE(LEFT(TRIM('Hybrid Questions'!$A$7),1))-64)*26+(CODE(RIGHT(TRIM('Hybrid Questions'!$A$7),1))-64),(CODE(LEFT(TRIM('Hybrid Questions'!$A$7),1))-64)*676+(CODE(MID(TRIM('Hybrid Questions'!$A$7),2,1))-64)*26+(CODE(RIGHT(TRIM('Hybrid Questions'!$A$7),1))-64))),"")=""),"Column '"&amp;'Hybrid Questions'!$A$7&amp;"' has no header on the Responses sheet, so there are no free-text answers to analyse.","")</f>
        <v>0</v>
      </c>
      <c r="F2063" s="4" t="s">
        <v>217</v>
      </c>
    </row>
    <row r="2064" spans="1:6" ht="75" customHeight="1">
      <c r="A2064" t="s">
        <v>271</v>
      </c>
      <c r="B2064" t="s">
        <v>172</v>
      </c>
      <c r="C2064" t="s">
        <v>1806</v>
      </c>
      <c r="D2064" t="s">
        <v>165</v>
      </c>
      <c r="E2064" s="4">
        <f>IF(AND('Hybrid Questions'!$A$8&lt;&gt;"",IFERROR(INDEX(Responses!$A$1:$XFD$1,1,CHOOSE(LEN(TRIM('Hybrid Questions'!$A$8)),CODE(TRIM('Hybrid Questions'!$A$8))-64,(CODE(LEFT(TRIM('Hybrid Questions'!$A$8),1))-64)*26+(CODE(RIGHT(TRIM('Hybrid Questions'!$A$8),1))-64),(CODE(LEFT(TRIM('Hybrid Questions'!$A$8),1))-64)*676+(CODE(MID(TRIM('Hybrid Questions'!$A$8),2,1))-64)*26+(CODE(RIGHT(TRIM('Hybrid Questions'!$A$8),1))-64))),"")=""),"Column '"&amp;'Hybrid Questions'!$A$8&amp;"' has no header on the Responses sheet, so there are no free-text answers to analyse.","")</f>
        <v>0</v>
      </c>
      <c r="F2064" s="4" t="s">
        <v>217</v>
      </c>
    </row>
    <row r="2065" spans="1:6" ht="75" customHeight="1">
      <c r="A2065" t="s">
        <v>271</v>
      </c>
      <c r="B2065" t="s">
        <v>173</v>
      </c>
      <c r="C2065" t="s">
        <v>1806</v>
      </c>
      <c r="D2065" t="s">
        <v>165</v>
      </c>
      <c r="E2065" s="4">
        <f>IF(AND('Hybrid Questions'!$A$9&lt;&gt;"",IFERROR(INDEX(Responses!$A$1:$XFD$1,1,CHOOSE(LEN(TRIM('Hybrid Questions'!$A$9)),CODE(TRIM('Hybrid Questions'!$A$9))-64,(CODE(LEFT(TRIM('Hybrid Questions'!$A$9),1))-64)*26+(CODE(RIGHT(TRIM('Hybrid Questions'!$A$9),1))-64),(CODE(LEFT(TRIM('Hybrid Questions'!$A$9),1))-64)*676+(CODE(MID(TRIM('Hybrid Questions'!$A$9),2,1))-64)*26+(CODE(RIGHT(TRIM('Hybrid Questions'!$A$9),1))-64))),"")=""),"Column '"&amp;'Hybrid Questions'!$A$9&amp;"' has no header on the Responses sheet, so there are no free-text answers to analyse.","")</f>
        <v>0</v>
      </c>
      <c r="F2065" s="4" t="s">
        <v>217</v>
      </c>
    </row>
    <row r="2066" spans="1:6" ht="75" customHeight="1">
      <c r="A2066" t="s">
        <v>271</v>
      </c>
      <c r="B2066" t="s">
        <v>174</v>
      </c>
      <c r="C2066" t="s">
        <v>1806</v>
      </c>
      <c r="D2066" t="s">
        <v>165</v>
      </c>
      <c r="E2066" s="4">
        <f>IF(AND('Hybrid Questions'!$A$10&lt;&gt;"",IFERROR(INDEX(Responses!$A$1:$XFD$1,1,CHOOSE(LEN(TRIM('Hybrid Questions'!$A$10)),CODE(TRIM('Hybrid Questions'!$A$10))-64,(CODE(LEFT(TRIM('Hybrid Questions'!$A$10),1))-64)*26+(CODE(RIGHT(TRIM('Hybrid Questions'!$A$10),1))-64),(CODE(LEFT(TRIM('Hybrid Questions'!$A$10),1))-64)*676+(CODE(MID(TRIM('Hybrid Questions'!$A$10),2,1))-64)*26+(CODE(RIGHT(TRIM('Hybrid Questions'!$A$10),1))-64))),"")=""),"Column '"&amp;'Hybrid Questions'!$A$10&amp;"' has no header on the Responses sheet, so there are no free-text answers to analyse.","")</f>
        <v>0</v>
      </c>
      <c r="F2066" s="4" t="s">
        <v>217</v>
      </c>
    </row>
    <row r="2067" spans="1:6" ht="75" customHeight="1">
      <c r="A2067" t="s">
        <v>271</v>
      </c>
      <c r="B2067" t="s">
        <v>175</v>
      </c>
      <c r="C2067" t="s">
        <v>1806</v>
      </c>
      <c r="D2067" t="s">
        <v>165</v>
      </c>
      <c r="E2067" s="4">
        <f>IF(AND('Hybrid Questions'!$A$11&lt;&gt;"",IFERROR(INDEX(Responses!$A$1:$XFD$1,1,CHOOSE(LEN(TRIM('Hybrid Questions'!$A$11)),CODE(TRIM('Hybrid Questions'!$A$11))-64,(CODE(LEFT(TRIM('Hybrid Questions'!$A$11),1))-64)*26+(CODE(RIGHT(TRIM('Hybrid Questions'!$A$11),1))-64),(CODE(LEFT(TRIM('Hybrid Questions'!$A$11),1))-64)*676+(CODE(MID(TRIM('Hybrid Questions'!$A$11),2,1))-64)*26+(CODE(RIGHT(TRIM('Hybrid Questions'!$A$11),1))-64))),"")=""),"Column '"&amp;'Hybrid Questions'!$A$11&amp;"' has no header on the Responses sheet, so there are no free-text answers to analyse.","")</f>
        <v>0</v>
      </c>
      <c r="F2067" s="4" t="s">
        <v>217</v>
      </c>
    </row>
    <row r="2068" spans="1:6" ht="75" customHeight="1">
      <c r="A2068" t="s">
        <v>271</v>
      </c>
      <c r="B2068" t="s">
        <v>176</v>
      </c>
      <c r="C2068" t="s">
        <v>1806</v>
      </c>
      <c r="D2068" t="s">
        <v>165</v>
      </c>
      <c r="E2068" s="4">
        <f>IF(AND('Hybrid Questions'!$A$12&lt;&gt;"",IFERROR(INDEX(Responses!$A$1:$XFD$1,1,CHOOSE(LEN(TRIM('Hybrid Questions'!$A$12)),CODE(TRIM('Hybrid Questions'!$A$12))-64,(CODE(LEFT(TRIM('Hybrid Questions'!$A$12),1))-64)*26+(CODE(RIGHT(TRIM('Hybrid Questions'!$A$12),1))-64),(CODE(LEFT(TRIM('Hybrid Questions'!$A$12),1))-64)*676+(CODE(MID(TRIM('Hybrid Questions'!$A$12),2,1))-64)*26+(CODE(RIGHT(TRIM('Hybrid Questions'!$A$12),1))-64))),"")=""),"Column '"&amp;'Hybrid Questions'!$A$12&amp;"' has no header on the Responses sheet, so there are no free-text answers to analyse.","")</f>
        <v>0</v>
      </c>
      <c r="F2068" s="4" t="s">
        <v>217</v>
      </c>
    </row>
    <row r="2069" spans="1:6" ht="75" customHeight="1">
      <c r="A2069" t="s">
        <v>271</v>
      </c>
      <c r="B2069" t="s">
        <v>177</v>
      </c>
      <c r="C2069" t="s">
        <v>1806</v>
      </c>
      <c r="D2069" t="s">
        <v>165</v>
      </c>
      <c r="E2069" s="4">
        <f>IF(AND('Hybrid Questions'!$A$13&lt;&gt;"",IFERROR(INDEX(Responses!$A$1:$XFD$1,1,CHOOSE(LEN(TRIM('Hybrid Questions'!$A$13)),CODE(TRIM('Hybrid Questions'!$A$13))-64,(CODE(LEFT(TRIM('Hybrid Questions'!$A$13),1))-64)*26+(CODE(RIGHT(TRIM('Hybrid Questions'!$A$13),1))-64),(CODE(LEFT(TRIM('Hybrid Questions'!$A$13),1))-64)*676+(CODE(MID(TRIM('Hybrid Questions'!$A$13),2,1))-64)*26+(CODE(RIGHT(TRIM('Hybrid Questions'!$A$13),1))-64))),"")=""),"Column '"&amp;'Hybrid Questions'!$A$13&amp;"' has no header on the Responses sheet, so there are no free-text answers to analyse.","")</f>
        <v>0</v>
      </c>
      <c r="F2069" s="4" t="s">
        <v>217</v>
      </c>
    </row>
    <row r="2070" spans="1:6" ht="75" customHeight="1">
      <c r="A2070" t="s">
        <v>271</v>
      </c>
      <c r="B2070" t="s">
        <v>178</v>
      </c>
      <c r="C2070" t="s">
        <v>1806</v>
      </c>
      <c r="D2070" t="s">
        <v>165</v>
      </c>
      <c r="E2070" s="4">
        <f>IF(AND('Hybrid Questions'!$A$14&lt;&gt;"",IFERROR(INDEX(Responses!$A$1:$XFD$1,1,CHOOSE(LEN(TRIM('Hybrid Questions'!$A$14)),CODE(TRIM('Hybrid Questions'!$A$14))-64,(CODE(LEFT(TRIM('Hybrid Questions'!$A$14),1))-64)*26+(CODE(RIGHT(TRIM('Hybrid Questions'!$A$14),1))-64),(CODE(LEFT(TRIM('Hybrid Questions'!$A$14),1))-64)*676+(CODE(MID(TRIM('Hybrid Questions'!$A$14),2,1))-64)*26+(CODE(RIGHT(TRIM('Hybrid Questions'!$A$14),1))-64))),"")=""),"Column '"&amp;'Hybrid Questions'!$A$14&amp;"' has no header on the Responses sheet, so there are no free-text answers to analyse.","")</f>
        <v>0</v>
      </c>
      <c r="F2070" s="4" t="s">
        <v>217</v>
      </c>
    </row>
    <row r="2071" spans="1:6" ht="75" customHeight="1">
      <c r="A2071" t="s">
        <v>271</v>
      </c>
      <c r="B2071" t="s">
        <v>179</v>
      </c>
      <c r="C2071" t="s">
        <v>1806</v>
      </c>
      <c r="D2071" t="s">
        <v>165</v>
      </c>
      <c r="E2071" s="4">
        <f>IF(AND('Hybrid Questions'!$A$15&lt;&gt;"",IFERROR(INDEX(Responses!$A$1:$XFD$1,1,CHOOSE(LEN(TRIM('Hybrid Questions'!$A$15)),CODE(TRIM('Hybrid Questions'!$A$15))-64,(CODE(LEFT(TRIM('Hybrid Questions'!$A$15),1))-64)*26+(CODE(RIGHT(TRIM('Hybrid Questions'!$A$15),1))-64),(CODE(LEFT(TRIM('Hybrid Questions'!$A$15),1))-64)*676+(CODE(MID(TRIM('Hybrid Questions'!$A$15),2,1))-64)*26+(CODE(RIGHT(TRIM('Hybrid Questions'!$A$15),1))-64))),"")=""),"Column '"&amp;'Hybrid Questions'!$A$15&amp;"' has no header on the Responses sheet, so there are no free-text answers to analyse.","")</f>
        <v>0</v>
      </c>
      <c r="F2071" s="4" t="s">
        <v>217</v>
      </c>
    </row>
    <row r="2072" spans="1:6" ht="75" customHeight="1">
      <c r="A2072" t="s">
        <v>271</v>
      </c>
      <c r="B2072" t="s">
        <v>180</v>
      </c>
      <c r="C2072" t="s">
        <v>1806</v>
      </c>
      <c r="D2072" t="s">
        <v>165</v>
      </c>
      <c r="E2072" s="4">
        <f>IF(AND('Hybrid Questions'!$A$16&lt;&gt;"",IFERROR(INDEX(Responses!$A$1:$XFD$1,1,CHOOSE(LEN(TRIM('Hybrid Questions'!$A$16)),CODE(TRIM('Hybrid Questions'!$A$16))-64,(CODE(LEFT(TRIM('Hybrid Questions'!$A$16),1))-64)*26+(CODE(RIGHT(TRIM('Hybrid Questions'!$A$16),1))-64),(CODE(LEFT(TRIM('Hybrid Questions'!$A$16),1))-64)*676+(CODE(MID(TRIM('Hybrid Questions'!$A$16),2,1))-64)*26+(CODE(RIGHT(TRIM('Hybrid Questions'!$A$16),1))-64))),"")=""),"Column '"&amp;'Hybrid Questions'!$A$16&amp;"' has no header on the Responses sheet, so there are no free-text answers to analyse.","")</f>
        <v>0</v>
      </c>
      <c r="F2072" s="4" t="s">
        <v>217</v>
      </c>
    </row>
    <row r="2073" spans="1:6" ht="75" customHeight="1">
      <c r="A2073" t="s">
        <v>271</v>
      </c>
      <c r="B2073" t="s">
        <v>181</v>
      </c>
      <c r="C2073" t="s">
        <v>1806</v>
      </c>
      <c r="D2073" t="s">
        <v>165</v>
      </c>
      <c r="E2073" s="4">
        <f>IF(AND('Hybrid Questions'!$A$17&lt;&gt;"",IFERROR(INDEX(Responses!$A$1:$XFD$1,1,CHOOSE(LEN(TRIM('Hybrid Questions'!$A$17)),CODE(TRIM('Hybrid Questions'!$A$17))-64,(CODE(LEFT(TRIM('Hybrid Questions'!$A$17),1))-64)*26+(CODE(RIGHT(TRIM('Hybrid Questions'!$A$17),1))-64),(CODE(LEFT(TRIM('Hybrid Questions'!$A$17),1))-64)*676+(CODE(MID(TRIM('Hybrid Questions'!$A$17),2,1))-64)*26+(CODE(RIGHT(TRIM('Hybrid Questions'!$A$17),1))-64))),"")=""),"Column '"&amp;'Hybrid Questions'!$A$17&amp;"' has no header on the Responses sheet, so there are no free-text answers to analyse.","")</f>
        <v>0</v>
      </c>
      <c r="F2073" s="4" t="s">
        <v>217</v>
      </c>
    </row>
    <row r="2074" spans="1:6" ht="75" customHeight="1">
      <c r="A2074" t="s">
        <v>271</v>
      </c>
      <c r="B2074" t="s">
        <v>182</v>
      </c>
      <c r="C2074" t="s">
        <v>1806</v>
      </c>
      <c r="D2074" t="s">
        <v>165</v>
      </c>
      <c r="E2074" s="4">
        <f>IF(AND('Hybrid Questions'!$A$18&lt;&gt;"",IFERROR(INDEX(Responses!$A$1:$XFD$1,1,CHOOSE(LEN(TRIM('Hybrid Questions'!$A$18)),CODE(TRIM('Hybrid Questions'!$A$18))-64,(CODE(LEFT(TRIM('Hybrid Questions'!$A$18),1))-64)*26+(CODE(RIGHT(TRIM('Hybrid Questions'!$A$18),1))-64),(CODE(LEFT(TRIM('Hybrid Questions'!$A$18),1))-64)*676+(CODE(MID(TRIM('Hybrid Questions'!$A$18),2,1))-64)*26+(CODE(RIGHT(TRIM('Hybrid Questions'!$A$18),1))-64))),"")=""),"Column '"&amp;'Hybrid Questions'!$A$18&amp;"' has no header on the Responses sheet, so there are no free-text answers to analyse.","")</f>
        <v>0</v>
      </c>
      <c r="F2074" s="4" t="s">
        <v>217</v>
      </c>
    </row>
    <row r="2075" spans="1:6" ht="75" customHeight="1">
      <c r="A2075" t="s">
        <v>271</v>
      </c>
      <c r="B2075" t="s">
        <v>183</v>
      </c>
      <c r="C2075" t="s">
        <v>1806</v>
      </c>
      <c r="D2075" t="s">
        <v>165</v>
      </c>
      <c r="E2075" s="4">
        <f>IF(AND('Hybrid Questions'!$A$19&lt;&gt;"",IFERROR(INDEX(Responses!$A$1:$XFD$1,1,CHOOSE(LEN(TRIM('Hybrid Questions'!$A$19)),CODE(TRIM('Hybrid Questions'!$A$19))-64,(CODE(LEFT(TRIM('Hybrid Questions'!$A$19),1))-64)*26+(CODE(RIGHT(TRIM('Hybrid Questions'!$A$19),1))-64),(CODE(LEFT(TRIM('Hybrid Questions'!$A$19),1))-64)*676+(CODE(MID(TRIM('Hybrid Questions'!$A$19),2,1))-64)*26+(CODE(RIGHT(TRIM('Hybrid Questions'!$A$19),1))-64))),"")=""),"Column '"&amp;'Hybrid Questions'!$A$19&amp;"' has no header on the Responses sheet, so there are no free-text answers to analyse.","")</f>
        <v>0</v>
      </c>
      <c r="F2075" s="4" t="s">
        <v>217</v>
      </c>
    </row>
    <row r="2076" spans="1:6" ht="75" customHeight="1">
      <c r="A2076" t="s">
        <v>271</v>
      </c>
      <c r="B2076" t="s">
        <v>184</v>
      </c>
      <c r="C2076" t="s">
        <v>1806</v>
      </c>
      <c r="D2076" t="s">
        <v>165</v>
      </c>
      <c r="E2076" s="4">
        <f>IF(AND('Hybrid Questions'!$A$20&lt;&gt;"",IFERROR(INDEX(Responses!$A$1:$XFD$1,1,CHOOSE(LEN(TRIM('Hybrid Questions'!$A$20)),CODE(TRIM('Hybrid Questions'!$A$20))-64,(CODE(LEFT(TRIM('Hybrid Questions'!$A$20),1))-64)*26+(CODE(RIGHT(TRIM('Hybrid Questions'!$A$20),1))-64),(CODE(LEFT(TRIM('Hybrid Questions'!$A$20),1))-64)*676+(CODE(MID(TRIM('Hybrid Questions'!$A$20),2,1))-64)*26+(CODE(RIGHT(TRIM('Hybrid Questions'!$A$20),1))-64))),"")=""),"Column '"&amp;'Hybrid Questions'!$A$20&amp;"' has no header on the Responses sheet, so there are no free-text answers to analyse.","")</f>
        <v>0</v>
      </c>
      <c r="F2076" s="4" t="s">
        <v>217</v>
      </c>
    </row>
    <row r="2077" spans="1:6" ht="75" customHeight="1">
      <c r="A2077" t="s">
        <v>271</v>
      </c>
      <c r="B2077" t="s">
        <v>185</v>
      </c>
      <c r="C2077" t="s">
        <v>1806</v>
      </c>
      <c r="D2077" t="s">
        <v>165</v>
      </c>
      <c r="E2077" s="4">
        <f>IF(AND('Hybrid Questions'!$A$21&lt;&gt;"",IFERROR(INDEX(Responses!$A$1:$XFD$1,1,CHOOSE(LEN(TRIM('Hybrid Questions'!$A$21)),CODE(TRIM('Hybrid Questions'!$A$21))-64,(CODE(LEFT(TRIM('Hybrid Questions'!$A$21),1))-64)*26+(CODE(RIGHT(TRIM('Hybrid Questions'!$A$21),1))-64),(CODE(LEFT(TRIM('Hybrid Questions'!$A$21),1))-64)*676+(CODE(MID(TRIM('Hybrid Questions'!$A$21),2,1))-64)*26+(CODE(RIGHT(TRIM('Hybrid Questions'!$A$21),1))-64))),"")=""),"Column '"&amp;'Hybrid Questions'!$A$21&amp;"' has no header on the Responses sheet, so there are no free-text answers to analyse.","")</f>
        <v>0</v>
      </c>
      <c r="F2077" s="4" t="s">
        <v>217</v>
      </c>
    </row>
    <row r="2078" spans="1:6" ht="75" customHeight="1">
      <c r="A2078" t="s">
        <v>271</v>
      </c>
      <c r="B2078" t="s">
        <v>186</v>
      </c>
      <c r="C2078" t="s">
        <v>1806</v>
      </c>
      <c r="D2078" t="s">
        <v>165</v>
      </c>
      <c r="E2078" s="4">
        <f>IF(AND('Hybrid Questions'!$A$22&lt;&gt;"",IFERROR(INDEX(Responses!$A$1:$XFD$1,1,CHOOSE(LEN(TRIM('Hybrid Questions'!$A$22)),CODE(TRIM('Hybrid Questions'!$A$22))-64,(CODE(LEFT(TRIM('Hybrid Questions'!$A$22),1))-64)*26+(CODE(RIGHT(TRIM('Hybrid Questions'!$A$22),1))-64),(CODE(LEFT(TRIM('Hybrid Questions'!$A$22),1))-64)*676+(CODE(MID(TRIM('Hybrid Questions'!$A$22),2,1))-64)*26+(CODE(RIGHT(TRIM('Hybrid Questions'!$A$22),1))-64))),"")=""),"Column '"&amp;'Hybrid Questions'!$A$22&amp;"' has no header on the Responses sheet, so there are no free-text answers to analyse.","")</f>
        <v>0</v>
      </c>
      <c r="F2078" s="4" t="s">
        <v>217</v>
      </c>
    </row>
    <row r="2079" spans="1:6" ht="75" customHeight="1">
      <c r="A2079" t="s">
        <v>271</v>
      </c>
      <c r="B2079" t="s">
        <v>187</v>
      </c>
      <c r="C2079" t="s">
        <v>1806</v>
      </c>
      <c r="D2079" t="s">
        <v>165</v>
      </c>
      <c r="E2079" s="4">
        <f>IF(AND('Hybrid Questions'!$A$23&lt;&gt;"",IFERROR(INDEX(Responses!$A$1:$XFD$1,1,CHOOSE(LEN(TRIM('Hybrid Questions'!$A$23)),CODE(TRIM('Hybrid Questions'!$A$23))-64,(CODE(LEFT(TRIM('Hybrid Questions'!$A$23),1))-64)*26+(CODE(RIGHT(TRIM('Hybrid Questions'!$A$23),1))-64),(CODE(LEFT(TRIM('Hybrid Questions'!$A$23),1))-64)*676+(CODE(MID(TRIM('Hybrid Questions'!$A$23),2,1))-64)*26+(CODE(RIGHT(TRIM('Hybrid Questions'!$A$23),1))-64))),"")=""),"Column '"&amp;'Hybrid Questions'!$A$23&amp;"' has no header on the Responses sheet, so there are no free-text answers to analyse.","")</f>
        <v>0</v>
      </c>
      <c r="F2079" s="4" t="s">
        <v>217</v>
      </c>
    </row>
    <row r="2080" spans="1:6" ht="75" customHeight="1">
      <c r="A2080" t="s">
        <v>271</v>
      </c>
      <c r="B2080" t="s">
        <v>188</v>
      </c>
      <c r="C2080" t="s">
        <v>1806</v>
      </c>
      <c r="D2080" t="s">
        <v>165</v>
      </c>
      <c r="E2080" s="4">
        <f>IF(AND('Hybrid Questions'!$A$24&lt;&gt;"",IFERROR(INDEX(Responses!$A$1:$XFD$1,1,CHOOSE(LEN(TRIM('Hybrid Questions'!$A$24)),CODE(TRIM('Hybrid Questions'!$A$24))-64,(CODE(LEFT(TRIM('Hybrid Questions'!$A$24),1))-64)*26+(CODE(RIGHT(TRIM('Hybrid Questions'!$A$24),1))-64),(CODE(LEFT(TRIM('Hybrid Questions'!$A$24),1))-64)*676+(CODE(MID(TRIM('Hybrid Questions'!$A$24),2,1))-64)*26+(CODE(RIGHT(TRIM('Hybrid Questions'!$A$24),1))-64))),"")=""),"Column '"&amp;'Hybrid Questions'!$A$24&amp;"' has no header on the Responses sheet, so there are no free-text answers to analyse.","")</f>
        <v>0</v>
      </c>
      <c r="F2080" s="4" t="s">
        <v>217</v>
      </c>
    </row>
    <row r="2081" spans="1:6" ht="75" customHeight="1">
      <c r="A2081" t="s">
        <v>271</v>
      </c>
      <c r="B2081" t="s">
        <v>189</v>
      </c>
      <c r="C2081" t="s">
        <v>1806</v>
      </c>
      <c r="D2081" t="s">
        <v>165</v>
      </c>
      <c r="E2081" s="4">
        <f>IF(AND('Hybrid Questions'!$A$25&lt;&gt;"",IFERROR(INDEX(Responses!$A$1:$XFD$1,1,CHOOSE(LEN(TRIM('Hybrid Questions'!$A$25)),CODE(TRIM('Hybrid Questions'!$A$25))-64,(CODE(LEFT(TRIM('Hybrid Questions'!$A$25),1))-64)*26+(CODE(RIGHT(TRIM('Hybrid Questions'!$A$25),1))-64),(CODE(LEFT(TRIM('Hybrid Questions'!$A$25),1))-64)*676+(CODE(MID(TRIM('Hybrid Questions'!$A$25),2,1))-64)*26+(CODE(RIGHT(TRIM('Hybrid Questions'!$A$25),1))-64))),"")=""),"Column '"&amp;'Hybrid Questions'!$A$25&amp;"' has no header on the Responses sheet, so there are no free-text answers to analyse.","")</f>
        <v>0</v>
      </c>
      <c r="F2081" s="4" t="s">
        <v>217</v>
      </c>
    </row>
    <row r="2082" spans="1:6" ht="75" customHeight="1">
      <c r="A2082" t="s">
        <v>271</v>
      </c>
      <c r="B2082" t="s">
        <v>190</v>
      </c>
      <c r="C2082" t="s">
        <v>1806</v>
      </c>
      <c r="D2082" t="s">
        <v>165</v>
      </c>
      <c r="E2082" s="4">
        <f>IF(AND('Hybrid Questions'!$A$26&lt;&gt;"",IFERROR(INDEX(Responses!$A$1:$XFD$1,1,CHOOSE(LEN(TRIM('Hybrid Questions'!$A$26)),CODE(TRIM('Hybrid Questions'!$A$26))-64,(CODE(LEFT(TRIM('Hybrid Questions'!$A$26),1))-64)*26+(CODE(RIGHT(TRIM('Hybrid Questions'!$A$26),1))-64),(CODE(LEFT(TRIM('Hybrid Questions'!$A$26),1))-64)*676+(CODE(MID(TRIM('Hybrid Questions'!$A$26),2,1))-64)*26+(CODE(RIGHT(TRIM('Hybrid Questions'!$A$26),1))-64))),"")=""),"Column '"&amp;'Hybrid Questions'!$A$26&amp;"' has no header on the Responses sheet, so there are no free-text answers to analyse.","")</f>
        <v>0</v>
      </c>
      <c r="F2082" s="4" t="s">
        <v>217</v>
      </c>
    </row>
    <row r="2083" spans="1:6" ht="75" customHeight="1">
      <c r="A2083" t="s">
        <v>271</v>
      </c>
      <c r="B2083" t="s">
        <v>191</v>
      </c>
      <c r="C2083" t="s">
        <v>1806</v>
      </c>
      <c r="D2083" t="s">
        <v>165</v>
      </c>
      <c r="E2083" s="4">
        <f>IF(AND('Hybrid Questions'!$A$27&lt;&gt;"",IFERROR(INDEX(Responses!$A$1:$XFD$1,1,CHOOSE(LEN(TRIM('Hybrid Questions'!$A$27)),CODE(TRIM('Hybrid Questions'!$A$27))-64,(CODE(LEFT(TRIM('Hybrid Questions'!$A$27),1))-64)*26+(CODE(RIGHT(TRIM('Hybrid Questions'!$A$27),1))-64),(CODE(LEFT(TRIM('Hybrid Questions'!$A$27),1))-64)*676+(CODE(MID(TRIM('Hybrid Questions'!$A$27),2,1))-64)*26+(CODE(RIGHT(TRIM('Hybrid Questions'!$A$27),1))-64))),"")=""),"Column '"&amp;'Hybrid Questions'!$A$27&amp;"' has no header on the Responses sheet, so there are no free-text answers to analyse.","")</f>
        <v>0</v>
      </c>
      <c r="F2083" s="4" t="s">
        <v>217</v>
      </c>
    </row>
    <row r="2084" spans="1:6" ht="75" customHeight="1">
      <c r="A2084" t="s">
        <v>271</v>
      </c>
      <c r="B2084" t="s">
        <v>192</v>
      </c>
      <c r="C2084" t="s">
        <v>1806</v>
      </c>
      <c r="D2084" t="s">
        <v>165</v>
      </c>
      <c r="E2084" s="4">
        <f>IF(AND('Hybrid Questions'!$A$28&lt;&gt;"",IFERROR(INDEX(Responses!$A$1:$XFD$1,1,CHOOSE(LEN(TRIM('Hybrid Questions'!$A$28)),CODE(TRIM('Hybrid Questions'!$A$28))-64,(CODE(LEFT(TRIM('Hybrid Questions'!$A$28),1))-64)*26+(CODE(RIGHT(TRIM('Hybrid Questions'!$A$28),1))-64),(CODE(LEFT(TRIM('Hybrid Questions'!$A$28),1))-64)*676+(CODE(MID(TRIM('Hybrid Questions'!$A$28),2,1))-64)*26+(CODE(RIGHT(TRIM('Hybrid Questions'!$A$28),1))-64))),"")=""),"Column '"&amp;'Hybrid Questions'!$A$28&amp;"' has no header on the Responses sheet, so there are no free-text answers to analyse.","")</f>
        <v>0</v>
      </c>
      <c r="F2084" s="4" t="s">
        <v>217</v>
      </c>
    </row>
    <row r="2085" spans="1:6" ht="75" customHeight="1">
      <c r="A2085" t="s">
        <v>271</v>
      </c>
      <c r="B2085" t="s">
        <v>193</v>
      </c>
      <c r="C2085" t="s">
        <v>1806</v>
      </c>
      <c r="D2085" t="s">
        <v>165</v>
      </c>
      <c r="E2085" s="4">
        <f>IF(AND('Hybrid Questions'!$A$29&lt;&gt;"",IFERROR(INDEX(Responses!$A$1:$XFD$1,1,CHOOSE(LEN(TRIM('Hybrid Questions'!$A$29)),CODE(TRIM('Hybrid Questions'!$A$29))-64,(CODE(LEFT(TRIM('Hybrid Questions'!$A$29),1))-64)*26+(CODE(RIGHT(TRIM('Hybrid Questions'!$A$29),1))-64),(CODE(LEFT(TRIM('Hybrid Questions'!$A$29),1))-64)*676+(CODE(MID(TRIM('Hybrid Questions'!$A$29),2,1))-64)*26+(CODE(RIGHT(TRIM('Hybrid Questions'!$A$29),1))-64))),"")=""),"Column '"&amp;'Hybrid Questions'!$A$29&amp;"' has no header on the Responses sheet, so there are no free-text answers to analyse.","")</f>
        <v>0</v>
      </c>
      <c r="F2085" s="4" t="s">
        <v>217</v>
      </c>
    </row>
    <row r="2086" spans="1:6" ht="75" customHeight="1">
      <c r="A2086" t="s">
        <v>271</v>
      </c>
      <c r="B2086" t="s">
        <v>194</v>
      </c>
      <c r="C2086" t="s">
        <v>1806</v>
      </c>
      <c r="D2086" t="s">
        <v>165</v>
      </c>
      <c r="E2086" s="4">
        <f>IF(AND('Hybrid Questions'!$A$30&lt;&gt;"",IFERROR(INDEX(Responses!$A$1:$XFD$1,1,CHOOSE(LEN(TRIM('Hybrid Questions'!$A$30)),CODE(TRIM('Hybrid Questions'!$A$30))-64,(CODE(LEFT(TRIM('Hybrid Questions'!$A$30),1))-64)*26+(CODE(RIGHT(TRIM('Hybrid Questions'!$A$30),1))-64),(CODE(LEFT(TRIM('Hybrid Questions'!$A$30),1))-64)*676+(CODE(MID(TRIM('Hybrid Questions'!$A$30),2,1))-64)*26+(CODE(RIGHT(TRIM('Hybrid Questions'!$A$30),1))-64))),"")=""),"Column '"&amp;'Hybrid Questions'!$A$30&amp;"' has no header on the Responses sheet, so there are no free-text answers to analyse.","")</f>
        <v>0</v>
      </c>
      <c r="F2086" s="4" t="s">
        <v>217</v>
      </c>
    </row>
    <row r="2087" spans="1:6" ht="75" customHeight="1">
      <c r="A2087" t="s">
        <v>271</v>
      </c>
      <c r="B2087" t="s">
        <v>195</v>
      </c>
      <c r="C2087" t="s">
        <v>1806</v>
      </c>
      <c r="D2087" t="s">
        <v>165</v>
      </c>
      <c r="E2087" s="4">
        <f>IF(AND('Hybrid Questions'!$A$31&lt;&gt;"",IFERROR(INDEX(Responses!$A$1:$XFD$1,1,CHOOSE(LEN(TRIM('Hybrid Questions'!$A$31)),CODE(TRIM('Hybrid Questions'!$A$31))-64,(CODE(LEFT(TRIM('Hybrid Questions'!$A$31),1))-64)*26+(CODE(RIGHT(TRIM('Hybrid Questions'!$A$31),1))-64),(CODE(LEFT(TRIM('Hybrid Questions'!$A$31),1))-64)*676+(CODE(MID(TRIM('Hybrid Questions'!$A$31),2,1))-64)*26+(CODE(RIGHT(TRIM('Hybrid Questions'!$A$31),1))-64))),"")=""),"Column '"&amp;'Hybrid Questions'!$A$31&amp;"' has no header on the Responses sheet, so there are no free-text answers to analyse.","")</f>
        <v>0</v>
      </c>
      <c r="F2087" s="4" t="s">
        <v>217</v>
      </c>
    </row>
    <row r="2088" spans="1:6" ht="75" customHeight="1">
      <c r="A2088" t="s">
        <v>271</v>
      </c>
      <c r="B2088" t="s">
        <v>196</v>
      </c>
      <c r="C2088" t="s">
        <v>1806</v>
      </c>
      <c r="D2088" t="s">
        <v>165</v>
      </c>
      <c r="E2088" s="4">
        <f>IF(AND('Hybrid Questions'!$A$32&lt;&gt;"",IFERROR(INDEX(Responses!$A$1:$XFD$1,1,CHOOSE(LEN(TRIM('Hybrid Questions'!$A$32)),CODE(TRIM('Hybrid Questions'!$A$32))-64,(CODE(LEFT(TRIM('Hybrid Questions'!$A$32),1))-64)*26+(CODE(RIGHT(TRIM('Hybrid Questions'!$A$32),1))-64),(CODE(LEFT(TRIM('Hybrid Questions'!$A$32),1))-64)*676+(CODE(MID(TRIM('Hybrid Questions'!$A$32),2,1))-64)*26+(CODE(RIGHT(TRIM('Hybrid Questions'!$A$32),1))-64))),"")=""),"Column '"&amp;'Hybrid Questions'!$A$32&amp;"' has no header on the Responses sheet, so there are no free-text answers to analyse.","")</f>
        <v>0</v>
      </c>
      <c r="F2088" s="4" t="s">
        <v>217</v>
      </c>
    </row>
    <row r="2089" spans="1:6" ht="75" customHeight="1">
      <c r="A2089" t="s">
        <v>271</v>
      </c>
      <c r="B2089" t="s">
        <v>197</v>
      </c>
      <c r="C2089" t="s">
        <v>1806</v>
      </c>
      <c r="D2089" t="s">
        <v>165</v>
      </c>
      <c r="E2089" s="4">
        <f>IF(AND('Hybrid Questions'!$A$33&lt;&gt;"",IFERROR(INDEX(Responses!$A$1:$XFD$1,1,CHOOSE(LEN(TRIM('Hybrid Questions'!$A$33)),CODE(TRIM('Hybrid Questions'!$A$33))-64,(CODE(LEFT(TRIM('Hybrid Questions'!$A$33),1))-64)*26+(CODE(RIGHT(TRIM('Hybrid Questions'!$A$33),1))-64),(CODE(LEFT(TRIM('Hybrid Questions'!$A$33),1))-64)*676+(CODE(MID(TRIM('Hybrid Questions'!$A$33),2,1))-64)*26+(CODE(RIGHT(TRIM('Hybrid Questions'!$A$33),1))-64))),"")=""),"Column '"&amp;'Hybrid Questions'!$A$33&amp;"' has no header on the Responses sheet, so there are no free-text answers to analyse.","")</f>
        <v>0</v>
      </c>
      <c r="F2089" s="4" t="s">
        <v>217</v>
      </c>
    </row>
    <row r="2090" spans="1:6" ht="75" customHeight="1">
      <c r="A2090" t="s">
        <v>271</v>
      </c>
      <c r="B2090" t="s">
        <v>198</v>
      </c>
      <c r="C2090" t="s">
        <v>1806</v>
      </c>
      <c r="D2090" t="s">
        <v>165</v>
      </c>
      <c r="E2090" s="4">
        <f>IF(AND('Hybrid Questions'!$A$34&lt;&gt;"",IFERROR(INDEX(Responses!$A$1:$XFD$1,1,CHOOSE(LEN(TRIM('Hybrid Questions'!$A$34)),CODE(TRIM('Hybrid Questions'!$A$34))-64,(CODE(LEFT(TRIM('Hybrid Questions'!$A$34),1))-64)*26+(CODE(RIGHT(TRIM('Hybrid Questions'!$A$34),1))-64),(CODE(LEFT(TRIM('Hybrid Questions'!$A$34),1))-64)*676+(CODE(MID(TRIM('Hybrid Questions'!$A$34),2,1))-64)*26+(CODE(RIGHT(TRIM('Hybrid Questions'!$A$34),1))-64))),"")=""),"Column '"&amp;'Hybrid Questions'!$A$34&amp;"' has no header on the Responses sheet, so there are no free-text answers to analyse.","")</f>
        <v>0</v>
      </c>
      <c r="F2090" s="4" t="s">
        <v>217</v>
      </c>
    </row>
    <row r="2091" spans="1:6" ht="75" customHeight="1">
      <c r="A2091" t="s">
        <v>271</v>
      </c>
      <c r="B2091" t="s">
        <v>199</v>
      </c>
      <c r="C2091" t="s">
        <v>1806</v>
      </c>
      <c r="D2091" t="s">
        <v>165</v>
      </c>
      <c r="E2091" s="4">
        <f>IF(AND('Hybrid Questions'!$A$35&lt;&gt;"",IFERROR(INDEX(Responses!$A$1:$XFD$1,1,CHOOSE(LEN(TRIM('Hybrid Questions'!$A$35)),CODE(TRIM('Hybrid Questions'!$A$35))-64,(CODE(LEFT(TRIM('Hybrid Questions'!$A$35),1))-64)*26+(CODE(RIGHT(TRIM('Hybrid Questions'!$A$35),1))-64),(CODE(LEFT(TRIM('Hybrid Questions'!$A$35),1))-64)*676+(CODE(MID(TRIM('Hybrid Questions'!$A$35),2,1))-64)*26+(CODE(RIGHT(TRIM('Hybrid Questions'!$A$35),1))-64))),"")=""),"Column '"&amp;'Hybrid Questions'!$A$35&amp;"' has no header on the Responses sheet, so there are no free-text answers to analyse.","")</f>
        <v>0</v>
      </c>
      <c r="F2091" s="4" t="s">
        <v>217</v>
      </c>
    </row>
    <row r="2092" spans="1:6" ht="75" customHeight="1">
      <c r="A2092" t="s">
        <v>271</v>
      </c>
      <c r="B2092" t="s">
        <v>200</v>
      </c>
      <c r="C2092" t="s">
        <v>1806</v>
      </c>
      <c r="D2092" t="s">
        <v>165</v>
      </c>
      <c r="E2092" s="4">
        <f>IF(AND('Hybrid Questions'!$A$36&lt;&gt;"",IFERROR(INDEX(Responses!$A$1:$XFD$1,1,CHOOSE(LEN(TRIM('Hybrid Questions'!$A$36)),CODE(TRIM('Hybrid Questions'!$A$36))-64,(CODE(LEFT(TRIM('Hybrid Questions'!$A$36),1))-64)*26+(CODE(RIGHT(TRIM('Hybrid Questions'!$A$36),1))-64),(CODE(LEFT(TRIM('Hybrid Questions'!$A$36),1))-64)*676+(CODE(MID(TRIM('Hybrid Questions'!$A$36),2,1))-64)*26+(CODE(RIGHT(TRIM('Hybrid Questions'!$A$36),1))-64))),"")=""),"Column '"&amp;'Hybrid Questions'!$A$36&amp;"' has no header on the Responses sheet, so there are no free-text answers to analyse.","")</f>
        <v>0</v>
      </c>
      <c r="F2092" s="4" t="s">
        <v>217</v>
      </c>
    </row>
    <row r="2093" spans="1:6" ht="75" customHeight="1">
      <c r="A2093" t="s">
        <v>271</v>
      </c>
      <c r="B2093" t="s">
        <v>201</v>
      </c>
      <c r="C2093" t="s">
        <v>1806</v>
      </c>
      <c r="D2093" t="s">
        <v>165</v>
      </c>
      <c r="E2093" s="4">
        <f>IF(AND('Hybrid Questions'!$A$37&lt;&gt;"",IFERROR(INDEX(Responses!$A$1:$XFD$1,1,CHOOSE(LEN(TRIM('Hybrid Questions'!$A$37)),CODE(TRIM('Hybrid Questions'!$A$37))-64,(CODE(LEFT(TRIM('Hybrid Questions'!$A$37),1))-64)*26+(CODE(RIGHT(TRIM('Hybrid Questions'!$A$37),1))-64),(CODE(LEFT(TRIM('Hybrid Questions'!$A$37),1))-64)*676+(CODE(MID(TRIM('Hybrid Questions'!$A$37),2,1))-64)*26+(CODE(RIGHT(TRIM('Hybrid Questions'!$A$37),1))-64))),"")=""),"Column '"&amp;'Hybrid Questions'!$A$37&amp;"' has no header on the Responses sheet, so there are no free-text answers to analyse.","")</f>
        <v>0</v>
      </c>
      <c r="F2093" s="4" t="s">
        <v>217</v>
      </c>
    </row>
    <row r="2094" spans="1:6" ht="75" customHeight="1">
      <c r="A2094" t="s">
        <v>271</v>
      </c>
      <c r="B2094" t="s">
        <v>202</v>
      </c>
      <c r="C2094" t="s">
        <v>1806</v>
      </c>
      <c r="D2094" t="s">
        <v>165</v>
      </c>
      <c r="E2094" s="4">
        <f>IF(AND('Hybrid Questions'!$A$38&lt;&gt;"",IFERROR(INDEX(Responses!$A$1:$XFD$1,1,CHOOSE(LEN(TRIM('Hybrid Questions'!$A$38)),CODE(TRIM('Hybrid Questions'!$A$38))-64,(CODE(LEFT(TRIM('Hybrid Questions'!$A$38),1))-64)*26+(CODE(RIGHT(TRIM('Hybrid Questions'!$A$38),1))-64),(CODE(LEFT(TRIM('Hybrid Questions'!$A$38),1))-64)*676+(CODE(MID(TRIM('Hybrid Questions'!$A$38),2,1))-64)*26+(CODE(RIGHT(TRIM('Hybrid Questions'!$A$38),1))-64))),"")=""),"Column '"&amp;'Hybrid Questions'!$A$38&amp;"' has no header on the Responses sheet, so there are no free-text answers to analyse.","")</f>
        <v>0</v>
      </c>
      <c r="F2094" s="4" t="s">
        <v>217</v>
      </c>
    </row>
    <row r="2095" spans="1:6" ht="75" customHeight="1">
      <c r="A2095" t="s">
        <v>271</v>
      </c>
      <c r="B2095" t="s">
        <v>203</v>
      </c>
      <c r="C2095" t="s">
        <v>1806</v>
      </c>
      <c r="D2095" t="s">
        <v>165</v>
      </c>
      <c r="E2095" s="4">
        <f>IF(AND('Hybrid Questions'!$A$39&lt;&gt;"",IFERROR(INDEX(Responses!$A$1:$XFD$1,1,CHOOSE(LEN(TRIM('Hybrid Questions'!$A$39)),CODE(TRIM('Hybrid Questions'!$A$39))-64,(CODE(LEFT(TRIM('Hybrid Questions'!$A$39),1))-64)*26+(CODE(RIGHT(TRIM('Hybrid Questions'!$A$39),1))-64),(CODE(LEFT(TRIM('Hybrid Questions'!$A$39),1))-64)*676+(CODE(MID(TRIM('Hybrid Questions'!$A$39),2,1))-64)*26+(CODE(RIGHT(TRIM('Hybrid Questions'!$A$39),1))-64))),"")=""),"Column '"&amp;'Hybrid Questions'!$A$39&amp;"' has no header on the Responses sheet, so there are no free-text answers to analyse.","")</f>
        <v>0</v>
      </c>
      <c r="F2095" s="4" t="s">
        <v>217</v>
      </c>
    </row>
    <row r="2096" spans="1:6" ht="75" customHeight="1">
      <c r="A2096" t="s">
        <v>271</v>
      </c>
      <c r="B2096" t="s">
        <v>204</v>
      </c>
      <c r="C2096" t="s">
        <v>1806</v>
      </c>
      <c r="D2096" t="s">
        <v>165</v>
      </c>
      <c r="E2096" s="4">
        <f>IF(AND('Hybrid Questions'!$A$40&lt;&gt;"",IFERROR(INDEX(Responses!$A$1:$XFD$1,1,CHOOSE(LEN(TRIM('Hybrid Questions'!$A$40)),CODE(TRIM('Hybrid Questions'!$A$40))-64,(CODE(LEFT(TRIM('Hybrid Questions'!$A$40),1))-64)*26+(CODE(RIGHT(TRIM('Hybrid Questions'!$A$40),1))-64),(CODE(LEFT(TRIM('Hybrid Questions'!$A$40),1))-64)*676+(CODE(MID(TRIM('Hybrid Questions'!$A$40),2,1))-64)*26+(CODE(RIGHT(TRIM('Hybrid Questions'!$A$40),1))-64))),"")=""),"Column '"&amp;'Hybrid Questions'!$A$40&amp;"' has no header on the Responses sheet, so there are no free-text answers to analyse.","")</f>
        <v>0</v>
      </c>
      <c r="F2096" s="4" t="s">
        <v>217</v>
      </c>
    </row>
    <row r="2097" spans="1:6" ht="75" customHeight="1">
      <c r="A2097" t="s">
        <v>271</v>
      </c>
      <c r="B2097" t="s">
        <v>205</v>
      </c>
      <c r="C2097" t="s">
        <v>1806</v>
      </c>
      <c r="D2097" t="s">
        <v>165</v>
      </c>
      <c r="E2097" s="4">
        <f>IF(AND('Hybrid Questions'!$A$41&lt;&gt;"",IFERROR(INDEX(Responses!$A$1:$XFD$1,1,CHOOSE(LEN(TRIM('Hybrid Questions'!$A$41)),CODE(TRIM('Hybrid Questions'!$A$41))-64,(CODE(LEFT(TRIM('Hybrid Questions'!$A$41),1))-64)*26+(CODE(RIGHT(TRIM('Hybrid Questions'!$A$41),1))-64),(CODE(LEFT(TRIM('Hybrid Questions'!$A$41),1))-64)*676+(CODE(MID(TRIM('Hybrid Questions'!$A$41),2,1))-64)*26+(CODE(RIGHT(TRIM('Hybrid Questions'!$A$41),1))-64))),"")=""),"Column '"&amp;'Hybrid Questions'!$A$41&amp;"' has no header on the Responses sheet, so there are no free-text answers to analyse.","")</f>
        <v>0</v>
      </c>
      <c r="F2097" s="4" t="s">
        <v>217</v>
      </c>
    </row>
    <row r="2098" spans="1:6" ht="75" customHeight="1">
      <c r="A2098" t="s">
        <v>271</v>
      </c>
      <c r="B2098" t="s">
        <v>206</v>
      </c>
      <c r="C2098" t="s">
        <v>1806</v>
      </c>
      <c r="D2098" t="s">
        <v>165</v>
      </c>
      <c r="E2098" s="4">
        <f>IF(AND('Hybrid Questions'!$A$42&lt;&gt;"",IFERROR(INDEX(Responses!$A$1:$XFD$1,1,CHOOSE(LEN(TRIM('Hybrid Questions'!$A$42)),CODE(TRIM('Hybrid Questions'!$A$42))-64,(CODE(LEFT(TRIM('Hybrid Questions'!$A$42),1))-64)*26+(CODE(RIGHT(TRIM('Hybrid Questions'!$A$42),1))-64),(CODE(LEFT(TRIM('Hybrid Questions'!$A$42),1))-64)*676+(CODE(MID(TRIM('Hybrid Questions'!$A$42),2,1))-64)*26+(CODE(RIGHT(TRIM('Hybrid Questions'!$A$42),1))-64))),"")=""),"Column '"&amp;'Hybrid Questions'!$A$42&amp;"' has no header on the Responses sheet, so there are no free-text answers to analyse.","")</f>
        <v>0</v>
      </c>
      <c r="F2098" s="4" t="s">
        <v>217</v>
      </c>
    </row>
    <row r="2099" spans="1:6" ht="75" customHeight="1">
      <c r="A2099" t="s">
        <v>271</v>
      </c>
      <c r="B2099" t="s">
        <v>207</v>
      </c>
      <c r="C2099" t="s">
        <v>1806</v>
      </c>
      <c r="D2099" t="s">
        <v>165</v>
      </c>
      <c r="E2099" s="4">
        <f>IF(AND('Hybrid Questions'!$A$43&lt;&gt;"",IFERROR(INDEX(Responses!$A$1:$XFD$1,1,CHOOSE(LEN(TRIM('Hybrid Questions'!$A$43)),CODE(TRIM('Hybrid Questions'!$A$43))-64,(CODE(LEFT(TRIM('Hybrid Questions'!$A$43),1))-64)*26+(CODE(RIGHT(TRIM('Hybrid Questions'!$A$43),1))-64),(CODE(LEFT(TRIM('Hybrid Questions'!$A$43),1))-64)*676+(CODE(MID(TRIM('Hybrid Questions'!$A$43),2,1))-64)*26+(CODE(RIGHT(TRIM('Hybrid Questions'!$A$43),1))-64))),"")=""),"Column '"&amp;'Hybrid Questions'!$A$43&amp;"' has no header on the Responses sheet, so there are no free-text answers to analyse.","")</f>
        <v>0</v>
      </c>
      <c r="F2099" s="4" t="s">
        <v>217</v>
      </c>
    </row>
    <row r="2100" spans="1:6" ht="75" customHeight="1">
      <c r="A2100" t="s">
        <v>271</v>
      </c>
      <c r="B2100" t="s">
        <v>208</v>
      </c>
      <c r="C2100" t="s">
        <v>1806</v>
      </c>
      <c r="D2100" t="s">
        <v>165</v>
      </c>
      <c r="E2100" s="4">
        <f>IF(AND('Hybrid Questions'!$A$44&lt;&gt;"",IFERROR(INDEX(Responses!$A$1:$XFD$1,1,CHOOSE(LEN(TRIM('Hybrid Questions'!$A$44)),CODE(TRIM('Hybrid Questions'!$A$44))-64,(CODE(LEFT(TRIM('Hybrid Questions'!$A$44),1))-64)*26+(CODE(RIGHT(TRIM('Hybrid Questions'!$A$44),1))-64),(CODE(LEFT(TRIM('Hybrid Questions'!$A$44),1))-64)*676+(CODE(MID(TRIM('Hybrid Questions'!$A$44),2,1))-64)*26+(CODE(RIGHT(TRIM('Hybrid Questions'!$A$44),1))-64))),"")=""),"Column '"&amp;'Hybrid Questions'!$A$44&amp;"' has no header on the Responses sheet, so there are no free-text answers to analyse.","")</f>
        <v>0</v>
      </c>
      <c r="F2100" s="4" t="s">
        <v>217</v>
      </c>
    </row>
    <row r="2101" spans="1:6" ht="75" customHeight="1">
      <c r="A2101" t="s">
        <v>271</v>
      </c>
      <c r="B2101" t="s">
        <v>209</v>
      </c>
      <c r="C2101" t="s">
        <v>1806</v>
      </c>
      <c r="D2101" t="s">
        <v>165</v>
      </c>
      <c r="E2101" s="4">
        <f>IF(AND('Hybrid Questions'!$A$45&lt;&gt;"",IFERROR(INDEX(Responses!$A$1:$XFD$1,1,CHOOSE(LEN(TRIM('Hybrid Questions'!$A$45)),CODE(TRIM('Hybrid Questions'!$A$45))-64,(CODE(LEFT(TRIM('Hybrid Questions'!$A$45),1))-64)*26+(CODE(RIGHT(TRIM('Hybrid Questions'!$A$45),1))-64),(CODE(LEFT(TRIM('Hybrid Questions'!$A$45),1))-64)*676+(CODE(MID(TRIM('Hybrid Questions'!$A$45),2,1))-64)*26+(CODE(RIGHT(TRIM('Hybrid Questions'!$A$45),1))-64))),"")=""),"Column '"&amp;'Hybrid Questions'!$A$45&amp;"' has no header on the Responses sheet, so there are no free-text answers to analyse.","")</f>
        <v>0</v>
      </c>
      <c r="F2101" s="4" t="s">
        <v>217</v>
      </c>
    </row>
    <row r="2102" spans="1:6" ht="75" customHeight="1">
      <c r="A2102" t="s">
        <v>271</v>
      </c>
      <c r="B2102" t="s">
        <v>210</v>
      </c>
      <c r="C2102" t="s">
        <v>1806</v>
      </c>
      <c r="D2102" t="s">
        <v>165</v>
      </c>
      <c r="E2102" s="4">
        <f>IF(AND('Hybrid Questions'!$A$46&lt;&gt;"",IFERROR(INDEX(Responses!$A$1:$XFD$1,1,CHOOSE(LEN(TRIM('Hybrid Questions'!$A$46)),CODE(TRIM('Hybrid Questions'!$A$46))-64,(CODE(LEFT(TRIM('Hybrid Questions'!$A$46),1))-64)*26+(CODE(RIGHT(TRIM('Hybrid Questions'!$A$46),1))-64),(CODE(LEFT(TRIM('Hybrid Questions'!$A$46),1))-64)*676+(CODE(MID(TRIM('Hybrid Questions'!$A$46),2,1))-64)*26+(CODE(RIGHT(TRIM('Hybrid Questions'!$A$46),1))-64))),"")=""),"Column '"&amp;'Hybrid Questions'!$A$46&amp;"' has no header on the Responses sheet, so there are no free-text answers to analyse.","")</f>
        <v>0</v>
      </c>
      <c r="F2102" s="4" t="s">
        <v>217</v>
      </c>
    </row>
    <row r="2103" spans="1:6" ht="75" customHeight="1">
      <c r="A2103" t="s">
        <v>271</v>
      </c>
      <c r="B2103" t="s">
        <v>211</v>
      </c>
      <c r="C2103" t="s">
        <v>1806</v>
      </c>
      <c r="D2103" t="s">
        <v>165</v>
      </c>
      <c r="E2103" s="4">
        <f>IF(AND('Hybrid Questions'!$A$47&lt;&gt;"",IFERROR(INDEX(Responses!$A$1:$XFD$1,1,CHOOSE(LEN(TRIM('Hybrid Questions'!$A$47)),CODE(TRIM('Hybrid Questions'!$A$47))-64,(CODE(LEFT(TRIM('Hybrid Questions'!$A$47),1))-64)*26+(CODE(RIGHT(TRIM('Hybrid Questions'!$A$47),1))-64),(CODE(LEFT(TRIM('Hybrid Questions'!$A$47),1))-64)*676+(CODE(MID(TRIM('Hybrid Questions'!$A$47),2,1))-64)*26+(CODE(RIGHT(TRIM('Hybrid Questions'!$A$47),1))-64))),"")=""),"Column '"&amp;'Hybrid Questions'!$A$47&amp;"' has no header on the Responses sheet, so there are no free-text answers to analyse.","")</f>
        <v>0</v>
      </c>
      <c r="F2103" s="4" t="s">
        <v>217</v>
      </c>
    </row>
    <row r="2104" spans="1:6" ht="75" customHeight="1">
      <c r="A2104" t="s">
        <v>271</v>
      </c>
      <c r="B2104" t="s">
        <v>212</v>
      </c>
      <c r="C2104" t="s">
        <v>1806</v>
      </c>
      <c r="D2104" t="s">
        <v>165</v>
      </c>
      <c r="E2104" s="4">
        <f>IF(AND('Hybrid Questions'!$A$48&lt;&gt;"",IFERROR(INDEX(Responses!$A$1:$XFD$1,1,CHOOSE(LEN(TRIM('Hybrid Questions'!$A$48)),CODE(TRIM('Hybrid Questions'!$A$48))-64,(CODE(LEFT(TRIM('Hybrid Questions'!$A$48),1))-64)*26+(CODE(RIGHT(TRIM('Hybrid Questions'!$A$48),1))-64),(CODE(LEFT(TRIM('Hybrid Questions'!$A$48),1))-64)*676+(CODE(MID(TRIM('Hybrid Questions'!$A$48),2,1))-64)*26+(CODE(RIGHT(TRIM('Hybrid Questions'!$A$48),1))-64))),"")=""),"Column '"&amp;'Hybrid Questions'!$A$48&amp;"' has no header on the Responses sheet, so there are no free-text answers to analyse.","")</f>
        <v>0</v>
      </c>
      <c r="F2104" s="4" t="s">
        <v>217</v>
      </c>
    </row>
    <row r="2105" spans="1:6" ht="75" customHeight="1">
      <c r="A2105" t="s">
        <v>271</v>
      </c>
      <c r="B2105" t="s">
        <v>213</v>
      </c>
      <c r="C2105" t="s">
        <v>1806</v>
      </c>
      <c r="D2105" t="s">
        <v>165</v>
      </c>
      <c r="E2105" s="4">
        <f>IF(AND('Hybrid Questions'!$A$49&lt;&gt;"",IFERROR(INDEX(Responses!$A$1:$XFD$1,1,CHOOSE(LEN(TRIM('Hybrid Questions'!$A$49)),CODE(TRIM('Hybrid Questions'!$A$49))-64,(CODE(LEFT(TRIM('Hybrid Questions'!$A$49),1))-64)*26+(CODE(RIGHT(TRIM('Hybrid Questions'!$A$49),1))-64),(CODE(LEFT(TRIM('Hybrid Questions'!$A$49),1))-64)*676+(CODE(MID(TRIM('Hybrid Questions'!$A$49),2,1))-64)*26+(CODE(RIGHT(TRIM('Hybrid Questions'!$A$49),1))-64))),"")=""),"Column '"&amp;'Hybrid Questions'!$A$49&amp;"' has no header on the Responses sheet, so there are no free-text answers to analyse.","")</f>
        <v>0</v>
      </c>
      <c r="F2105" s="4" t="s">
        <v>217</v>
      </c>
    </row>
    <row r="2106" spans="1:6" ht="75" customHeight="1">
      <c r="A2106" t="s">
        <v>271</v>
      </c>
      <c r="B2106" t="s">
        <v>214</v>
      </c>
      <c r="C2106" t="s">
        <v>1806</v>
      </c>
      <c r="D2106" t="s">
        <v>165</v>
      </c>
      <c r="E2106" s="4">
        <f>IF(AND('Hybrid Questions'!$A$50&lt;&gt;"",IFERROR(INDEX(Responses!$A$1:$XFD$1,1,CHOOSE(LEN(TRIM('Hybrid Questions'!$A$50)),CODE(TRIM('Hybrid Questions'!$A$50))-64,(CODE(LEFT(TRIM('Hybrid Questions'!$A$50),1))-64)*26+(CODE(RIGHT(TRIM('Hybrid Questions'!$A$50),1))-64),(CODE(LEFT(TRIM('Hybrid Questions'!$A$50),1))-64)*676+(CODE(MID(TRIM('Hybrid Questions'!$A$50),2,1))-64)*26+(CODE(RIGHT(TRIM('Hybrid Questions'!$A$50),1))-64))),"")=""),"Column '"&amp;'Hybrid Questions'!$A$50&amp;"' has no header on the Responses sheet, so there are no free-text answers to analyse.","")</f>
        <v>0</v>
      </c>
      <c r="F2106" s="4" t="s">
        <v>217</v>
      </c>
    </row>
    <row r="2107" spans="1:6" ht="75" customHeight="1">
      <c r="A2107" t="s">
        <v>271</v>
      </c>
      <c r="B2107" t="s">
        <v>215</v>
      </c>
      <c r="C2107" t="s">
        <v>1806</v>
      </c>
      <c r="D2107" t="s">
        <v>165</v>
      </c>
      <c r="E2107" s="4">
        <f>IF(AND('Hybrid Questions'!$A$51&lt;&gt;"",IFERROR(INDEX(Responses!$A$1:$XFD$1,1,CHOOSE(LEN(TRIM('Hybrid Questions'!$A$51)),CODE(TRIM('Hybrid Questions'!$A$51))-64,(CODE(LEFT(TRIM('Hybrid Questions'!$A$51),1))-64)*26+(CODE(RIGHT(TRIM('Hybrid Questions'!$A$51),1))-64),(CODE(LEFT(TRIM('Hybrid Questions'!$A$51),1))-64)*676+(CODE(MID(TRIM('Hybrid Questions'!$A$51),2,1))-64)*26+(CODE(RIGHT(TRIM('Hybrid Questions'!$A$51),1))-64))),"")=""),"Column '"&amp;'Hybrid Questions'!$A$51&amp;"' has no header on the Responses sheet, so there are no free-text answers to analyse.","")</f>
        <v>0</v>
      </c>
      <c r="F2107" s="4" t="s">
        <v>217</v>
      </c>
    </row>
    <row r="2108" spans="1:6" ht="75" customHeight="1">
      <c r="A2108" t="s">
        <v>218</v>
      </c>
      <c r="B2108" t="s">
        <v>163</v>
      </c>
      <c r="C2108" t="s">
        <v>1807</v>
      </c>
      <c r="D2108" t="s">
        <v>1808</v>
      </c>
      <c r="E2108" s="4">
        <f>IF(AND('Multiple Choice Questions'!$A$2&lt;&gt;"",IFERROR(INDEX(_helpers!$2:$2,1,CHOOSE(LEN(TRIM('Multiple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Questions'!$A$2),1))-64))),0)&gt;0,IFERROR(INDEX(_helpers!$1:$1,1,CHOOSE(LEN(TRIM('Multiple Choice Questions'!$A$2)),CODE(TRIM('Multiple Choice Questions'!$A$2))-64,(CODE(LEFT(TRIM('Multiple Choice Questions'!$A$2),1))-64)*26+(CODE(RIGHT(TRIM('Multiple Choice Questions'!$A$2),1))-64),(CODE(LEFT(TRIM('Multiple Choice Questions'!$A$2),1))-64)*676+(CODE(MID(TRIM('Multiple Choice Questions'!$A$2),2,1))-64)*26+(CODE(RIGHT(TRIM('Multiple Choice Questions'!$A$2),1))-64))),0)&gt;0.2),"Column '"&amp;'Multiple Choice Questions'!$A$2&amp;"' has lots of different answers (&gt;20% are unique). That usually means it's a free-text question rather than multiple choice.","")</f>
        <v>0</v>
      </c>
      <c r="F2108" s="4" t="s">
        <v>1809</v>
      </c>
    </row>
    <row r="2109" spans="1:6" ht="75" customHeight="1">
      <c r="A2109" t="s">
        <v>218</v>
      </c>
      <c r="B2109" t="s">
        <v>167</v>
      </c>
      <c r="C2109" t="s">
        <v>1807</v>
      </c>
      <c r="D2109" t="s">
        <v>1808</v>
      </c>
      <c r="E2109" s="4">
        <f>IF(AND('Multiple Choice Questions'!$A$3&lt;&gt;"",IFERROR(INDEX(_helpers!$2:$2,1,CHOOSE(LEN(TRIM('Multiple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Questions'!$A$3),1))-64))),0)&gt;0,IFERROR(INDEX(_helpers!$1:$1,1,CHOOSE(LEN(TRIM('Multiple Choice Questions'!$A$3)),CODE(TRIM('Multiple Choice Questions'!$A$3))-64,(CODE(LEFT(TRIM('Multiple Choice Questions'!$A$3),1))-64)*26+(CODE(RIGHT(TRIM('Multiple Choice Questions'!$A$3),1))-64),(CODE(LEFT(TRIM('Multiple Choice Questions'!$A$3),1))-64)*676+(CODE(MID(TRIM('Multiple Choice Questions'!$A$3),2,1))-64)*26+(CODE(RIGHT(TRIM('Multiple Choice Questions'!$A$3),1))-64))),0)&gt;0.2),"Column '"&amp;'Multiple Choice Questions'!$A$3&amp;"' has lots of different answers (&gt;20% are unique). That usually means it's a free-text question rather than multiple choice.","")</f>
        <v>0</v>
      </c>
      <c r="F2109" s="4" t="s">
        <v>1809</v>
      </c>
    </row>
    <row r="2110" spans="1:6" ht="75" customHeight="1">
      <c r="A2110" t="s">
        <v>218</v>
      </c>
      <c r="B2110" t="s">
        <v>168</v>
      </c>
      <c r="C2110" t="s">
        <v>1807</v>
      </c>
      <c r="D2110" t="s">
        <v>1808</v>
      </c>
      <c r="E2110" s="4">
        <f>IF(AND('Multiple Choice Questions'!$A$4&lt;&gt;"",IFERROR(INDEX(_helpers!$2:$2,1,CHOOSE(LEN(TRIM('Multiple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Questions'!$A$4),1))-64))),0)&gt;0,IFERROR(INDEX(_helpers!$1:$1,1,CHOOSE(LEN(TRIM('Multiple Choice Questions'!$A$4)),CODE(TRIM('Multiple Choice Questions'!$A$4))-64,(CODE(LEFT(TRIM('Multiple Choice Questions'!$A$4),1))-64)*26+(CODE(RIGHT(TRIM('Multiple Choice Questions'!$A$4),1))-64),(CODE(LEFT(TRIM('Multiple Choice Questions'!$A$4),1))-64)*676+(CODE(MID(TRIM('Multiple Choice Questions'!$A$4),2,1))-64)*26+(CODE(RIGHT(TRIM('Multiple Choice Questions'!$A$4),1))-64))),0)&gt;0.2),"Column '"&amp;'Multiple Choice Questions'!$A$4&amp;"' has lots of different answers (&gt;20% are unique). That usually means it's a free-text question rather than multiple choice.","")</f>
        <v>0</v>
      </c>
      <c r="F2110" s="4" t="s">
        <v>1809</v>
      </c>
    </row>
    <row r="2111" spans="1:6" ht="75" customHeight="1">
      <c r="A2111" t="s">
        <v>218</v>
      </c>
      <c r="B2111" t="s">
        <v>169</v>
      </c>
      <c r="C2111" t="s">
        <v>1807</v>
      </c>
      <c r="D2111" t="s">
        <v>1808</v>
      </c>
      <c r="E2111" s="4">
        <f>IF(AND('Multiple Choice Questions'!$A$5&lt;&gt;"",IFERROR(INDEX(_helpers!$2:$2,1,CHOOSE(LEN(TRIM('Multiple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Questions'!$A$5),1))-64))),0)&gt;0,IFERROR(INDEX(_helpers!$1:$1,1,CHOOSE(LEN(TRIM('Multiple Choice Questions'!$A$5)),CODE(TRIM('Multiple Choice Questions'!$A$5))-64,(CODE(LEFT(TRIM('Multiple Choice Questions'!$A$5),1))-64)*26+(CODE(RIGHT(TRIM('Multiple Choice Questions'!$A$5),1))-64),(CODE(LEFT(TRIM('Multiple Choice Questions'!$A$5),1))-64)*676+(CODE(MID(TRIM('Multiple Choice Questions'!$A$5),2,1))-64)*26+(CODE(RIGHT(TRIM('Multiple Choice Questions'!$A$5),1))-64))),0)&gt;0.2),"Column '"&amp;'Multiple Choice Questions'!$A$5&amp;"' has lots of different answers (&gt;20% are unique). That usually means it's a free-text question rather than multiple choice.","")</f>
        <v>0</v>
      </c>
      <c r="F2111" s="4" t="s">
        <v>1809</v>
      </c>
    </row>
    <row r="2112" spans="1:6" ht="75" customHeight="1">
      <c r="A2112" t="s">
        <v>218</v>
      </c>
      <c r="B2112" t="s">
        <v>170</v>
      </c>
      <c r="C2112" t="s">
        <v>1807</v>
      </c>
      <c r="D2112" t="s">
        <v>1808</v>
      </c>
      <c r="E2112" s="4">
        <f>IF(AND('Multiple Choice Questions'!$A$6&lt;&gt;"",IFERROR(INDEX(_helpers!$2:$2,1,CHOOSE(LEN(TRIM('Multiple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Questions'!$A$6),1))-64))),0)&gt;0,IFERROR(INDEX(_helpers!$1:$1,1,CHOOSE(LEN(TRIM('Multiple Choice Questions'!$A$6)),CODE(TRIM('Multiple Choice Questions'!$A$6))-64,(CODE(LEFT(TRIM('Multiple Choice Questions'!$A$6),1))-64)*26+(CODE(RIGHT(TRIM('Multiple Choice Questions'!$A$6),1))-64),(CODE(LEFT(TRIM('Multiple Choice Questions'!$A$6),1))-64)*676+(CODE(MID(TRIM('Multiple Choice Questions'!$A$6),2,1))-64)*26+(CODE(RIGHT(TRIM('Multiple Choice Questions'!$A$6),1))-64))),0)&gt;0.2),"Column '"&amp;'Multiple Choice Questions'!$A$6&amp;"' has lots of different answers (&gt;20% are unique). That usually means it's a free-text question rather than multiple choice.","")</f>
        <v>0</v>
      </c>
      <c r="F2112" s="4" t="s">
        <v>1809</v>
      </c>
    </row>
    <row r="2113" spans="1:6" ht="75" customHeight="1">
      <c r="A2113" t="s">
        <v>218</v>
      </c>
      <c r="B2113" t="s">
        <v>171</v>
      </c>
      <c r="C2113" t="s">
        <v>1807</v>
      </c>
      <c r="D2113" t="s">
        <v>1808</v>
      </c>
      <c r="E2113" s="4">
        <f>IF(AND('Multiple Choice Questions'!$A$7&lt;&gt;"",IFERROR(INDEX(_helpers!$2:$2,1,CHOOSE(LEN(TRIM('Multiple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Questions'!$A$7),1))-64))),0)&gt;0,IFERROR(INDEX(_helpers!$1:$1,1,CHOOSE(LEN(TRIM('Multiple Choice Questions'!$A$7)),CODE(TRIM('Multiple Choice Questions'!$A$7))-64,(CODE(LEFT(TRIM('Multiple Choice Questions'!$A$7),1))-64)*26+(CODE(RIGHT(TRIM('Multiple Choice Questions'!$A$7),1))-64),(CODE(LEFT(TRIM('Multiple Choice Questions'!$A$7),1))-64)*676+(CODE(MID(TRIM('Multiple Choice Questions'!$A$7),2,1))-64)*26+(CODE(RIGHT(TRIM('Multiple Choice Questions'!$A$7),1))-64))),0)&gt;0.2),"Column '"&amp;'Multiple Choice Questions'!$A$7&amp;"' has lots of different answers (&gt;20% are unique). That usually means it's a free-text question rather than multiple choice.","")</f>
        <v>0</v>
      </c>
      <c r="F2113" s="4" t="s">
        <v>1809</v>
      </c>
    </row>
    <row r="2114" spans="1:6" ht="75" customHeight="1">
      <c r="A2114" t="s">
        <v>218</v>
      </c>
      <c r="B2114" t="s">
        <v>172</v>
      </c>
      <c r="C2114" t="s">
        <v>1807</v>
      </c>
      <c r="D2114" t="s">
        <v>1808</v>
      </c>
      <c r="E2114" s="4">
        <f>IF(AND('Multiple Choice Questions'!$A$8&lt;&gt;"",IFERROR(INDEX(_helpers!$2:$2,1,CHOOSE(LEN(TRIM('Multiple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Questions'!$A$8),1))-64))),0)&gt;0,IFERROR(INDEX(_helpers!$1:$1,1,CHOOSE(LEN(TRIM('Multiple Choice Questions'!$A$8)),CODE(TRIM('Multiple Choice Questions'!$A$8))-64,(CODE(LEFT(TRIM('Multiple Choice Questions'!$A$8),1))-64)*26+(CODE(RIGHT(TRIM('Multiple Choice Questions'!$A$8),1))-64),(CODE(LEFT(TRIM('Multiple Choice Questions'!$A$8),1))-64)*676+(CODE(MID(TRIM('Multiple Choice Questions'!$A$8),2,1))-64)*26+(CODE(RIGHT(TRIM('Multiple Choice Questions'!$A$8),1))-64))),0)&gt;0.2),"Column '"&amp;'Multiple Choice Questions'!$A$8&amp;"' has lots of different answers (&gt;20% are unique). That usually means it's a free-text question rather than multiple choice.","")</f>
        <v>0</v>
      </c>
      <c r="F2114" s="4" t="s">
        <v>1809</v>
      </c>
    </row>
    <row r="2115" spans="1:6" ht="75" customHeight="1">
      <c r="A2115" t="s">
        <v>218</v>
      </c>
      <c r="B2115" t="s">
        <v>173</v>
      </c>
      <c r="C2115" t="s">
        <v>1807</v>
      </c>
      <c r="D2115" t="s">
        <v>1808</v>
      </c>
      <c r="E2115" s="4">
        <f>IF(AND('Multiple Choice Questions'!$A$9&lt;&gt;"",IFERROR(INDEX(_helpers!$2:$2,1,CHOOSE(LEN(TRIM('Multiple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Questions'!$A$9),1))-64))),0)&gt;0,IFERROR(INDEX(_helpers!$1:$1,1,CHOOSE(LEN(TRIM('Multiple Choice Questions'!$A$9)),CODE(TRIM('Multiple Choice Questions'!$A$9))-64,(CODE(LEFT(TRIM('Multiple Choice Questions'!$A$9),1))-64)*26+(CODE(RIGHT(TRIM('Multiple Choice Questions'!$A$9),1))-64),(CODE(LEFT(TRIM('Multiple Choice Questions'!$A$9),1))-64)*676+(CODE(MID(TRIM('Multiple Choice Questions'!$A$9),2,1))-64)*26+(CODE(RIGHT(TRIM('Multiple Choice Questions'!$A$9),1))-64))),0)&gt;0.2),"Column '"&amp;'Multiple Choice Questions'!$A$9&amp;"' has lots of different answers (&gt;20% are unique). That usually means it's a free-text question rather than multiple choice.","")</f>
        <v>0</v>
      </c>
      <c r="F2115" s="4" t="s">
        <v>1809</v>
      </c>
    </row>
    <row r="2116" spans="1:6" ht="75" customHeight="1">
      <c r="A2116" t="s">
        <v>218</v>
      </c>
      <c r="B2116" t="s">
        <v>174</v>
      </c>
      <c r="C2116" t="s">
        <v>1807</v>
      </c>
      <c r="D2116" t="s">
        <v>1808</v>
      </c>
      <c r="E2116" s="4">
        <f>IF(AND('Multiple Choice Questions'!$A$10&lt;&gt;"",IFERROR(INDEX(_helpers!$2:$2,1,CHOOSE(LEN(TRIM('Multiple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Questions'!$A$10),1))-64))),0)&gt;0,IFERROR(INDEX(_helpers!$1:$1,1,CHOOSE(LEN(TRIM('Multiple Choice Questions'!$A$10)),CODE(TRIM('Multiple Choice Questions'!$A$10))-64,(CODE(LEFT(TRIM('Multiple Choice Questions'!$A$10),1))-64)*26+(CODE(RIGHT(TRIM('Multiple Choice Questions'!$A$10),1))-64),(CODE(LEFT(TRIM('Multiple Choice Questions'!$A$10),1))-64)*676+(CODE(MID(TRIM('Multiple Choice Questions'!$A$10),2,1))-64)*26+(CODE(RIGHT(TRIM('Multiple Choice Questions'!$A$10),1))-64))),0)&gt;0.2),"Column '"&amp;'Multiple Choice Questions'!$A$10&amp;"' has lots of different answers (&gt;20% are unique). That usually means it's a free-text question rather than multiple choice.","")</f>
        <v>0</v>
      </c>
      <c r="F2116" s="4" t="s">
        <v>1809</v>
      </c>
    </row>
    <row r="2117" spans="1:6" ht="75" customHeight="1">
      <c r="A2117" t="s">
        <v>218</v>
      </c>
      <c r="B2117" t="s">
        <v>175</v>
      </c>
      <c r="C2117" t="s">
        <v>1807</v>
      </c>
      <c r="D2117" t="s">
        <v>1808</v>
      </c>
      <c r="E2117" s="4">
        <f>IF(AND('Multiple Choice Questions'!$A$11&lt;&gt;"",IFERROR(INDEX(_helpers!$2:$2,1,CHOOSE(LEN(TRIM('Multiple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Questions'!$A$11),1))-64))),0)&gt;0,IFERROR(INDEX(_helpers!$1:$1,1,CHOOSE(LEN(TRIM('Multiple Choice Questions'!$A$11)),CODE(TRIM('Multiple Choice Questions'!$A$11))-64,(CODE(LEFT(TRIM('Multiple Choice Questions'!$A$11),1))-64)*26+(CODE(RIGHT(TRIM('Multiple Choice Questions'!$A$11),1))-64),(CODE(LEFT(TRIM('Multiple Choice Questions'!$A$11),1))-64)*676+(CODE(MID(TRIM('Multiple Choice Questions'!$A$11),2,1))-64)*26+(CODE(RIGHT(TRIM('Multiple Choice Questions'!$A$11),1))-64))),0)&gt;0.2),"Column '"&amp;'Multiple Choice Questions'!$A$11&amp;"' has lots of different answers (&gt;20% are unique). That usually means it's a free-text question rather than multiple choice.","")</f>
        <v>0</v>
      </c>
      <c r="F2117" s="4" t="s">
        <v>1809</v>
      </c>
    </row>
    <row r="2118" spans="1:6" ht="75" customHeight="1">
      <c r="A2118" t="s">
        <v>218</v>
      </c>
      <c r="B2118" t="s">
        <v>176</v>
      </c>
      <c r="C2118" t="s">
        <v>1807</v>
      </c>
      <c r="D2118" t="s">
        <v>1808</v>
      </c>
      <c r="E2118" s="4">
        <f>IF(AND('Multiple Choice Questions'!$A$12&lt;&gt;"",IFERROR(INDEX(_helpers!$2:$2,1,CHOOSE(LEN(TRIM('Multiple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Questions'!$A$12),1))-64))),0)&gt;0,IFERROR(INDEX(_helpers!$1:$1,1,CHOOSE(LEN(TRIM('Multiple Choice Questions'!$A$12)),CODE(TRIM('Multiple Choice Questions'!$A$12))-64,(CODE(LEFT(TRIM('Multiple Choice Questions'!$A$12),1))-64)*26+(CODE(RIGHT(TRIM('Multiple Choice Questions'!$A$12),1))-64),(CODE(LEFT(TRIM('Multiple Choice Questions'!$A$12),1))-64)*676+(CODE(MID(TRIM('Multiple Choice Questions'!$A$12),2,1))-64)*26+(CODE(RIGHT(TRIM('Multiple Choice Questions'!$A$12),1))-64))),0)&gt;0.2),"Column '"&amp;'Multiple Choice Questions'!$A$12&amp;"' has lots of different answers (&gt;20% are unique). That usually means it's a free-text question rather than multiple choice.","")</f>
        <v>0</v>
      </c>
      <c r="F2118" s="4" t="s">
        <v>1809</v>
      </c>
    </row>
    <row r="2119" spans="1:6" ht="75" customHeight="1">
      <c r="A2119" t="s">
        <v>218</v>
      </c>
      <c r="B2119" t="s">
        <v>177</v>
      </c>
      <c r="C2119" t="s">
        <v>1807</v>
      </c>
      <c r="D2119" t="s">
        <v>1808</v>
      </c>
      <c r="E2119" s="4">
        <f>IF(AND('Multiple Choice Questions'!$A$13&lt;&gt;"",IFERROR(INDEX(_helpers!$2:$2,1,CHOOSE(LEN(TRIM('Multiple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Questions'!$A$13),1))-64))),0)&gt;0,IFERROR(INDEX(_helpers!$1:$1,1,CHOOSE(LEN(TRIM('Multiple Choice Questions'!$A$13)),CODE(TRIM('Multiple Choice Questions'!$A$13))-64,(CODE(LEFT(TRIM('Multiple Choice Questions'!$A$13),1))-64)*26+(CODE(RIGHT(TRIM('Multiple Choice Questions'!$A$13),1))-64),(CODE(LEFT(TRIM('Multiple Choice Questions'!$A$13),1))-64)*676+(CODE(MID(TRIM('Multiple Choice Questions'!$A$13),2,1))-64)*26+(CODE(RIGHT(TRIM('Multiple Choice Questions'!$A$13),1))-64))),0)&gt;0.2),"Column '"&amp;'Multiple Choice Questions'!$A$13&amp;"' has lots of different answers (&gt;20% are unique). That usually means it's a free-text question rather than multiple choice.","")</f>
        <v>0</v>
      </c>
      <c r="F2119" s="4" t="s">
        <v>1809</v>
      </c>
    </row>
    <row r="2120" spans="1:6" ht="75" customHeight="1">
      <c r="A2120" t="s">
        <v>218</v>
      </c>
      <c r="B2120" t="s">
        <v>178</v>
      </c>
      <c r="C2120" t="s">
        <v>1807</v>
      </c>
      <c r="D2120" t="s">
        <v>1808</v>
      </c>
      <c r="E2120" s="4">
        <f>IF(AND('Multiple Choice Questions'!$A$14&lt;&gt;"",IFERROR(INDEX(_helpers!$2:$2,1,CHOOSE(LEN(TRIM('Multiple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Questions'!$A$14),1))-64))),0)&gt;0,IFERROR(INDEX(_helpers!$1:$1,1,CHOOSE(LEN(TRIM('Multiple Choice Questions'!$A$14)),CODE(TRIM('Multiple Choice Questions'!$A$14))-64,(CODE(LEFT(TRIM('Multiple Choice Questions'!$A$14),1))-64)*26+(CODE(RIGHT(TRIM('Multiple Choice Questions'!$A$14),1))-64),(CODE(LEFT(TRIM('Multiple Choice Questions'!$A$14),1))-64)*676+(CODE(MID(TRIM('Multiple Choice Questions'!$A$14),2,1))-64)*26+(CODE(RIGHT(TRIM('Multiple Choice Questions'!$A$14),1))-64))),0)&gt;0.2),"Column '"&amp;'Multiple Choice Questions'!$A$14&amp;"' has lots of different answers (&gt;20% are unique). That usually means it's a free-text question rather than multiple choice.","")</f>
        <v>0</v>
      </c>
      <c r="F2120" s="4" t="s">
        <v>1809</v>
      </c>
    </row>
    <row r="2121" spans="1:6" ht="75" customHeight="1">
      <c r="A2121" t="s">
        <v>218</v>
      </c>
      <c r="B2121" t="s">
        <v>179</v>
      </c>
      <c r="C2121" t="s">
        <v>1807</v>
      </c>
      <c r="D2121" t="s">
        <v>1808</v>
      </c>
      <c r="E2121" s="4">
        <f>IF(AND('Multiple Choice Questions'!$A$15&lt;&gt;"",IFERROR(INDEX(_helpers!$2:$2,1,CHOOSE(LEN(TRIM('Multiple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Questions'!$A$15),1))-64))),0)&gt;0,IFERROR(INDEX(_helpers!$1:$1,1,CHOOSE(LEN(TRIM('Multiple Choice Questions'!$A$15)),CODE(TRIM('Multiple Choice Questions'!$A$15))-64,(CODE(LEFT(TRIM('Multiple Choice Questions'!$A$15),1))-64)*26+(CODE(RIGHT(TRIM('Multiple Choice Questions'!$A$15),1))-64),(CODE(LEFT(TRIM('Multiple Choice Questions'!$A$15),1))-64)*676+(CODE(MID(TRIM('Multiple Choice Questions'!$A$15),2,1))-64)*26+(CODE(RIGHT(TRIM('Multiple Choice Questions'!$A$15),1))-64))),0)&gt;0.2),"Column '"&amp;'Multiple Choice Questions'!$A$15&amp;"' has lots of different answers (&gt;20% are unique). That usually means it's a free-text question rather than multiple choice.","")</f>
        <v>0</v>
      </c>
      <c r="F2121" s="4" t="s">
        <v>1809</v>
      </c>
    </row>
    <row r="2122" spans="1:6" ht="75" customHeight="1">
      <c r="A2122" t="s">
        <v>218</v>
      </c>
      <c r="B2122" t="s">
        <v>180</v>
      </c>
      <c r="C2122" t="s">
        <v>1807</v>
      </c>
      <c r="D2122" t="s">
        <v>1808</v>
      </c>
      <c r="E2122" s="4">
        <f>IF(AND('Multiple Choice Questions'!$A$16&lt;&gt;"",IFERROR(INDEX(_helpers!$2:$2,1,CHOOSE(LEN(TRIM('Multiple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Questions'!$A$16),1))-64))),0)&gt;0,IFERROR(INDEX(_helpers!$1:$1,1,CHOOSE(LEN(TRIM('Multiple Choice Questions'!$A$16)),CODE(TRIM('Multiple Choice Questions'!$A$16))-64,(CODE(LEFT(TRIM('Multiple Choice Questions'!$A$16),1))-64)*26+(CODE(RIGHT(TRIM('Multiple Choice Questions'!$A$16),1))-64),(CODE(LEFT(TRIM('Multiple Choice Questions'!$A$16),1))-64)*676+(CODE(MID(TRIM('Multiple Choice Questions'!$A$16),2,1))-64)*26+(CODE(RIGHT(TRIM('Multiple Choice Questions'!$A$16),1))-64))),0)&gt;0.2),"Column '"&amp;'Multiple Choice Questions'!$A$16&amp;"' has lots of different answers (&gt;20% are unique). That usually means it's a free-text question rather than multiple choice.","")</f>
        <v>0</v>
      </c>
      <c r="F2122" s="4" t="s">
        <v>1809</v>
      </c>
    </row>
    <row r="2123" spans="1:6" ht="75" customHeight="1">
      <c r="A2123" t="s">
        <v>218</v>
      </c>
      <c r="B2123" t="s">
        <v>181</v>
      </c>
      <c r="C2123" t="s">
        <v>1807</v>
      </c>
      <c r="D2123" t="s">
        <v>1808</v>
      </c>
      <c r="E2123" s="4">
        <f>IF(AND('Multiple Choice Questions'!$A$17&lt;&gt;"",IFERROR(INDEX(_helpers!$2:$2,1,CHOOSE(LEN(TRIM('Multiple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Questions'!$A$17),1))-64))),0)&gt;0,IFERROR(INDEX(_helpers!$1:$1,1,CHOOSE(LEN(TRIM('Multiple Choice Questions'!$A$17)),CODE(TRIM('Multiple Choice Questions'!$A$17))-64,(CODE(LEFT(TRIM('Multiple Choice Questions'!$A$17),1))-64)*26+(CODE(RIGHT(TRIM('Multiple Choice Questions'!$A$17),1))-64),(CODE(LEFT(TRIM('Multiple Choice Questions'!$A$17),1))-64)*676+(CODE(MID(TRIM('Multiple Choice Questions'!$A$17),2,1))-64)*26+(CODE(RIGHT(TRIM('Multiple Choice Questions'!$A$17),1))-64))),0)&gt;0.2),"Column '"&amp;'Multiple Choice Questions'!$A$17&amp;"' has lots of different answers (&gt;20% are unique). That usually means it's a free-text question rather than multiple choice.","")</f>
        <v>0</v>
      </c>
      <c r="F2123" s="4" t="s">
        <v>1809</v>
      </c>
    </row>
    <row r="2124" spans="1:6" ht="75" customHeight="1">
      <c r="A2124" t="s">
        <v>218</v>
      </c>
      <c r="B2124" t="s">
        <v>182</v>
      </c>
      <c r="C2124" t="s">
        <v>1807</v>
      </c>
      <c r="D2124" t="s">
        <v>1808</v>
      </c>
      <c r="E2124" s="4">
        <f>IF(AND('Multiple Choice Questions'!$A$18&lt;&gt;"",IFERROR(INDEX(_helpers!$2:$2,1,CHOOSE(LEN(TRIM('Multiple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Questions'!$A$18),1))-64))),0)&gt;0,IFERROR(INDEX(_helpers!$1:$1,1,CHOOSE(LEN(TRIM('Multiple Choice Questions'!$A$18)),CODE(TRIM('Multiple Choice Questions'!$A$18))-64,(CODE(LEFT(TRIM('Multiple Choice Questions'!$A$18),1))-64)*26+(CODE(RIGHT(TRIM('Multiple Choice Questions'!$A$18),1))-64),(CODE(LEFT(TRIM('Multiple Choice Questions'!$A$18),1))-64)*676+(CODE(MID(TRIM('Multiple Choice Questions'!$A$18),2,1))-64)*26+(CODE(RIGHT(TRIM('Multiple Choice Questions'!$A$18),1))-64))),0)&gt;0.2),"Column '"&amp;'Multiple Choice Questions'!$A$18&amp;"' has lots of different answers (&gt;20% are unique). That usually means it's a free-text question rather than multiple choice.","")</f>
        <v>0</v>
      </c>
      <c r="F2124" s="4" t="s">
        <v>1809</v>
      </c>
    </row>
    <row r="2125" spans="1:6" ht="75" customHeight="1">
      <c r="A2125" t="s">
        <v>218</v>
      </c>
      <c r="B2125" t="s">
        <v>183</v>
      </c>
      <c r="C2125" t="s">
        <v>1807</v>
      </c>
      <c r="D2125" t="s">
        <v>1808</v>
      </c>
      <c r="E2125" s="4">
        <f>IF(AND('Multiple Choice Questions'!$A$19&lt;&gt;"",IFERROR(INDEX(_helpers!$2:$2,1,CHOOSE(LEN(TRIM('Multiple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Questions'!$A$19),1))-64))),0)&gt;0,IFERROR(INDEX(_helpers!$1:$1,1,CHOOSE(LEN(TRIM('Multiple Choice Questions'!$A$19)),CODE(TRIM('Multiple Choice Questions'!$A$19))-64,(CODE(LEFT(TRIM('Multiple Choice Questions'!$A$19),1))-64)*26+(CODE(RIGHT(TRIM('Multiple Choice Questions'!$A$19),1))-64),(CODE(LEFT(TRIM('Multiple Choice Questions'!$A$19),1))-64)*676+(CODE(MID(TRIM('Multiple Choice Questions'!$A$19),2,1))-64)*26+(CODE(RIGHT(TRIM('Multiple Choice Questions'!$A$19),1))-64))),0)&gt;0.2),"Column '"&amp;'Multiple Choice Questions'!$A$19&amp;"' has lots of different answers (&gt;20% are unique). That usually means it's a free-text question rather than multiple choice.","")</f>
        <v>0</v>
      </c>
      <c r="F2125" s="4" t="s">
        <v>1809</v>
      </c>
    </row>
    <row r="2126" spans="1:6" ht="75" customHeight="1">
      <c r="A2126" t="s">
        <v>218</v>
      </c>
      <c r="B2126" t="s">
        <v>184</v>
      </c>
      <c r="C2126" t="s">
        <v>1807</v>
      </c>
      <c r="D2126" t="s">
        <v>1808</v>
      </c>
      <c r="E2126" s="4">
        <f>IF(AND('Multiple Choice Questions'!$A$20&lt;&gt;"",IFERROR(INDEX(_helpers!$2:$2,1,CHOOSE(LEN(TRIM('Multiple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Questions'!$A$20),1))-64))),0)&gt;0,IFERROR(INDEX(_helpers!$1:$1,1,CHOOSE(LEN(TRIM('Multiple Choice Questions'!$A$20)),CODE(TRIM('Multiple Choice Questions'!$A$20))-64,(CODE(LEFT(TRIM('Multiple Choice Questions'!$A$20),1))-64)*26+(CODE(RIGHT(TRIM('Multiple Choice Questions'!$A$20),1))-64),(CODE(LEFT(TRIM('Multiple Choice Questions'!$A$20),1))-64)*676+(CODE(MID(TRIM('Multiple Choice Questions'!$A$20),2,1))-64)*26+(CODE(RIGHT(TRIM('Multiple Choice Questions'!$A$20),1))-64))),0)&gt;0.2),"Column '"&amp;'Multiple Choice Questions'!$A$20&amp;"' has lots of different answers (&gt;20% are unique). That usually means it's a free-text question rather than multiple choice.","")</f>
        <v>0</v>
      </c>
      <c r="F2126" s="4" t="s">
        <v>1809</v>
      </c>
    </row>
    <row r="2127" spans="1:6" ht="75" customHeight="1">
      <c r="A2127" t="s">
        <v>218</v>
      </c>
      <c r="B2127" t="s">
        <v>185</v>
      </c>
      <c r="C2127" t="s">
        <v>1807</v>
      </c>
      <c r="D2127" t="s">
        <v>1808</v>
      </c>
      <c r="E2127" s="4">
        <f>IF(AND('Multiple Choice Questions'!$A$21&lt;&gt;"",IFERROR(INDEX(_helpers!$2:$2,1,CHOOSE(LEN(TRIM('Multiple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Questions'!$A$21),1))-64))),0)&gt;0,IFERROR(INDEX(_helpers!$1:$1,1,CHOOSE(LEN(TRIM('Multiple Choice Questions'!$A$21)),CODE(TRIM('Multiple Choice Questions'!$A$21))-64,(CODE(LEFT(TRIM('Multiple Choice Questions'!$A$21),1))-64)*26+(CODE(RIGHT(TRIM('Multiple Choice Questions'!$A$21),1))-64),(CODE(LEFT(TRIM('Multiple Choice Questions'!$A$21),1))-64)*676+(CODE(MID(TRIM('Multiple Choice Questions'!$A$21),2,1))-64)*26+(CODE(RIGHT(TRIM('Multiple Choice Questions'!$A$21),1))-64))),0)&gt;0.2),"Column '"&amp;'Multiple Choice Questions'!$A$21&amp;"' has lots of different answers (&gt;20% are unique). That usually means it's a free-text question rather than multiple choice.","")</f>
        <v>0</v>
      </c>
      <c r="F2127" s="4" t="s">
        <v>1809</v>
      </c>
    </row>
    <row r="2128" spans="1:6" ht="75" customHeight="1">
      <c r="A2128" t="s">
        <v>218</v>
      </c>
      <c r="B2128" t="s">
        <v>186</v>
      </c>
      <c r="C2128" t="s">
        <v>1807</v>
      </c>
      <c r="D2128" t="s">
        <v>1808</v>
      </c>
      <c r="E2128" s="4">
        <f>IF(AND('Multiple Choice Questions'!$A$22&lt;&gt;"",IFERROR(INDEX(_helpers!$2:$2,1,CHOOSE(LEN(TRIM('Multiple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Questions'!$A$22),1))-64))),0)&gt;0,IFERROR(INDEX(_helpers!$1:$1,1,CHOOSE(LEN(TRIM('Multiple Choice Questions'!$A$22)),CODE(TRIM('Multiple Choice Questions'!$A$22))-64,(CODE(LEFT(TRIM('Multiple Choice Questions'!$A$22),1))-64)*26+(CODE(RIGHT(TRIM('Multiple Choice Questions'!$A$22),1))-64),(CODE(LEFT(TRIM('Multiple Choice Questions'!$A$22),1))-64)*676+(CODE(MID(TRIM('Multiple Choice Questions'!$A$22),2,1))-64)*26+(CODE(RIGHT(TRIM('Multiple Choice Questions'!$A$22),1))-64))),0)&gt;0.2),"Column '"&amp;'Multiple Choice Questions'!$A$22&amp;"' has lots of different answers (&gt;20% are unique). That usually means it's a free-text question rather than multiple choice.","")</f>
        <v>0</v>
      </c>
      <c r="F2128" s="4" t="s">
        <v>1809</v>
      </c>
    </row>
    <row r="2129" spans="1:6" ht="75" customHeight="1">
      <c r="A2129" t="s">
        <v>218</v>
      </c>
      <c r="B2129" t="s">
        <v>187</v>
      </c>
      <c r="C2129" t="s">
        <v>1807</v>
      </c>
      <c r="D2129" t="s">
        <v>1808</v>
      </c>
      <c r="E2129" s="4">
        <f>IF(AND('Multiple Choice Questions'!$A$23&lt;&gt;"",IFERROR(INDEX(_helpers!$2:$2,1,CHOOSE(LEN(TRIM('Multiple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Questions'!$A$23),1))-64))),0)&gt;0,IFERROR(INDEX(_helpers!$1:$1,1,CHOOSE(LEN(TRIM('Multiple Choice Questions'!$A$23)),CODE(TRIM('Multiple Choice Questions'!$A$23))-64,(CODE(LEFT(TRIM('Multiple Choice Questions'!$A$23),1))-64)*26+(CODE(RIGHT(TRIM('Multiple Choice Questions'!$A$23),1))-64),(CODE(LEFT(TRIM('Multiple Choice Questions'!$A$23),1))-64)*676+(CODE(MID(TRIM('Multiple Choice Questions'!$A$23),2,1))-64)*26+(CODE(RIGHT(TRIM('Multiple Choice Questions'!$A$23),1))-64))),0)&gt;0.2),"Column '"&amp;'Multiple Choice Questions'!$A$23&amp;"' has lots of different answers (&gt;20% are unique). That usually means it's a free-text question rather than multiple choice.","")</f>
        <v>0</v>
      </c>
      <c r="F2129" s="4" t="s">
        <v>1809</v>
      </c>
    </row>
    <row r="2130" spans="1:6" ht="75" customHeight="1">
      <c r="A2130" t="s">
        <v>218</v>
      </c>
      <c r="B2130" t="s">
        <v>188</v>
      </c>
      <c r="C2130" t="s">
        <v>1807</v>
      </c>
      <c r="D2130" t="s">
        <v>1808</v>
      </c>
      <c r="E2130" s="4">
        <f>IF(AND('Multiple Choice Questions'!$A$24&lt;&gt;"",IFERROR(INDEX(_helpers!$2:$2,1,CHOOSE(LEN(TRIM('Multiple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Questions'!$A$24),1))-64))),0)&gt;0,IFERROR(INDEX(_helpers!$1:$1,1,CHOOSE(LEN(TRIM('Multiple Choice Questions'!$A$24)),CODE(TRIM('Multiple Choice Questions'!$A$24))-64,(CODE(LEFT(TRIM('Multiple Choice Questions'!$A$24),1))-64)*26+(CODE(RIGHT(TRIM('Multiple Choice Questions'!$A$24),1))-64),(CODE(LEFT(TRIM('Multiple Choice Questions'!$A$24),1))-64)*676+(CODE(MID(TRIM('Multiple Choice Questions'!$A$24),2,1))-64)*26+(CODE(RIGHT(TRIM('Multiple Choice Questions'!$A$24),1))-64))),0)&gt;0.2),"Column '"&amp;'Multiple Choice Questions'!$A$24&amp;"' has lots of different answers (&gt;20% are unique). That usually means it's a free-text question rather than multiple choice.","")</f>
        <v>0</v>
      </c>
      <c r="F2130" s="4" t="s">
        <v>1809</v>
      </c>
    </row>
    <row r="2131" spans="1:6" ht="75" customHeight="1">
      <c r="A2131" t="s">
        <v>218</v>
      </c>
      <c r="B2131" t="s">
        <v>189</v>
      </c>
      <c r="C2131" t="s">
        <v>1807</v>
      </c>
      <c r="D2131" t="s">
        <v>1808</v>
      </c>
      <c r="E2131" s="4">
        <f>IF(AND('Multiple Choice Questions'!$A$25&lt;&gt;"",IFERROR(INDEX(_helpers!$2:$2,1,CHOOSE(LEN(TRIM('Multiple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Questions'!$A$25),1))-64))),0)&gt;0,IFERROR(INDEX(_helpers!$1:$1,1,CHOOSE(LEN(TRIM('Multiple Choice Questions'!$A$25)),CODE(TRIM('Multiple Choice Questions'!$A$25))-64,(CODE(LEFT(TRIM('Multiple Choice Questions'!$A$25),1))-64)*26+(CODE(RIGHT(TRIM('Multiple Choice Questions'!$A$25),1))-64),(CODE(LEFT(TRIM('Multiple Choice Questions'!$A$25),1))-64)*676+(CODE(MID(TRIM('Multiple Choice Questions'!$A$25),2,1))-64)*26+(CODE(RIGHT(TRIM('Multiple Choice Questions'!$A$25),1))-64))),0)&gt;0.2),"Column '"&amp;'Multiple Choice Questions'!$A$25&amp;"' has lots of different answers (&gt;20% are unique). That usually means it's a free-text question rather than multiple choice.","")</f>
        <v>0</v>
      </c>
      <c r="F2131" s="4" t="s">
        <v>1809</v>
      </c>
    </row>
    <row r="2132" spans="1:6" ht="75" customHeight="1">
      <c r="A2132" t="s">
        <v>218</v>
      </c>
      <c r="B2132" t="s">
        <v>190</v>
      </c>
      <c r="C2132" t="s">
        <v>1807</v>
      </c>
      <c r="D2132" t="s">
        <v>1808</v>
      </c>
      <c r="E2132" s="4">
        <f>IF(AND('Multiple Choice Questions'!$A$26&lt;&gt;"",IFERROR(INDEX(_helpers!$2:$2,1,CHOOSE(LEN(TRIM('Multiple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Questions'!$A$26),1))-64))),0)&gt;0,IFERROR(INDEX(_helpers!$1:$1,1,CHOOSE(LEN(TRIM('Multiple Choice Questions'!$A$26)),CODE(TRIM('Multiple Choice Questions'!$A$26))-64,(CODE(LEFT(TRIM('Multiple Choice Questions'!$A$26),1))-64)*26+(CODE(RIGHT(TRIM('Multiple Choice Questions'!$A$26),1))-64),(CODE(LEFT(TRIM('Multiple Choice Questions'!$A$26),1))-64)*676+(CODE(MID(TRIM('Multiple Choice Questions'!$A$26),2,1))-64)*26+(CODE(RIGHT(TRIM('Multiple Choice Questions'!$A$26),1))-64))),0)&gt;0.2),"Column '"&amp;'Multiple Choice Questions'!$A$26&amp;"' has lots of different answers (&gt;20% are unique). That usually means it's a free-text question rather than multiple choice.","")</f>
        <v>0</v>
      </c>
      <c r="F2132" s="4" t="s">
        <v>1809</v>
      </c>
    </row>
    <row r="2133" spans="1:6" ht="75" customHeight="1">
      <c r="A2133" t="s">
        <v>218</v>
      </c>
      <c r="B2133" t="s">
        <v>191</v>
      </c>
      <c r="C2133" t="s">
        <v>1807</v>
      </c>
      <c r="D2133" t="s">
        <v>1808</v>
      </c>
      <c r="E2133" s="4">
        <f>IF(AND('Multiple Choice Questions'!$A$27&lt;&gt;"",IFERROR(INDEX(_helpers!$2:$2,1,CHOOSE(LEN(TRIM('Multiple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Questions'!$A$27),1))-64))),0)&gt;0,IFERROR(INDEX(_helpers!$1:$1,1,CHOOSE(LEN(TRIM('Multiple Choice Questions'!$A$27)),CODE(TRIM('Multiple Choice Questions'!$A$27))-64,(CODE(LEFT(TRIM('Multiple Choice Questions'!$A$27),1))-64)*26+(CODE(RIGHT(TRIM('Multiple Choice Questions'!$A$27),1))-64),(CODE(LEFT(TRIM('Multiple Choice Questions'!$A$27),1))-64)*676+(CODE(MID(TRIM('Multiple Choice Questions'!$A$27),2,1))-64)*26+(CODE(RIGHT(TRIM('Multiple Choice Questions'!$A$27),1))-64))),0)&gt;0.2),"Column '"&amp;'Multiple Choice Questions'!$A$27&amp;"' has lots of different answers (&gt;20% are unique). That usually means it's a free-text question rather than multiple choice.","")</f>
        <v>0</v>
      </c>
      <c r="F2133" s="4" t="s">
        <v>1809</v>
      </c>
    </row>
    <row r="2134" spans="1:6" ht="75" customHeight="1">
      <c r="A2134" t="s">
        <v>218</v>
      </c>
      <c r="B2134" t="s">
        <v>192</v>
      </c>
      <c r="C2134" t="s">
        <v>1807</v>
      </c>
      <c r="D2134" t="s">
        <v>1808</v>
      </c>
      <c r="E2134" s="4">
        <f>IF(AND('Multiple Choice Questions'!$A$28&lt;&gt;"",IFERROR(INDEX(_helpers!$2:$2,1,CHOOSE(LEN(TRIM('Multiple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Questions'!$A$28),1))-64))),0)&gt;0,IFERROR(INDEX(_helpers!$1:$1,1,CHOOSE(LEN(TRIM('Multiple Choice Questions'!$A$28)),CODE(TRIM('Multiple Choice Questions'!$A$28))-64,(CODE(LEFT(TRIM('Multiple Choice Questions'!$A$28),1))-64)*26+(CODE(RIGHT(TRIM('Multiple Choice Questions'!$A$28),1))-64),(CODE(LEFT(TRIM('Multiple Choice Questions'!$A$28),1))-64)*676+(CODE(MID(TRIM('Multiple Choice Questions'!$A$28),2,1))-64)*26+(CODE(RIGHT(TRIM('Multiple Choice Questions'!$A$28),1))-64))),0)&gt;0.2),"Column '"&amp;'Multiple Choice Questions'!$A$28&amp;"' has lots of different answers (&gt;20% are unique). That usually means it's a free-text question rather than multiple choice.","")</f>
        <v>0</v>
      </c>
      <c r="F2134" s="4" t="s">
        <v>1809</v>
      </c>
    </row>
    <row r="2135" spans="1:6" ht="75" customHeight="1">
      <c r="A2135" t="s">
        <v>218</v>
      </c>
      <c r="B2135" t="s">
        <v>193</v>
      </c>
      <c r="C2135" t="s">
        <v>1807</v>
      </c>
      <c r="D2135" t="s">
        <v>1808</v>
      </c>
      <c r="E2135" s="4">
        <f>IF(AND('Multiple Choice Questions'!$A$29&lt;&gt;"",IFERROR(INDEX(_helpers!$2:$2,1,CHOOSE(LEN(TRIM('Multiple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Questions'!$A$29),1))-64))),0)&gt;0,IFERROR(INDEX(_helpers!$1:$1,1,CHOOSE(LEN(TRIM('Multiple Choice Questions'!$A$29)),CODE(TRIM('Multiple Choice Questions'!$A$29))-64,(CODE(LEFT(TRIM('Multiple Choice Questions'!$A$29),1))-64)*26+(CODE(RIGHT(TRIM('Multiple Choice Questions'!$A$29),1))-64),(CODE(LEFT(TRIM('Multiple Choice Questions'!$A$29),1))-64)*676+(CODE(MID(TRIM('Multiple Choice Questions'!$A$29),2,1))-64)*26+(CODE(RIGHT(TRIM('Multiple Choice Questions'!$A$29),1))-64))),0)&gt;0.2),"Column '"&amp;'Multiple Choice Questions'!$A$29&amp;"' has lots of different answers (&gt;20% are unique). That usually means it's a free-text question rather than multiple choice.","")</f>
        <v>0</v>
      </c>
      <c r="F2135" s="4" t="s">
        <v>1809</v>
      </c>
    </row>
    <row r="2136" spans="1:6" ht="75" customHeight="1">
      <c r="A2136" t="s">
        <v>218</v>
      </c>
      <c r="B2136" t="s">
        <v>194</v>
      </c>
      <c r="C2136" t="s">
        <v>1807</v>
      </c>
      <c r="D2136" t="s">
        <v>1808</v>
      </c>
      <c r="E2136" s="4">
        <f>IF(AND('Multiple Choice Questions'!$A$30&lt;&gt;"",IFERROR(INDEX(_helpers!$2:$2,1,CHOOSE(LEN(TRIM('Multiple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Questions'!$A$30),1))-64))),0)&gt;0,IFERROR(INDEX(_helpers!$1:$1,1,CHOOSE(LEN(TRIM('Multiple Choice Questions'!$A$30)),CODE(TRIM('Multiple Choice Questions'!$A$30))-64,(CODE(LEFT(TRIM('Multiple Choice Questions'!$A$30),1))-64)*26+(CODE(RIGHT(TRIM('Multiple Choice Questions'!$A$30),1))-64),(CODE(LEFT(TRIM('Multiple Choice Questions'!$A$30),1))-64)*676+(CODE(MID(TRIM('Multiple Choice Questions'!$A$30),2,1))-64)*26+(CODE(RIGHT(TRIM('Multiple Choice Questions'!$A$30),1))-64))),0)&gt;0.2),"Column '"&amp;'Multiple Choice Questions'!$A$30&amp;"' has lots of different answers (&gt;20% are unique). That usually means it's a free-text question rather than multiple choice.","")</f>
        <v>0</v>
      </c>
      <c r="F2136" s="4" t="s">
        <v>1809</v>
      </c>
    </row>
    <row r="2137" spans="1:6" ht="75" customHeight="1">
      <c r="A2137" t="s">
        <v>218</v>
      </c>
      <c r="B2137" t="s">
        <v>195</v>
      </c>
      <c r="C2137" t="s">
        <v>1807</v>
      </c>
      <c r="D2137" t="s">
        <v>1808</v>
      </c>
      <c r="E2137" s="4">
        <f>IF(AND('Multiple Choice Questions'!$A$31&lt;&gt;"",IFERROR(INDEX(_helpers!$2:$2,1,CHOOSE(LEN(TRIM('Multiple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Questions'!$A$31),1))-64))),0)&gt;0,IFERROR(INDEX(_helpers!$1:$1,1,CHOOSE(LEN(TRIM('Multiple Choice Questions'!$A$31)),CODE(TRIM('Multiple Choice Questions'!$A$31))-64,(CODE(LEFT(TRIM('Multiple Choice Questions'!$A$31),1))-64)*26+(CODE(RIGHT(TRIM('Multiple Choice Questions'!$A$31),1))-64),(CODE(LEFT(TRIM('Multiple Choice Questions'!$A$31),1))-64)*676+(CODE(MID(TRIM('Multiple Choice Questions'!$A$31),2,1))-64)*26+(CODE(RIGHT(TRIM('Multiple Choice Questions'!$A$31),1))-64))),0)&gt;0.2),"Column '"&amp;'Multiple Choice Questions'!$A$31&amp;"' has lots of different answers (&gt;20% are unique). That usually means it's a free-text question rather than multiple choice.","")</f>
        <v>0</v>
      </c>
      <c r="F2137" s="4" t="s">
        <v>1809</v>
      </c>
    </row>
    <row r="2138" spans="1:6" ht="75" customHeight="1">
      <c r="A2138" t="s">
        <v>218</v>
      </c>
      <c r="B2138" t="s">
        <v>196</v>
      </c>
      <c r="C2138" t="s">
        <v>1807</v>
      </c>
      <c r="D2138" t="s">
        <v>1808</v>
      </c>
      <c r="E2138" s="4">
        <f>IF(AND('Multiple Choice Questions'!$A$32&lt;&gt;"",IFERROR(INDEX(_helpers!$2:$2,1,CHOOSE(LEN(TRIM('Multiple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Questions'!$A$32),1))-64))),0)&gt;0,IFERROR(INDEX(_helpers!$1:$1,1,CHOOSE(LEN(TRIM('Multiple Choice Questions'!$A$32)),CODE(TRIM('Multiple Choice Questions'!$A$32))-64,(CODE(LEFT(TRIM('Multiple Choice Questions'!$A$32),1))-64)*26+(CODE(RIGHT(TRIM('Multiple Choice Questions'!$A$32),1))-64),(CODE(LEFT(TRIM('Multiple Choice Questions'!$A$32),1))-64)*676+(CODE(MID(TRIM('Multiple Choice Questions'!$A$32),2,1))-64)*26+(CODE(RIGHT(TRIM('Multiple Choice Questions'!$A$32),1))-64))),0)&gt;0.2),"Column '"&amp;'Multiple Choice Questions'!$A$32&amp;"' has lots of different answers (&gt;20% are unique). That usually means it's a free-text question rather than multiple choice.","")</f>
        <v>0</v>
      </c>
      <c r="F2138" s="4" t="s">
        <v>1809</v>
      </c>
    </row>
    <row r="2139" spans="1:6" ht="75" customHeight="1">
      <c r="A2139" t="s">
        <v>218</v>
      </c>
      <c r="B2139" t="s">
        <v>197</v>
      </c>
      <c r="C2139" t="s">
        <v>1807</v>
      </c>
      <c r="D2139" t="s">
        <v>1808</v>
      </c>
      <c r="E2139" s="4">
        <f>IF(AND('Multiple Choice Questions'!$A$33&lt;&gt;"",IFERROR(INDEX(_helpers!$2:$2,1,CHOOSE(LEN(TRIM('Multiple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Questions'!$A$33),1))-64))),0)&gt;0,IFERROR(INDEX(_helpers!$1:$1,1,CHOOSE(LEN(TRIM('Multiple Choice Questions'!$A$33)),CODE(TRIM('Multiple Choice Questions'!$A$33))-64,(CODE(LEFT(TRIM('Multiple Choice Questions'!$A$33),1))-64)*26+(CODE(RIGHT(TRIM('Multiple Choice Questions'!$A$33),1))-64),(CODE(LEFT(TRIM('Multiple Choice Questions'!$A$33),1))-64)*676+(CODE(MID(TRIM('Multiple Choice Questions'!$A$33),2,1))-64)*26+(CODE(RIGHT(TRIM('Multiple Choice Questions'!$A$33),1))-64))),0)&gt;0.2),"Column '"&amp;'Multiple Choice Questions'!$A$33&amp;"' has lots of different answers (&gt;20% are unique). That usually means it's a free-text question rather than multiple choice.","")</f>
        <v>0</v>
      </c>
      <c r="F2139" s="4" t="s">
        <v>1809</v>
      </c>
    </row>
    <row r="2140" spans="1:6" ht="75" customHeight="1">
      <c r="A2140" t="s">
        <v>218</v>
      </c>
      <c r="B2140" t="s">
        <v>198</v>
      </c>
      <c r="C2140" t="s">
        <v>1807</v>
      </c>
      <c r="D2140" t="s">
        <v>1808</v>
      </c>
      <c r="E2140" s="4">
        <f>IF(AND('Multiple Choice Questions'!$A$34&lt;&gt;"",IFERROR(INDEX(_helpers!$2:$2,1,CHOOSE(LEN(TRIM('Multiple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Questions'!$A$34),1))-64))),0)&gt;0,IFERROR(INDEX(_helpers!$1:$1,1,CHOOSE(LEN(TRIM('Multiple Choice Questions'!$A$34)),CODE(TRIM('Multiple Choice Questions'!$A$34))-64,(CODE(LEFT(TRIM('Multiple Choice Questions'!$A$34),1))-64)*26+(CODE(RIGHT(TRIM('Multiple Choice Questions'!$A$34),1))-64),(CODE(LEFT(TRIM('Multiple Choice Questions'!$A$34),1))-64)*676+(CODE(MID(TRIM('Multiple Choice Questions'!$A$34),2,1))-64)*26+(CODE(RIGHT(TRIM('Multiple Choice Questions'!$A$34),1))-64))),0)&gt;0.2),"Column '"&amp;'Multiple Choice Questions'!$A$34&amp;"' has lots of different answers (&gt;20% are unique). That usually means it's a free-text question rather than multiple choice.","")</f>
        <v>0</v>
      </c>
      <c r="F2140" s="4" t="s">
        <v>1809</v>
      </c>
    </row>
    <row r="2141" spans="1:6" ht="75" customHeight="1">
      <c r="A2141" t="s">
        <v>218</v>
      </c>
      <c r="B2141" t="s">
        <v>199</v>
      </c>
      <c r="C2141" t="s">
        <v>1807</v>
      </c>
      <c r="D2141" t="s">
        <v>1808</v>
      </c>
      <c r="E2141" s="4">
        <f>IF(AND('Multiple Choice Questions'!$A$35&lt;&gt;"",IFERROR(INDEX(_helpers!$2:$2,1,CHOOSE(LEN(TRIM('Multiple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Questions'!$A$35),1))-64))),0)&gt;0,IFERROR(INDEX(_helpers!$1:$1,1,CHOOSE(LEN(TRIM('Multiple Choice Questions'!$A$35)),CODE(TRIM('Multiple Choice Questions'!$A$35))-64,(CODE(LEFT(TRIM('Multiple Choice Questions'!$A$35),1))-64)*26+(CODE(RIGHT(TRIM('Multiple Choice Questions'!$A$35),1))-64),(CODE(LEFT(TRIM('Multiple Choice Questions'!$A$35),1))-64)*676+(CODE(MID(TRIM('Multiple Choice Questions'!$A$35),2,1))-64)*26+(CODE(RIGHT(TRIM('Multiple Choice Questions'!$A$35),1))-64))),0)&gt;0.2),"Column '"&amp;'Multiple Choice Questions'!$A$35&amp;"' has lots of different answers (&gt;20% are unique). That usually means it's a free-text question rather than multiple choice.","")</f>
        <v>0</v>
      </c>
      <c r="F2141" s="4" t="s">
        <v>1809</v>
      </c>
    </row>
    <row r="2142" spans="1:6" ht="75" customHeight="1">
      <c r="A2142" t="s">
        <v>218</v>
      </c>
      <c r="B2142" t="s">
        <v>200</v>
      </c>
      <c r="C2142" t="s">
        <v>1807</v>
      </c>
      <c r="D2142" t="s">
        <v>1808</v>
      </c>
      <c r="E2142" s="4">
        <f>IF(AND('Multiple Choice Questions'!$A$36&lt;&gt;"",IFERROR(INDEX(_helpers!$2:$2,1,CHOOSE(LEN(TRIM('Multiple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Questions'!$A$36),1))-64))),0)&gt;0,IFERROR(INDEX(_helpers!$1:$1,1,CHOOSE(LEN(TRIM('Multiple Choice Questions'!$A$36)),CODE(TRIM('Multiple Choice Questions'!$A$36))-64,(CODE(LEFT(TRIM('Multiple Choice Questions'!$A$36),1))-64)*26+(CODE(RIGHT(TRIM('Multiple Choice Questions'!$A$36),1))-64),(CODE(LEFT(TRIM('Multiple Choice Questions'!$A$36),1))-64)*676+(CODE(MID(TRIM('Multiple Choice Questions'!$A$36),2,1))-64)*26+(CODE(RIGHT(TRIM('Multiple Choice Questions'!$A$36),1))-64))),0)&gt;0.2),"Column '"&amp;'Multiple Choice Questions'!$A$36&amp;"' has lots of different answers (&gt;20% are unique). That usually means it's a free-text question rather than multiple choice.","")</f>
        <v>0</v>
      </c>
      <c r="F2142" s="4" t="s">
        <v>1809</v>
      </c>
    </row>
    <row r="2143" spans="1:6" ht="75" customHeight="1">
      <c r="A2143" t="s">
        <v>218</v>
      </c>
      <c r="B2143" t="s">
        <v>201</v>
      </c>
      <c r="C2143" t="s">
        <v>1807</v>
      </c>
      <c r="D2143" t="s">
        <v>1808</v>
      </c>
      <c r="E2143" s="4">
        <f>IF(AND('Multiple Choice Questions'!$A$37&lt;&gt;"",IFERROR(INDEX(_helpers!$2:$2,1,CHOOSE(LEN(TRIM('Multiple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Questions'!$A$37),1))-64))),0)&gt;0,IFERROR(INDEX(_helpers!$1:$1,1,CHOOSE(LEN(TRIM('Multiple Choice Questions'!$A$37)),CODE(TRIM('Multiple Choice Questions'!$A$37))-64,(CODE(LEFT(TRIM('Multiple Choice Questions'!$A$37),1))-64)*26+(CODE(RIGHT(TRIM('Multiple Choice Questions'!$A$37),1))-64),(CODE(LEFT(TRIM('Multiple Choice Questions'!$A$37),1))-64)*676+(CODE(MID(TRIM('Multiple Choice Questions'!$A$37),2,1))-64)*26+(CODE(RIGHT(TRIM('Multiple Choice Questions'!$A$37),1))-64))),0)&gt;0.2),"Column '"&amp;'Multiple Choice Questions'!$A$37&amp;"' has lots of different answers (&gt;20% are unique). That usually means it's a free-text question rather than multiple choice.","")</f>
        <v>0</v>
      </c>
      <c r="F2143" s="4" t="s">
        <v>1809</v>
      </c>
    </row>
    <row r="2144" spans="1:6" ht="75" customHeight="1">
      <c r="A2144" t="s">
        <v>218</v>
      </c>
      <c r="B2144" t="s">
        <v>202</v>
      </c>
      <c r="C2144" t="s">
        <v>1807</v>
      </c>
      <c r="D2144" t="s">
        <v>1808</v>
      </c>
      <c r="E2144" s="4">
        <f>IF(AND('Multiple Choice Questions'!$A$38&lt;&gt;"",IFERROR(INDEX(_helpers!$2:$2,1,CHOOSE(LEN(TRIM('Multiple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Questions'!$A$38),1))-64))),0)&gt;0,IFERROR(INDEX(_helpers!$1:$1,1,CHOOSE(LEN(TRIM('Multiple Choice Questions'!$A$38)),CODE(TRIM('Multiple Choice Questions'!$A$38))-64,(CODE(LEFT(TRIM('Multiple Choice Questions'!$A$38),1))-64)*26+(CODE(RIGHT(TRIM('Multiple Choice Questions'!$A$38),1))-64),(CODE(LEFT(TRIM('Multiple Choice Questions'!$A$38),1))-64)*676+(CODE(MID(TRIM('Multiple Choice Questions'!$A$38),2,1))-64)*26+(CODE(RIGHT(TRIM('Multiple Choice Questions'!$A$38),1))-64))),0)&gt;0.2),"Column '"&amp;'Multiple Choice Questions'!$A$38&amp;"' has lots of different answers (&gt;20% are unique). That usually means it's a free-text question rather than multiple choice.","")</f>
        <v>0</v>
      </c>
      <c r="F2144" s="4" t="s">
        <v>1809</v>
      </c>
    </row>
    <row r="2145" spans="1:6" ht="75" customHeight="1">
      <c r="A2145" t="s">
        <v>218</v>
      </c>
      <c r="B2145" t="s">
        <v>203</v>
      </c>
      <c r="C2145" t="s">
        <v>1807</v>
      </c>
      <c r="D2145" t="s">
        <v>1808</v>
      </c>
      <c r="E2145" s="4">
        <f>IF(AND('Multiple Choice Questions'!$A$39&lt;&gt;"",IFERROR(INDEX(_helpers!$2:$2,1,CHOOSE(LEN(TRIM('Multiple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Questions'!$A$39),1))-64))),0)&gt;0,IFERROR(INDEX(_helpers!$1:$1,1,CHOOSE(LEN(TRIM('Multiple Choice Questions'!$A$39)),CODE(TRIM('Multiple Choice Questions'!$A$39))-64,(CODE(LEFT(TRIM('Multiple Choice Questions'!$A$39),1))-64)*26+(CODE(RIGHT(TRIM('Multiple Choice Questions'!$A$39),1))-64),(CODE(LEFT(TRIM('Multiple Choice Questions'!$A$39),1))-64)*676+(CODE(MID(TRIM('Multiple Choice Questions'!$A$39),2,1))-64)*26+(CODE(RIGHT(TRIM('Multiple Choice Questions'!$A$39),1))-64))),0)&gt;0.2),"Column '"&amp;'Multiple Choice Questions'!$A$39&amp;"' has lots of different answers (&gt;20% are unique). That usually means it's a free-text question rather than multiple choice.","")</f>
        <v>0</v>
      </c>
      <c r="F2145" s="4" t="s">
        <v>1809</v>
      </c>
    </row>
    <row r="2146" spans="1:6" ht="75" customHeight="1">
      <c r="A2146" t="s">
        <v>218</v>
      </c>
      <c r="B2146" t="s">
        <v>204</v>
      </c>
      <c r="C2146" t="s">
        <v>1807</v>
      </c>
      <c r="D2146" t="s">
        <v>1808</v>
      </c>
      <c r="E2146" s="4">
        <f>IF(AND('Multiple Choice Questions'!$A$40&lt;&gt;"",IFERROR(INDEX(_helpers!$2:$2,1,CHOOSE(LEN(TRIM('Multiple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Questions'!$A$40),1))-64))),0)&gt;0,IFERROR(INDEX(_helpers!$1:$1,1,CHOOSE(LEN(TRIM('Multiple Choice Questions'!$A$40)),CODE(TRIM('Multiple Choice Questions'!$A$40))-64,(CODE(LEFT(TRIM('Multiple Choice Questions'!$A$40),1))-64)*26+(CODE(RIGHT(TRIM('Multiple Choice Questions'!$A$40),1))-64),(CODE(LEFT(TRIM('Multiple Choice Questions'!$A$40),1))-64)*676+(CODE(MID(TRIM('Multiple Choice Questions'!$A$40),2,1))-64)*26+(CODE(RIGHT(TRIM('Multiple Choice Questions'!$A$40),1))-64))),0)&gt;0.2),"Column '"&amp;'Multiple Choice Questions'!$A$40&amp;"' has lots of different answers (&gt;20% are unique). That usually means it's a free-text question rather than multiple choice.","")</f>
        <v>0</v>
      </c>
      <c r="F2146" s="4" t="s">
        <v>1809</v>
      </c>
    </row>
    <row r="2147" spans="1:6" ht="75" customHeight="1">
      <c r="A2147" t="s">
        <v>218</v>
      </c>
      <c r="B2147" t="s">
        <v>205</v>
      </c>
      <c r="C2147" t="s">
        <v>1807</v>
      </c>
      <c r="D2147" t="s">
        <v>1808</v>
      </c>
      <c r="E2147" s="4">
        <f>IF(AND('Multiple Choice Questions'!$A$41&lt;&gt;"",IFERROR(INDEX(_helpers!$2:$2,1,CHOOSE(LEN(TRIM('Multiple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Questions'!$A$41),1))-64))),0)&gt;0,IFERROR(INDEX(_helpers!$1:$1,1,CHOOSE(LEN(TRIM('Multiple Choice Questions'!$A$41)),CODE(TRIM('Multiple Choice Questions'!$A$41))-64,(CODE(LEFT(TRIM('Multiple Choice Questions'!$A$41),1))-64)*26+(CODE(RIGHT(TRIM('Multiple Choice Questions'!$A$41),1))-64),(CODE(LEFT(TRIM('Multiple Choice Questions'!$A$41),1))-64)*676+(CODE(MID(TRIM('Multiple Choice Questions'!$A$41),2,1))-64)*26+(CODE(RIGHT(TRIM('Multiple Choice Questions'!$A$41),1))-64))),0)&gt;0.2),"Column '"&amp;'Multiple Choice Questions'!$A$41&amp;"' has lots of different answers (&gt;20% are unique). That usually means it's a free-text question rather than multiple choice.","")</f>
        <v>0</v>
      </c>
      <c r="F2147" s="4" t="s">
        <v>1809</v>
      </c>
    </row>
    <row r="2148" spans="1:6" ht="75" customHeight="1">
      <c r="A2148" t="s">
        <v>218</v>
      </c>
      <c r="B2148" t="s">
        <v>206</v>
      </c>
      <c r="C2148" t="s">
        <v>1807</v>
      </c>
      <c r="D2148" t="s">
        <v>1808</v>
      </c>
      <c r="E2148" s="4">
        <f>IF(AND('Multiple Choice Questions'!$A$42&lt;&gt;"",IFERROR(INDEX(_helpers!$2:$2,1,CHOOSE(LEN(TRIM('Multiple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Questions'!$A$42),1))-64))),0)&gt;0,IFERROR(INDEX(_helpers!$1:$1,1,CHOOSE(LEN(TRIM('Multiple Choice Questions'!$A$42)),CODE(TRIM('Multiple Choice Questions'!$A$42))-64,(CODE(LEFT(TRIM('Multiple Choice Questions'!$A$42),1))-64)*26+(CODE(RIGHT(TRIM('Multiple Choice Questions'!$A$42),1))-64),(CODE(LEFT(TRIM('Multiple Choice Questions'!$A$42),1))-64)*676+(CODE(MID(TRIM('Multiple Choice Questions'!$A$42),2,1))-64)*26+(CODE(RIGHT(TRIM('Multiple Choice Questions'!$A$42),1))-64))),0)&gt;0.2),"Column '"&amp;'Multiple Choice Questions'!$A$42&amp;"' has lots of different answers (&gt;20% are unique). That usually means it's a free-text question rather than multiple choice.","")</f>
        <v>0</v>
      </c>
      <c r="F2148" s="4" t="s">
        <v>1809</v>
      </c>
    </row>
    <row r="2149" spans="1:6" ht="75" customHeight="1">
      <c r="A2149" t="s">
        <v>218</v>
      </c>
      <c r="B2149" t="s">
        <v>207</v>
      </c>
      <c r="C2149" t="s">
        <v>1807</v>
      </c>
      <c r="D2149" t="s">
        <v>1808</v>
      </c>
      <c r="E2149" s="4">
        <f>IF(AND('Multiple Choice Questions'!$A$43&lt;&gt;"",IFERROR(INDEX(_helpers!$2:$2,1,CHOOSE(LEN(TRIM('Multiple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Questions'!$A$43),1))-64))),0)&gt;0,IFERROR(INDEX(_helpers!$1:$1,1,CHOOSE(LEN(TRIM('Multiple Choice Questions'!$A$43)),CODE(TRIM('Multiple Choice Questions'!$A$43))-64,(CODE(LEFT(TRIM('Multiple Choice Questions'!$A$43),1))-64)*26+(CODE(RIGHT(TRIM('Multiple Choice Questions'!$A$43),1))-64),(CODE(LEFT(TRIM('Multiple Choice Questions'!$A$43),1))-64)*676+(CODE(MID(TRIM('Multiple Choice Questions'!$A$43),2,1))-64)*26+(CODE(RIGHT(TRIM('Multiple Choice Questions'!$A$43),1))-64))),0)&gt;0.2),"Column '"&amp;'Multiple Choice Questions'!$A$43&amp;"' has lots of different answers (&gt;20% are unique). That usually means it's a free-text question rather than multiple choice.","")</f>
        <v>0</v>
      </c>
      <c r="F2149" s="4" t="s">
        <v>1809</v>
      </c>
    </row>
    <row r="2150" spans="1:6" ht="75" customHeight="1">
      <c r="A2150" t="s">
        <v>218</v>
      </c>
      <c r="B2150" t="s">
        <v>208</v>
      </c>
      <c r="C2150" t="s">
        <v>1807</v>
      </c>
      <c r="D2150" t="s">
        <v>1808</v>
      </c>
      <c r="E2150" s="4">
        <f>IF(AND('Multiple Choice Questions'!$A$44&lt;&gt;"",IFERROR(INDEX(_helpers!$2:$2,1,CHOOSE(LEN(TRIM('Multiple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Questions'!$A$44),1))-64))),0)&gt;0,IFERROR(INDEX(_helpers!$1:$1,1,CHOOSE(LEN(TRIM('Multiple Choice Questions'!$A$44)),CODE(TRIM('Multiple Choice Questions'!$A$44))-64,(CODE(LEFT(TRIM('Multiple Choice Questions'!$A$44),1))-64)*26+(CODE(RIGHT(TRIM('Multiple Choice Questions'!$A$44),1))-64),(CODE(LEFT(TRIM('Multiple Choice Questions'!$A$44),1))-64)*676+(CODE(MID(TRIM('Multiple Choice Questions'!$A$44),2,1))-64)*26+(CODE(RIGHT(TRIM('Multiple Choice Questions'!$A$44),1))-64))),0)&gt;0.2),"Column '"&amp;'Multiple Choice Questions'!$A$44&amp;"' has lots of different answers (&gt;20% are unique). That usually means it's a free-text question rather than multiple choice.","")</f>
        <v>0</v>
      </c>
      <c r="F2150" s="4" t="s">
        <v>1809</v>
      </c>
    </row>
    <row r="2151" spans="1:6" ht="75" customHeight="1">
      <c r="A2151" t="s">
        <v>218</v>
      </c>
      <c r="B2151" t="s">
        <v>209</v>
      </c>
      <c r="C2151" t="s">
        <v>1807</v>
      </c>
      <c r="D2151" t="s">
        <v>1808</v>
      </c>
      <c r="E2151" s="4">
        <f>IF(AND('Multiple Choice Questions'!$A$45&lt;&gt;"",IFERROR(INDEX(_helpers!$2:$2,1,CHOOSE(LEN(TRIM('Multiple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Questions'!$A$45),1))-64))),0)&gt;0,IFERROR(INDEX(_helpers!$1:$1,1,CHOOSE(LEN(TRIM('Multiple Choice Questions'!$A$45)),CODE(TRIM('Multiple Choice Questions'!$A$45))-64,(CODE(LEFT(TRIM('Multiple Choice Questions'!$A$45),1))-64)*26+(CODE(RIGHT(TRIM('Multiple Choice Questions'!$A$45),1))-64),(CODE(LEFT(TRIM('Multiple Choice Questions'!$A$45),1))-64)*676+(CODE(MID(TRIM('Multiple Choice Questions'!$A$45),2,1))-64)*26+(CODE(RIGHT(TRIM('Multiple Choice Questions'!$A$45),1))-64))),0)&gt;0.2),"Column '"&amp;'Multiple Choice Questions'!$A$45&amp;"' has lots of different answers (&gt;20% are unique). That usually means it's a free-text question rather than multiple choice.","")</f>
        <v>0</v>
      </c>
      <c r="F2151" s="4" t="s">
        <v>1809</v>
      </c>
    </row>
    <row r="2152" spans="1:6" ht="75" customHeight="1">
      <c r="A2152" t="s">
        <v>218</v>
      </c>
      <c r="B2152" t="s">
        <v>210</v>
      </c>
      <c r="C2152" t="s">
        <v>1807</v>
      </c>
      <c r="D2152" t="s">
        <v>1808</v>
      </c>
      <c r="E2152" s="4">
        <f>IF(AND('Multiple Choice Questions'!$A$46&lt;&gt;"",IFERROR(INDEX(_helpers!$2:$2,1,CHOOSE(LEN(TRIM('Multiple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Questions'!$A$46),1))-64))),0)&gt;0,IFERROR(INDEX(_helpers!$1:$1,1,CHOOSE(LEN(TRIM('Multiple Choice Questions'!$A$46)),CODE(TRIM('Multiple Choice Questions'!$A$46))-64,(CODE(LEFT(TRIM('Multiple Choice Questions'!$A$46),1))-64)*26+(CODE(RIGHT(TRIM('Multiple Choice Questions'!$A$46),1))-64),(CODE(LEFT(TRIM('Multiple Choice Questions'!$A$46),1))-64)*676+(CODE(MID(TRIM('Multiple Choice Questions'!$A$46),2,1))-64)*26+(CODE(RIGHT(TRIM('Multiple Choice Questions'!$A$46),1))-64))),0)&gt;0.2),"Column '"&amp;'Multiple Choice Questions'!$A$46&amp;"' has lots of different answers (&gt;20% are unique). That usually means it's a free-text question rather than multiple choice.","")</f>
        <v>0</v>
      </c>
      <c r="F2152" s="4" t="s">
        <v>1809</v>
      </c>
    </row>
    <row r="2153" spans="1:6" ht="75" customHeight="1">
      <c r="A2153" t="s">
        <v>218</v>
      </c>
      <c r="B2153" t="s">
        <v>211</v>
      </c>
      <c r="C2153" t="s">
        <v>1807</v>
      </c>
      <c r="D2153" t="s">
        <v>1808</v>
      </c>
      <c r="E2153" s="4">
        <f>IF(AND('Multiple Choice Questions'!$A$47&lt;&gt;"",IFERROR(INDEX(_helpers!$2:$2,1,CHOOSE(LEN(TRIM('Multiple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Questions'!$A$47),1))-64))),0)&gt;0,IFERROR(INDEX(_helpers!$1:$1,1,CHOOSE(LEN(TRIM('Multiple Choice Questions'!$A$47)),CODE(TRIM('Multiple Choice Questions'!$A$47))-64,(CODE(LEFT(TRIM('Multiple Choice Questions'!$A$47),1))-64)*26+(CODE(RIGHT(TRIM('Multiple Choice Questions'!$A$47),1))-64),(CODE(LEFT(TRIM('Multiple Choice Questions'!$A$47),1))-64)*676+(CODE(MID(TRIM('Multiple Choice Questions'!$A$47),2,1))-64)*26+(CODE(RIGHT(TRIM('Multiple Choice Questions'!$A$47),1))-64))),0)&gt;0.2),"Column '"&amp;'Multiple Choice Questions'!$A$47&amp;"' has lots of different answers (&gt;20% are unique). That usually means it's a free-text question rather than multiple choice.","")</f>
        <v>0</v>
      </c>
      <c r="F2153" s="4" t="s">
        <v>1809</v>
      </c>
    </row>
    <row r="2154" spans="1:6" ht="75" customHeight="1">
      <c r="A2154" t="s">
        <v>218</v>
      </c>
      <c r="B2154" t="s">
        <v>212</v>
      </c>
      <c r="C2154" t="s">
        <v>1807</v>
      </c>
      <c r="D2154" t="s">
        <v>1808</v>
      </c>
      <c r="E2154" s="4">
        <f>IF(AND('Multiple Choice Questions'!$A$48&lt;&gt;"",IFERROR(INDEX(_helpers!$2:$2,1,CHOOSE(LEN(TRIM('Multiple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Questions'!$A$48),1))-64))),0)&gt;0,IFERROR(INDEX(_helpers!$1:$1,1,CHOOSE(LEN(TRIM('Multiple Choice Questions'!$A$48)),CODE(TRIM('Multiple Choice Questions'!$A$48))-64,(CODE(LEFT(TRIM('Multiple Choice Questions'!$A$48),1))-64)*26+(CODE(RIGHT(TRIM('Multiple Choice Questions'!$A$48),1))-64),(CODE(LEFT(TRIM('Multiple Choice Questions'!$A$48),1))-64)*676+(CODE(MID(TRIM('Multiple Choice Questions'!$A$48),2,1))-64)*26+(CODE(RIGHT(TRIM('Multiple Choice Questions'!$A$48),1))-64))),0)&gt;0.2),"Column '"&amp;'Multiple Choice Questions'!$A$48&amp;"' has lots of different answers (&gt;20% are unique). That usually means it's a free-text question rather than multiple choice.","")</f>
        <v>0</v>
      </c>
      <c r="F2154" s="4" t="s">
        <v>1809</v>
      </c>
    </row>
    <row r="2155" spans="1:6" ht="75" customHeight="1">
      <c r="A2155" t="s">
        <v>218</v>
      </c>
      <c r="B2155" t="s">
        <v>213</v>
      </c>
      <c r="C2155" t="s">
        <v>1807</v>
      </c>
      <c r="D2155" t="s">
        <v>1808</v>
      </c>
      <c r="E2155" s="4">
        <f>IF(AND('Multiple Choice Questions'!$A$49&lt;&gt;"",IFERROR(INDEX(_helpers!$2:$2,1,CHOOSE(LEN(TRIM('Multiple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Questions'!$A$49),1))-64))),0)&gt;0,IFERROR(INDEX(_helpers!$1:$1,1,CHOOSE(LEN(TRIM('Multiple Choice Questions'!$A$49)),CODE(TRIM('Multiple Choice Questions'!$A$49))-64,(CODE(LEFT(TRIM('Multiple Choice Questions'!$A$49),1))-64)*26+(CODE(RIGHT(TRIM('Multiple Choice Questions'!$A$49),1))-64),(CODE(LEFT(TRIM('Multiple Choice Questions'!$A$49),1))-64)*676+(CODE(MID(TRIM('Multiple Choice Questions'!$A$49),2,1))-64)*26+(CODE(RIGHT(TRIM('Multiple Choice Questions'!$A$49),1))-64))),0)&gt;0.2),"Column '"&amp;'Multiple Choice Questions'!$A$49&amp;"' has lots of different answers (&gt;20% are unique). That usually means it's a free-text question rather than multiple choice.","")</f>
        <v>0</v>
      </c>
      <c r="F2155" s="4" t="s">
        <v>1809</v>
      </c>
    </row>
    <row r="2156" spans="1:6" ht="75" customHeight="1">
      <c r="A2156" t="s">
        <v>218</v>
      </c>
      <c r="B2156" t="s">
        <v>214</v>
      </c>
      <c r="C2156" t="s">
        <v>1807</v>
      </c>
      <c r="D2156" t="s">
        <v>1808</v>
      </c>
      <c r="E2156" s="4">
        <f>IF(AND('Multiple Choice Questions'!$A$50&lt;&gt;"",IFERROR(INDEX(_helpers!$2:$2,1,CHOOSE(LEN(TRIM('Multiple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Questions'!$A$50),1))-64))),0)&gt;0,IFERROR(INDEX(_helpers!$1:$1,1,CHOOSE(LEN(TRIM('Multiple Choice Questions'!$A$50)),CODE(TRIM('Multiple Choice Questions'!$A$50))-64,(CODE(LEFT(TRIM('Multiple Choice Questions'!$A$50),1))-64)*26+(CODE(RIGHT(TRIM('Multiple Choice Questions'!$A$50),1))-64),(CODE(LEFT(TRIM('Multiple Choice Questions'!$A$50),1))-64)*676+(CODE(MID(TRIM('Multiple Choice Questions'!$A$50),2,1))-64)*26+(CODE(RIGHT(TRIM('Multiple Choice Questions'!$A$50),1))-64))),0)&gt;0.2),"Column '"&amp;'Multiple Choice Questions'!$A$50&amp;"' has lots of different answers (&gt;20% are unique). That usually means it's a free-text question rather than multiple choice.","")</f>
        <v>0</v>
      </c>
      <c r="F2156" s="4" t="s">
        <v>1809</v>
      </c>
    </row>
    <row r="2157" spans="1:6" ht="75" customHeight="1">
      <c r="A2157" t="s">
        <v>218</v>
      </c>
      <c r="B2157" t="s">
        <v>215</v>
      </c>
      <c r="C2157" t="s">
        <v>1807</v>
      </c>
      <c r="D2157" t="s">
        <v>1808</v>
      </c>
      <c r="E2157" s="4">
        <f>IF(AND('Multiple Choice Questions'!$A$51&lt;&gt;"",IFERROR(INDEX(_helpers!$2:$2,1,CHOOSE(LEN(TRIM('Multiple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Questions'!$A$51),1))-64))),0)&gt;0,IFERROR(INDEX(_helpers!$1:$1,1,CHOOSE(LEN(TRIM('Multiple Choice Questions'!$A$51)),CODE(TRIM('Multiple Choice Questions'!$A$51))-64,(CODE(LEFT(TRIM('Multiple Choice Questions'!$A$51),1))-64)*26+(CODE(RIGHT(TRIM('Multiple Choice Questions'!$A$51),1))-64),(CODE(LEFT(TRIM('Multiple Choice Questions'!$A$51),1))-64)*676+(CODE(MID(TRIM('Multiple Choice Questions'!$A$51),2,1))-64)*26+(CODE(RIGHT(TRIM('Multiple Choice Questions'!$A$51),1))-64))),0)&gt;0.2),"Column '"&amp;'Multiple Choice Questions'!$A$51&amp;"' has lots of different answers (&gt;20% are unique). That usually means it's a free-text question rather than multiple choice.","")</f>
        <v>0</v>
      </c>
      <c r="F2157" s="4" t="s">
        <v>1809</v>
      </c>
    </row>
    <row r="2158" spans="1:6" ht="75" customHeight="1">
      <c r="A2158" t="s">
        <v>271</v>
      </c>
      <c r="B2158" t="s">
        <v>272</v>
      </c>
      <c r="C2158" t="s">
        <v>1807</v>
      </c>
      <c r="D2158" t="s">
        <v>1808</v>
      </c>
      <c r="E2158" s="4">
        <f>IF(AND('Hybrid Questions'!$D$2&lt;&gt;"",IFERROR(INDEX(_helpers!$2:$2,1,CHOOSE(LEN(TRIM('Hybrid Questions'!$D$2)),CODE(TRIM('Hybrid Questions'!$D$2))-64,(CODE(LEFT(TRIM('Hybrid Questions'!$D$2),1))-64)*26+(CODE(RIGHT(TRIM('Hybrid Questions'!$D$2),1))-64),(CODE(LEFT(TRIM('Hybrid Questions'!$D$2),1))-64)*676+(CODE(MID(TRIM('Hybrid Questions'!$D$2),2,1))-64)*26+(CODE(RIGHT(TRIM('Hybrid Questions'!$D$2),1))-64))),0)&gt;0,IFERROR(INDEX(_helpers!$1:$1,1,CHOOSE(LEN(TRIM('Hybrid Questions'!$D$2)),CODE(TRIM('Hybrid Questions'!$D$2))-64,(CODE(LEFT(TRIM('Hybrid Questions'!$D$2),1))-64)*26+(CODE(RIGHT(TRIM('Hybrid Questions'!$D$2),1))-64),(CODE(LEFT(TRIM('Hybrid Questions'!$D$2),1))-64)*676+(CODE(MID(TRIM('Hybrid Questions'!$D$2),2,1))-64)*26+(CODE(RIGHT(TRIM('Hybrid Questions'!$D$2),1))-64))),0)&gt;0.2),"Column '"&amp;'Hybrid Questions'!$D$2&amp;"' has lots of different answers (&gt;20% are unique), which looks more like free text than multiple choice.","")</f>
        <v>0</v>
      </c>
      <c r="F2158" s="4" t="s">
        <v>1810</v>
      </c>
    </row>
    <row r="2159" spans="1:6" ht="75" customHeight="1">
      <c r="A2159" t="s">
        <v>271</v>
      </c>
      <c r="B2159" t="s">
        <v>275</v>
      </c>
      <c r="C2159" t="s">
        <v>1807</v>
      </c>
      <c r="D2159" t="s">
        <v>1808</v>
      </c>
      <c r="E2159" s="4">
        <f>IF(AND('Hybrid Questions'!$D$3&lt;&gt;"",IFERROR(INDEX(_helpers!$2:$2,1,CHOOSE(LEN(TRIM('Hybrid Questions'!$D$3)),CODE(TRIM('Hybrid Questions'!$D$3))-64,(CODE(LEFT(TRIM('Hybrid Questions'!$D$3),1))-64)*26+(CODE(RIGHT(TRIM('Hybrid Questions'!$D$3),1))-64),(CODE(LEFT(TRIM('Hybrid Questions'!$D$3),1))-64)*676+(CODE(MID(TRIM('Hybrid Questions'!$D$3),2,1))-64)*26+(CODE(RIGHT(TRIM('Hybrid Questions'!$D$3),1))-64))),0)&gt;0,IFERROR(INDEX(_helpers!$1:$1,1,CHOOSE(LEN(TRIM('Hybrid Questions'!$D$3)),CODE(TRIM('Hybrid Questions'!$D$3))-64,(CODE(LEFT(TRIM('Hybrid Questions'!$D$3),1))-64)*26+(CODE(RIGHT(TRIM('Hybrid Questions'!$D$3),1))-64),(CODE(LEFT(TRIM('Hybrid Questions'!$D$3),1))-64)*676+(CODE(MID(TRIM('Hybrid Questions'!$D$3),2,1))-64)*26+(CODE(RIGHT(TRIM('Hybrid Questions'!$D$3),1))-64))),0)&gt;0.2),"Column '"&amp;'Hybrid Questions'!$D$3&amp;"' has lots of different answers (&gt;20% are unique), which looks more like free text than multiple choice.","")</f>
        <v>0</v>
      </c>
      <c r="F2159" s="4" t="s">
        <v>1810</v>
      </c>
    </row>
    <row r="2160" spans="1:6" ht="75" customHeight="1">
      <c r="A2160" t="s">
        <v>271</v>
      </c>
      <c r="B2160" t="s">
        <v>276</v>
      </c>
      <c r="C2160" t="s">
        <v>1807</v>
      </c>
      <c r="D2160" t="s">
        <v>1808</v>
      </c>
      <c r="E2160" s="4">
        <f>IF(AND('Hybrid Questions'!$D$4&lt;&gt;"",IFERROR(INDEX(_helpers!$2:$2,1,CHOOSE(LEN(TRIM('Hybrid Questions'!$D$4)),CODE(TRIM('Hybrid Questions'!$D$4))-64,(CODE(LEFT(TRIM('Hybrid Questions'!$D$4),1))-64)*26+(CODE(RIGHT(TRIM('Hybrid Questions'!$D$4),1))-64),(CODE(LEFT(TRIM('Hybrid Questions'!$D$4),1))-64)*676+(CODE(MID(TRIM('Hybrid Questions'!$D$4),2,1))-64)*26+(CODE(RIGHT(TRIM('Hybrid Questions'!$D$4),1))-64))),0)&gt;0,IFERROR(INDEX(_helpers!$1:$1,1,CHOOSE(LEN(TRIM('Hybrid Questions'!$D$4)),CODE(TRIM('Hybrid Questions'!$D$4))-64,(CODE(LEFT(TRIM('Hybrid Questions'!$D$4),1))-64)*26+(CODE(RIGHT(TRIM('Hybrid Questions'!$D$4),1))-64),(CODE(LEFT(TRIM('Hybrid Questions'!$D$4),1))-64)*676+(CODE(MID(TRIM('Hybrid Questions'!$D$4),2,1))-64)*26+(CODE(RIGHT(TRIM('Hybrid Questions'!$D$4),1))-64))),0)&gt;0.2),"Column '"&amp;'Hybrid Questions'!$D$4&amp;"' has lots of different answers (&gt;20% are unique), which looks more like free text than multiple choice.","")</f>
        <v>0</v>
      </c>
      <c r="F2160" s="4" t="s">
        <v>1810</v>
      </c>
    </row>
    <row r="2161" spans="1:6" ht="75" customHeight="1">
      <c r="A2161" t="s">
        <v>271</v>
      </c>
      <c r="B2161" t="s">
        <v>277</v>
      </c>
      <c r="C2161" t="s">
        <v>1807</v>
      </c>
      <c r="D2161" t="s">
        <v>1808</v>
      </c>
      <c r="E2161" s="4">
        <f>IF(AND('Hybrid Questions'!$D$5&lt;&gt;"",IFERROR(INDEX(_helpers!$2:$2,1,CHOOSE(LEN(TRIM('Hybrid Questions'!$D$5)),CODE(TRIM('Hybrid Questions'!$D$5))-64,(CODE(LEFT(TRIM('Hybrid Questions'!$D$5),1))-64)*26+(CODE(RIGHT(TRIM('Hybrid Questions'!$D$5),1))-64),(CODE(LEFT(TRIM('Hybrid Questions'!$D$5),1))-64)*676+(CODE(MID(TRIM('Hybrid Questions'!$D$5),2,1))-64)*26+(CODE(RIGHT(TRIM('Hybrid Questions'!$D$5),1))-64))),0)&gt;0,IFERROR(INDEX(_helpers!$1:$1,1,CHOOSE(LEN(TRIM('Hybrid Questions'!$D$5)),CODE(TRIM('Hybrid Questions'!$D$5))-64,(CODE(LEFT(TRIM('Hybrid Questions'!$D$5),1))-64)*26+(CODE(RIGHT(TRIM('Hybrid Questions'!$D$5),1))-64),(CODE(LEFT(TRIM('Hybrid Questions'!$D$5),1))-64)*676+(CODE(MID(TRIM('Hybrid Questions'!$D$5),2,1))-64)*26+(CODE(RIGHT(TRIM('Hybrid Questions'!$D$5),1))-64))),0)&gt;0.2),"Column '"&amp;'Hybrid Questions'!$D$5&amp;"' has lots of different answers (&gt;20% are unique), which looks more like free text than multiple choice.","")</f>
        <v>0</v>
      </c>
      <c r="F2161" s="4" t="s">
        <v>1810</v>
      </c>
    </row>
    <row r="2162" spans="1:6" ht="75" customHeight="1">
      <c r="A2162" t="s">
        <v>271</v>
      </c>
      <c r="B2162" t="s">
        <v>278</v>
      </c>
      <c r="C2162" t="s">
        <v>1807</v>
      </c>
      <c r="D2162" t="s">
        <v>1808</v>
      </c>
      <c r="E2162" s="4">
        <f>IF(AND('Hybrid Questions'!$D$6&lt;&gt;"",IFERROR(INDEX(_helpers!$2:$2,1,CHOOSE(LEN(TRIM('Hybrid Questions'!$D$6)),CODE(TRIM('Hybrid Questions'!$D$6))-64,(CODE(LEFT(TRIM('Hybrid Questions'!$D$6),1))-64)*26+(CODE(RIGHT(TRIM('Hybrid Questions'!$D$6),1))-64),(CODE(LEFT(TRIM('Hybrid Questions'!$D$6),1))-64)*676+(CODE(MID(TRIM('Hybrid Questions'!$D$6),2,1))-64)*26+(CODE(RIGHT(TRIM('Hybrid Questions'!$D$6),1))-64))),0)&gt;0,IFERROR(INDEX(_helpers!$1:$1,1,CHOOSE(LEN(TRIM('Hybrid Questions'!$D$6)),CODE(TRIM('Hybrid Questions'!$D$6))-64,(CODE(LEFT(TRIM('Hybrid Questions'!$D$6),1))-64)*26+(CODE(RIGHT(TRIM('Hybrid Questions'!$D$6),1))-64),(CODE(LEFT(TRIM('Hybrid Questions'!$D$6),1))-64)*676+(CODE(MID(TRIM('Hybrid Questions'!$D$6),2,1))-64)*26+(CODE(RIGHT(TRIM('Hybrid Questions'!$D$6),1))-64))),0)&gt;0.2),"Column '"&amp;'Hybrid Questions'!$D$6&amp;"' has lots of different answers (&gt;20% are unique), which looks more like free text than multiple choice.","")</f>
        <v>0</v>
      </c>
      <c r="F2162" s="4" t="s">
        <v>1810</v>
      </c>
    </row>
    <row r="2163" spans="1:6" ht="75" customHeight="1">
      <c r="A2163" t="s">
        <v>271</v>
      </c>
      <c r="B2163" t="s">
        <v>279</v>
      </c>
      <c r="C2163" t="s">
        <v>1807</v>
      </c>
      <c r="D2163" t="s">
        <v>1808</v>
      </c>
      <c r="E2163" s="4">
        <f>IF(AND('Hybrid Questions'!$D$7&lt;&gt;"",IFERROR(INDEX(_helpers!$2:$2,1,CHOOSE(LEN(TRIM('Hybrid Questions'!$D$7)),CODE(TRIM('Hybrid Questions'!$D$7))-64,(CODE(LEFT(TRIM('Hybrid Questions'!$D$7),1))-64)*26+(CODE(RIGHT(TRIM('Hybrid Questions'!$D$7),1))-64),(CODE(LEFT(TRIM('Hybrid Questions'!$D$7),1))-64)*676+(CODE(MID(TRIM('Hybrid Questions'!$D$7),2,1))-64)*26+(CODE(RIGHT(TRIM('Hybrid Questions'!$D$7),1))-64))),0)&gt;0,IFERROR(INDEX(_helpers!$1:$1,1,CHOOSE(LEN(TRIM('Hybrid Questions'!$D$7)),CODE(TRIM('Hybrid Questions'!$D$7))-64,(CODE(LEFT(TRIM('Hybrid Questions'!$D$7),1))-64)*26+(CODE(RIGHT(TRIM('Hybrid Questions'!$D$7),1))-64),(CODE(LEFT(TRIM('Hybrid Questions'!$D$7),1))-64)*676+(CODE(MID(TRIM('Hybrid Questions'!$D$7),2,1))-64)*26+(CODE(RIGHT(TRIM('Hybrid Questions'!$D$7),1))-64))),0)&gt;0.2),"Column '"&amp;'Hybrid Questions'!$D$7&amp;"' has lots of different answers (&gt;20% are unique), which looks more like free text than multiple choice.","")</f>
        <v>0</v>
      </c>
      <c r="F2163" s="4" t="s">
        <v>1810</v>
      </c>
    </row>
    <row r="2164" spans="1:6" ht="75" customHeight="1">
      <c r="A2164" t="s">
        <v>271</v>
      </c>
      <c r="B2164" t="s">
        <v>280</v>
      </c>
      <c r="C2164" t="s">
        <v>1807</v>
      </c>
      <c r="D2164" t="s">
        <v>1808</v>
      </c>
      <c r="E2164" s="4">
        <f>IF(AND('Hybrid Questions'!$D$8&lt;&gt;"",IFERROR(INDEX(_helpers!$2:$2,1,CHOOSE(LEN(TRIM('Hybrid Questions'!$D$8)),CODE(TRIM('Hybrid Questions'!$D$8))-64,(CODE(LEFT(TRIM('Hybrid Questions'!$D$8),1))-64)*26+(CODE(RIGHT(TRIM('Hybrid Questions'!$D$8),1))-64),(CODE(LEFT(TRIM('Hybrid Questions'!$D$8),1))-64)*676+(CODE(MID(TRIM('Hybrid Questions'!$D$8),2,1))-64)*26+(CODE(RIGHT(TRIM('Hybrid Questions'!$D$8),1))-64))),0)&gt;0,IFERROR(INDEX(_helpers!$1:$1,1,CHOOSE(LEN(TRIM('Hybrid Questions'!$D$8)),CODE(TRIM('Hybrid Questions'!$D$8))-64,(CODE(LEFT(TRIM('Hybrid Questions'!$D$8),1))-64)*26+(CODE(RIGHT(TRIM('Hybrid Questions'!$D$8),1))-64),(CODE(LEFT(TRIM('Hybrid Questions'!$D$8),1))-64)*676+(CODE(MID(TRIM('Hybrid Questions'!$D$8),2,1))-64)*26+(CODE(RIGHT(TRIM('Hybrid Questions'!$D$8),1))-64))),0)&gt;0.2),"Column '"&amp;'Hybrid Questions'!$D$8&amp;"' has lots of different answers (&gt;20% are unique), which looks more like free text than multiple choice.","")</f>
        <v>0</v>
      </c>
      <c r="F2164" s="4" t="s">
        <v>1810</v>
      </c>
    </row>
    <row r="2165" spans="1:6" ht="75" customHeight="1">
      <c r="A2165" t="s">
        <v>271</v>
      </c>
      <c r="B2165" t="s">
        <v>281</v>
      </c>
      <c r="C2165" t="s">
        <v>1807</v>
      </c>
      <c r="D2165" t="s">
        <v>1808</v>
      </c>
      <c r="E2165" s="4">
        <f>IF(AND('Hybrid Questions'!$D$9&lt;&gt;"",IFERROR(INDEX(_helpers!$2:$2,1,CHOOSE(LEN(TRIM('Hybrid Questions'!$D$9)),CODE(TRIM('Hybrid Questions'!$D$9))-64,(CODE(LEFT(TRIM('Hybrid Questions'!$D$9),1))-64)*26+(CODE(RIGHT(TRIM('Hybrid Questions'!$D$9),1))-64),(CODE(LEFT(TRIM('Hybrid Questions'!$D$9),1))-64)*676+(CODE(MID(TRIM('Hybrid Questions'!$D$9),2,1))-64)*26+(CODE(RIGHT(TRIM('Hybrid Questions'!$D$9),1))-64))),0)&gt;0,IFERROR(INDEX(_helpers!$1:$1,1,CHOOSE(LEN(TRIM('Hybrid Questions'!$D$9)),CODE(TRIM('Hybrid Questions'!$D$9))-64,(CODE(LEFT(TRIM('Hybrid Questions'!$D$9),1))-64)*26+(CODE(RIGHT(TRIM('Hybrid Questions'!$D$9),1))-64),(CODE(LEFT(TRIM('Hybrid Questions'!$D$9),1))-64)*676+(CODE(MID(TRIM('Hybrid Questions'!$D$9),2,1))-64)*26+(CODE(RIGHT(TRIM('Hybrid Questions'!$D$9),1))-64))),0)&gt;0.2),"Column '"&amp;'Hybrid Questions'!$D$9&amp;"' has lots of different answers (&gt;20% are unique), which looks more like free text than multiple choice.","")</f>
        <v>0</v>
      </c>
      <c r="F2165" s="4" t="s">
        <v>1810</v>
      </c>
    </row>
    <row r="2166" spans="1:6" ht="75" customHeight="1">
      <c r="A2166" t="s">
        <v>271</v>
      </c>
      <c r="B2166" t="s">
        <v>282</v>
      </c>
      <c r="C2166" t="s">
        <v>1807</v>
      </c>
      <c r="D2166" t="s">
        <v>1808</v>
      </c>
      <c r="E2166" s="4">
        <f>IF(AND('Hybrid Questions'!$D$10&lt;&gt;"",IFERROR(INDEX(_helpers!$2:$2,1,CHOOSE(LEN(TRIM('Hybrid Questions'!$D$10)),CODE(TRIM('Hybrid Questions'!$D$10))-64,(CODE(LEFT(TRIM('Hybrid Questions'!$D$10),1))-64)*26+(CODE(RIGHT(TRIM('Hybrid Questions'!$D$10),1))-64),(CODE(LEFT(TRIM('Hybrid Questions'!$D$10),1))-64)*676+(CODE(MID(TRIM('Hybrid Questions'!$D$10),2,1))-64)*26+(CODE(RIGHT(TRIM('Hybrid Questions'!$D$10),1))-64))),0)&gt;0,IFERROR(INDEX(_helpers!$1:$1,1,CHOOSE(LEN(TRIM('Hybrid Questions'!$D$10)),CODE(TRIM('Hybrid Questions'!$D$10))-64,(CODE(LEFT(TRIM('Hybrid Questions'!$D$10),1))-64)*26+(CODE(RIGHT(TRIM('Hybrid Questions'!$D$10),1))-64),(CODE(LEFT(TRIM('Hybrid Questions'!$D$10),1))-64)*676+(CODE(MID(TRIM('Hybrid Questions'!$D$10),2,1))-64)*26+(CODE(RIGHT(TRIM('Hybrid Questions'!$D$10),1))-64))),0)&gt;0.2),"Column '"&amp;'Hybrid Questions'!$D$10&amp;"' has lots of different answers (&gt;20% are unique), which looks more like free text than multiple choice.","")</f>
        <v>0</v>
      </c>
      <c r="F2166" s="4" t="s">
        <v>1810</v>
      </c>
    </row>
    <row r="2167" spans="1:6" ht="75" customHeight="1">
      <c r="A2167" t="s">
        <v>271</v>
      </c>
      <c r="B2167" t="s">
        <v>283</v>
      </c>
      <c r="C2167" t="s">
        <v>1807</v>
      </c>
      <c r="D2167" t="s">
        <v>1808</v>
      </c>
      <c r="E2167" s="4">
        <f>IF(AND('Hybrid Questions'!$D$11&lt;&gt;"",IFERROR(INDEX(_helpers!$2:$2,1,CHOOSE(LEN(TRIM('Hybrid Questions'!$D$11)),CODE(TRIM('Hybrid Questions'!$D$11))-64,(CODE(LEFT(TRIM('Hybrid Questions'!$D$11),1))-64)*26+(CODE(RIGHT(TRIM('Hybrid Questions'!$D$11),1))-64),(CODE(LEFT(TRIM('Hybrid Questions'!$D$11),1))-64)*676+(CODE(MID(TRIM('Hybrid Questions'!$D$11),2,1))-64)*26+(CODE(RIGHT(TRIM('Hybrid Questions'!$D$11),1))-64))),0)&gt;0,IFERROR(INDEX(_helpers!$1:$1,1,CHOOSE(LEN(TRIM('Hybrid Questions'!$D$11)),CODE(TRIM('Hybrid Questions'!$D$11))-64,(CODE(LEFT(TRIM('Hybrid Questions'!$D$11),1))-64)*26+(CODE(RIGHT(TRIM('Hybrid Questions'!$D$11),1))-64),(CODE(LEFT(TRIM('Hybrid Questions'!$D$11),1))-64)*676+(CODE(MID(TRIM('Hybrid Questions'!$D$11),2,1))-64)*26+(CODE(RIGHT(TRIM('Hybrid Questions'!$D$11),1))-64))),0)&gt;0.2),"Column '"&amp;'Hybrid Questions'!$D$11&amp;"' has lots of different answers (&gt;20% are unique), which looks more like free text than multiple choice.","")</f>
        <v>0</v>
      </c>
      <c r="F2167" s="4" t="s">
        <v>1810</v>
      </c>
    </row>
    <row r="2168" spans="1:6" ht="75" customHeight="1">
      <c r="A2168" t="s">
        <v>271</v>
      </c>
      <c r="B2168" t="s">
        <v>284</v>
      </c>
      <c r="C2168" t="s">
        <v>1807</v>
      </c>
      <c r="D2168" t="s">
        <v>1808</v>
      </c>
      <c r="E2168" s="4">
        <f>IF(AND('Hybrid Questions'!$D$12&lt;&gt;"",IFERROR(INDEX(_helpers!$2:$2,1,CHOOSE(LEN(TRIM('Hybrid Questions'!$D$12)),CODE(TRIM('Hybrid Questions'!$D$12))-64,(CODE(LEFT(TRIM('Hybrid Questions'!$D$12),1))-64)*26+(CODE(RIGHT(TRIM('Hybrid Questions'!$D$12),1))-64),(CODE(LEFT(TRIM('Hybrid Questions'!$D$12),1))-64)*676+(CODE(MID(TRIM('Hybrid Questions'!$D$12),2,1))-64)*26+(CODE(RIGHT(TRIM('Hybrid Questions'!$D$12),1))-64))),0)&gt;0,IFERROR(INDEX(_helpers!$1:$1,1,CHOOSE(LEN(TRIM('Hybrid Questions'!$D$12)),CODE(TRIM('Hybrid Questions'!$D$12))-64,(CODE(LEFT(TRIM('Hybrid Questions'!$D$12),1))-64)*26+(CODE(RIGHT(TRIM('Hybrid Questions'!$D$12),1))-64),(CODE(LEFT(TRIM('Hybrid Questions'!$D$12),1))-64)*676+(CODE(MID(TRIM('Hybrid Questions'!$D$12),2,1))-64)*26+(CODE(RIGHT(TRIM('Hybrid Questions'!$D$12),1))-64))),0)&gt;0.2),"Column '"&amp;'Hybrid Questions'!$D$12&amp;"' has lots of different answers (&gt;20% are unique), which looks more like free text than multiple choice.","")</f>
        <v>0</v>
      </c>
      <c r="F2168" s="4" t="s">
        <v>1810</v>
      </c>
    </row>
    <row r="2169" spans="1:6" ht="75" customHeight="1">
      <c r="A2169" t="s">
        <v>271</v>
      </c>
      <c r="B2169" t="s">
        <v>285</v>
      </c>
      <c r="C2169" t="s">
        <v>1807</v>
      </c>
      <c r="D2169" t="s">
        <v>1808</v>
      </c>
      <c r="E2169" s="4">
        <f>IF(AND('Hybrid Questions'!$D$13&lt;&gt;"",IFERROR(INDEX(_helpers!$2:$2,1,CHOOSE(LEN(TRIM('Hybrid Questions'!$D$13)),CODE(TRIM('Hybrid Questions'!$D$13))-64,(CODE(LEFT(TRIM('Hybrid Questions'!$D$13),1))-64)*26+(CODE(RIGHT(TRIM('Hybrid Questions'!$D$13),1))-64),(CODE(LEFT(TRIM('Hybrid Questions'!$D$13),1))-64)*676+(CODE(MID(TRIM('Hybrid Questions'!$D$13),2,1))-64)*26+(CODE(RIGHT(TRIM('Hybrid Questions'!$D$13),1))-64))),0)&gt;0,IFERROR(INDEX(_helpers!$1:$1,1,CHOOSE(LEN(TRIM('Hybrid Questions'!$D$13)),CODE(TRIM('Hybrid Questions'!$D$13))-64,(CODE(LEFT(TRIM('Hybrid Questions'!$D$13),1))-64)*26+(CODE(RIGHT(TRIM('Hybrid Questions'!$D$13),1))-64),(CODE(LEFT(TRIM('Hybrid Questions'!$D$13),1))-64)*676+(CODE(MID(TRIM('Hybrid Questions'!$D$13),2,1))-64)*26+(CODE(RIGHT(TRIM('Hybrid Questions'!$D$13),1))-64))),0)&gt;0.2),"Column '"&amp;'Hybrid Questions'!$D$13&amp;"' has lots of different answers (&gt;20% are unique), which looks more like free text than multiple choice.","")</f>
        <v>0</v>
      </c>
      <c r="F2169" s="4" t="s">
        <v>1810</v>
      </c>
    </row>
    <row r="2170" spans="1:6" ht="75" customHeight="1">
      <c r="A2170" t="s">
        <v>271</v>
      </c>
      <c r="B2170" t="s">
        <v>286</v>
      </c>
      <c r="C2170" t="s">
        <v>1807</v>
      </c>
      <c r="D2170" t="s">
        <v>1808</v>
      </c>
      <c r="E2170" s="4">
        <f>IF(AND('Hybrid Questions'!$D$14&lt;&gt;"",IFERROR(INDEX(_helpers!$2:$2,1,CHOOSE(LEN(TRIM('Hybrid Questions'!$D$14)),CODE(TRIM('Hybrid Questions'!$D$14))-64,(CODE(LEFT(TRIM('Hybrid Questions'!$D$14),1))-64)*26+(CODE(RIGHT(TRIM('Hybrid Questions'!$D$14),1))-64),(CODE(LEFT(TRIM('Hybrid Questions'!$D$14),1))-64)*676+(CODE(MID(TRIM('Hybrid Questions'!$D$14),2,1))-64)*26+(CODE(RIGHT(TRIM('Hybrid Questions'!$D$14),1))-64))),0)&gt;0,IFERROR(INDEX(_helpers!$1:$1,1,CHOOSE(LEN(TRIM('Hybrid Questions'!$D$14)),CODE(TRIM('Hybrid Questions'!$D$14))-64,(CODE(LEFT(TRIM('Hybrid Questions'!$D$14),1))-64)*26+(CODE(RIGHT(TRIM('Hybrid Questions'!$D$14),1))-64),(CODE(LEFT(TRIM('Hybrid Questions'!$D$14),1))-64)*676+(CODE(MID(TRIM('Hybrid Questions'!$D$14),2,1))-64)*26+(CODE(RIGHT(TRIM('Hybrid Questions'!$D$14),1))-64))),0)&gt;0.2),"Column '"&amp;'Hybrid Questions'!$D$14&amp;"' has lots of different answers (&gt;20% are unique), which looks more like free text than multiple choice.","")</f>
        <v>0</v>
      </c>
      <c r="F2170" s="4" t="s">
        <v>1810</v>
      </c>
    </row>
    <row r="2171" spans="1:6" ht="75" customHeight="1">
      <c r="A2171" t="s">
        <v>271</v>
      </c>
      <c r="B2171" t="s">
        <v>287</v>
      </c>
      <c r="C2171" t="s">
        <v>1807</v>
      </c>
      <c r="D2171" t="s">
        <v>1808</v>
      </c>
      <c r="E2171" s="4">
        <f>IF(AND('Hybrid Questions'!$D$15&lt;&gt;"",IFERROR(INDEX(_helpers!$2:$2,1,CHOOSE(LEN(TRIM('Hybrid Questions'!$D$15)),CODE(TRIM('Hybrid Questions'!$D$15))-64,(CODE(LEFT(TRIM('Hybrid Questions'!$D$15),1))-64)*26+(CODE(RIGHT(TRIM('Hybrid Questions'!$D$15),1))-64),(CODE(LEFT(TRIM('Hybrid Questions'!$D$15),1))-64)*676+(CODE(MID(TRIM('Hybrid Questions'!$D$15),2,1))-64)*26+(CODE(RIGHT(TRIM('Hybrid Questions'!$D$15),1))-64))),0)&gt;0,IFERROR(INDEX(_helpers!$1:$1,1,CHOOSE(LEN(TRIM('Hybrid Questions'!$D$15)),CODE(TRIM('Hybrid Questions'!$D$15))-64,(CODE(LEFT(TRIM('Hybrid Questions'!$D$15),1))-64)*26+(CODE(RIGHT(TRIM('Hybrid Questions'!$D$15),1))-64),(CODE(LEFT(TRIM('Hybrid Questions'!$D$15),1))-64)*676+(CODE(MID(TRIM('Hybrid Questions'!$D$15),2,1))-64)*26+(CODE(RIGHT(TRIM('Hybrid Questions'!$D$15),1))-64))),0)&gt;0.2),"Column '"&amp;'Hybrid Questions'!$D$15&amp;"' has lots of different answers (&gt;20% are unique), which looks more like free text than multiple choice.","")</f>
        <v>0</v>
      </c>
      <c r="F2171" s="4" t="s">
        <v>1810</v>
      </c>
    </row>
    <row r="2172" spans="1:6" ht="75" customHeight="1">
      <c r="A2172" t="s">
        <v>271</v>
      </c>
      <c r="B2172" t="s">
        <v>288</v>
      </c>
      <c r="C2172" t="s">
        <v>1807</v>
      </c>
      <c r="D2172" t="s">
        <v>1808</v>
      </c>
      <c r="E2172" s="4">
        <f>IF(AND('Hybrid Questions'!$D$16&lt;&gt;"",IFERROR(INDEX(_helpers!$2:$2,1,CHOOSE(LEN(TRIM('Hybrid Questions'!$D$16)),CODE(TRIM('Hybrid Questions'!$D$16))-64,(CODE(LEFT(TRIM('Hybrid Questions'!$D$16),1))-64)*26+(CODE(RIGHT(TRIM('Hybrid Questions'!$D$16),1))-64),(CODE(LEFT(TRIM('Hybrid Questions'!$D$16),1))-64)*676+(CODE(MID(TRIM('Hybrid Questions'!$D$16),2,1))-64)*26+(CODE(RIGHT(TRIM('Hybrid Questions'!$D$16),1))-64))),0)&gt;0,IFERROR(INDEX(_helpers!$1:$1,1,CHOOSE(LEN(TRIM('Hybrid Questions'!$D$16)),CODE(TRIM('Hybrid Questions'!$D$16))-64,(CODE(LEFT(TRIM('Hybrid Questions'!$D$16),1))-64)*26+(CODE(RIGHT(TRIM('Hybrid Questions'!$D$16),1))-64),(CODE(LEFT(TRIM('Hybrid Questions'!$D$16),1))-64)*676+(CODE(MID(TRIM('Hybrid Questions'!$D$16),2,1))-64)*26+(CODE(RIGHT(TRIM('Hybrid Questions'!$D$16),1))-64))),0)&gt;0.2),"Column '"&amp;'Hybrid Questions'!$D$16&amp;"' has lots of different answers (&gt;20% are unique), which looks more like free text than multiple choice.","")</f>
        <v>0</v>
      </c>
      <c r="F2172" s="4" t="s">
        <v>1810</v>
      </c>
    </row>
    <row r="2173" spans="1:6" ht="75" customHeight="1">
      <c r="A2173" t="s">
        <v>271</v>
      </c>
      <c r="B2173" t="s">
        <v>289</v>
      </c>
      <c r="C2173" t="s">
        <v>1807</v>
      </c>
      <c r="D2173" t="s">
        <v>1808</v>
      </c>
      <c r="E2173" s="4">
        <f>IF(AND('Hybrid Questions'!$D$17&lt;&gt;"",IFERROR(INDEX(_helpers!$2:$2,1,CHOOSE(LEN(TRIM('Hybrid Questions'!$D$17)),CODE(TRIM('Hybrid Questions'!$D$17))-64,(CODE(LEFT(TRIM('Hybrid Questions'!$D$17),1))-64)*26+(CODE(RIGHT(TRIM('Hybrid Questions'!$D$17),1))-64),(CODE(LEFT(TRIM('Hybrid Questions'!$D$17),1))-64)*676+(CODE(MID(TRIM('Hybrid Questions'!$D$17),2,1))-64)*26+(CODE(RIGHT(TRIM('Hybrid Questions'!$D$17),1))-64))),0)&gt;0,IFERROR(INDEX(_helpers!$1:$1,1,CHOOSE(LEN(TRIM('Hybrid Questions'!$D$17)),CODE(TRIM('Hybrid Questions'!$D$17))-64,(CODE(LEFT(TRIM('Hybrid Questions'!$D$17),1))-64)*26+(CODE(RIGHT(TRIM('Hybrid Questions'!$D$17),1))-64),(CODE(LEFT(TRIM('Hybrid Questions'!$D$17),1))-64)*676+(CODE(MID(TRIM('Hybrid Questions'!$D$17),2,1))-64)*26+(CODE(RIGHT(TRIM('Hybrid Questions'!$D$17),1))-64))),0)&gt;0.2),"Column '"&amp;'Hybrid Questions'!$D$17&amp;"' has lots of different answers (&gt;20% are unique), which looks more like free text than multiple choice.","")</f>
        <v>0</v>
      </c>
      <c r="F2173" s="4" t="s">
        <v>1810</v>
      </c>
    </row>
    <row r="2174" spans="1:6" ht="75" customHeight="1">
      <c r="A2174" t="s">
        <v>271</v>
      </c>
      <c r="B2174" t="s">
        <v>290</v>
      </c>
      <c r="C2174" t="s">
        <v>1807</v>
      </c>
      <c r="D2174" t="s">
        <v>1808</v>
      </c>
      <c r="E2174" s="4">
        <f>IF(AND('Hybrid Questions'!$D$18&lt;&gt;"",IFERROR(INDEX(_helpers!$2:$2,1,CHOOSE(LEN(TRIM('Hybrid Questions'!$D$18)),CODE(TRIM('Hybrid Questions'!$D$18))-64,(CODE(LEFT(TRIM('Hybrid Questions'!$D$18),1))-64)*26+(CODE(RIGHT(TRIM('Hybrid Questions'!$D$18),1))-64),(CODE(LEFT(TRIM('Hybrid Questions'!$D$18),1))-64)*676+(CODE(MID(TRIM('Hybrid Questions'!$D$18),2,1))-64)*26+(CODE(RIGHT(TRIM('Hybrid Questions'!$D$18),1))-64))),0)&gt;0,IFERROR(INDEX(_helpers!$1:$1,1,CHOOSE(LEN(TRIM('Hybrid Questions'!$D$18)),CODE(TRIM('Hybrid Questions'!$D$18))-64,(CODE(LEFT(TRIM('Hybrid Questions'!$D$18),1))-64)*26+(CODE(RIGHT(TRIM('Hybrid Questions'!$D$18),1))-64),(CODE(LEFT(TRIM('Hybrid Questions'!$D$18),1))-64)*676+(CODE(MID(TRIM('Hybrid Questions'!$D$18),2,1))-64)*26+(CODE(RIGHT(TRIM('Hybrid Questions'!$D$18),1))-64))),0)&gt;0.2),"Column '"&amp;'Hybrid Questions'!$D$18&amp;"' has lots of different answers (&gt;20% are unique), which looks more like free text than multiple choice.","")</f>
        <v>0</v>
      </c>
      <c r="F2174" s="4" t="s">
        <v>1810</v>
      </c>
    </row>
    <row r="2175" spans="1:6" ht="75" customHeight="1">
      <c r="A2175" t="s">
        <v>271</v>
      </c>
      <c r="B2175" t="s">
        <v>291</v>
      </c>
      <c r="C2175" t="s">
        <v>1807</v>
      </c>
      <c r="D2175" t="s">
        <v>1808</v>
      </c>
      <c r="E2175" s="4">
        <f>IF(AND('Hybrid Questions'!$D$19&lt;&gt;"",IFERROR(INDEX(_helpers!$2:$2,1,CHOOSE(LEN(TRIM('Hybrid Questions'!$D$19)),CODE(TRIM('Hybrid Questions'!$D$19))-64,(CODE(LEFT(TRIM('Hybrid Questions'!$D$19),1))-64)*26+(CODE(RIGHT(TRIM('Hybrid Questions'!$D$19),1))-64),(CODE(LEFT(TRIM('Hybrid Questions'!$D$19),1))-64)*676+(CODE(MID(TRIM('Hybrid Questions'!$D$19),2,1))-64)*26+(CODE(RIGHT(TRIM('Hybrid Questions'!$D$19),1))-64))),0)&gt;0,IFERROR(INDEX(_helpers!$1:$1,1,CHOOSE(LEN(TRIM('Hybrid Questions'!$D$19)),CODE(TRIM('Hybrid Questions'!$D$19))-64,(CODE(LEFT(TRIM('Hybrid Questions'!$D$19),1))-64)*26+(CODE(RIGHT(TRIM('Hybrid Questions'!$D$19),1))-64),(CODE(LEFT(TRIM('Hybrid Questions'!$D$19),1))-64)*676+(CODE(MID(TRIM('Hybrid Questions'!$D$19),2,1))-64)*26+(CODE(RIGHT(TRIM('Hybrid Questions'!$D$19),1))-64))),0)&gt;0.2),"Column '"&amp;'Hybrid Questions'!$D$19&amp;"' has lots of different answers (&gt;20% are unique), which looks more like free text than multiple choice.","")</f>
        <v>0</v>
      </c>
      <c r="F2175" s="4" t="s">
        <v>1810</v>
      </c>
    </row>
    <row r="2176" spans="1:6" ht="75" customHeight="1">
      <c r="A2176" t="s">
        <v>271</v>
      </c>
      <c r="B2176" t="s">
        <v>292</v>
      </c>
      <c r="C2176" t="s">
        <v>1807</v>
      </c>
      <c r="D2176" t="s">
        <v>1808</v>
      </c>
      <c r="E2176" s="4">
        <f>IF(AND('Hybrid Questions'!$D$20&lt;&gt;"",IFERROR(INDEX(_helpers!$2:$2,1,CHOOSE(LEN(TRIM('Hybrid Questions'!$D$20)),CODE(TRIM('Hybrid Questions'!$D$20))-64,(CODE(LEFT(TRIM('Hybrid Questions'!$D$20),1))-64)*26+(CODE(RIGHT(TRIM('Hybrid Questions'!$D$20),1))-64),(CODE(LEFT(TRIM('Hybrid Questions'!$D$20),1))-64)*676+(CODE(MID(TRIM('Hybrid Questions'!$D$20),2,1))-64)*26+(CODE(RIGHT(TRIM('Hybrid Questions'!$D$20),1))-64))),0)&gt;0,IFERROR(INDEX(_helpers!$1:$1,1,CHOOSE(LEN(TRIM('Hybrid Questions'!$D$20)),CODE(TRIM('Hybrid Questions'!$D$20))-64,(CODE(LEFT(TRIM('Hybrid Questions'!$D$20),1))-64)*26+(CODE(RIGHT(TRIM('Hybrid Questions'!$D$20),1))-64),(CODE(LEFT(TRIM('Hybrid Questions'!$D$20),1))-64)*676+(CODE(MID(TRIM('Hybrid Questions'!$D$20),2,1))-64)*26+(CODE(RIGHT(TRIM('Hybrid Questions'!$D$20),1))-64))),0)&gt;0.2),"Column '"&amp;'Hybrid Questions'!$D$20&amp;"' has lots of different answers (&gt;20% are unique), which looks more like free text than multiple choice.","")</f>
        <v>0</v>
      </c>
      <c r="F2176" s="4" t="s">
        <v>1810</v>
      </c>
    </row>
    <row r="2177" spans="1:6" ht="75" customHeight="1">
      <c r="A2177" t="s">
        <v>271</v>
      </c>
      <c r="B2177" t="s">
        <v>293</v>
      </c>
      <c r="C2177" t="s">
        <v>1807</v>
      </c>
      <c r="D2177" t="s">
        <v>1808</v>
      </c>
      <c r="E2177" s="4">
        <f>IF(AND('Hybrid Questions'!$D$21&lt;&gt;"",IFERROR(INDEX(_helpers!$2:$2,1,CHOOSE(LEN(TRIM('Hybrid Questions'!$D$21)),CODE(TRIM('Hybrid Questions'!$D$21))-64,(CODE(LEFT(TRIM('Hybrid Questions'!$D$21),1))-64)*26+(CODE(RIGHT(TRIM('Hybrid Questions'!$D$21),1))-64),(CODE(LEFT(TRIM('Hybrid Questions'!$D$21),1))-64)*676+(CODE(MID(TRIM('Hybrid Questions'!$D$21),2,1))-64)*26+(CODE(RIGHT(TRIM('Hybrid Questions'!$D$21),1))-64))),0)&gt;0,IFERROR(INDEX(_helpers!$1:$1,1,CHOOSE(LEN(TRIM('Hybrid Questions'!$D$21)),CODE(TRIM('Hybrid Questions'!$D$21))-64,(CODE(LEFT(TRIM('Hybrid Questions'!$D$21),1))-64)*26+(CODE(RIGHT(TRIM('Hybrid Questions'!$D$21),1))-64),(CODE(LEFT(TRIM('Hybrid Questions'!$D$21),1))-64)*676+(CODE(MID(TRIM('Hybrid Questions'!$D$21),2,1))-64)*26+(CODE(RIGHT(TRIM('Hybrid Questions'!$D$21),1))-64))),0)&gt;0.2),"Column '"&amp;'Hybrid Questions'!$D$21&amp;"' has lots of different answers (&gt;20% are unique), which looks more like free text than multiple choice.","")</f>
        <v>0</v>
      </c>
      <c r="F2177" s="4" t="s">
        <v>1810</v>
      </c>
    </row>
    <row r="2178" spans="1:6" ht="75" customHeight="1">
      <c r="A2178" t="s">
        <v>271</v>
      </c>
      <c r="B2178" t="s">
        <v>294</v>
      </c>
      <c r="C2178" t="s">
        <v>1807</v>
      </c>
      <c r="D2178" t="s">
        <v>1808</v>
      </c>
      <c r="E2178" s="4">
        <f>IF(AND('Hybrid Questions'!$D$22&lt;&gt;"",IFERROR(INDEX(_helpers!$2:$2,1,CHOOSE(LEN(TRIM('Hybrid Questions'!$D$22)),CODE(TRIM('Hybrid Questions'!$D$22))-64,(CODE(LEFT(TRIM('Hybrid Questions'!$D$22),1))-64)*26+(CODE(RIGHT(TRIM('Hybrid Questions'!$D$22),1))-64),(CODE(LEFT(TRIM('Hybrid Questions'!$D$22),1))-64)*676+(CODE(MID(TRIM('Hybrid Questions'!$D$22),2,1))-64)*26+(CODE(RIGHT(TRIM('Hybrid Questions'!$D$22),1))-64))),0)&gt;0,IFERROR(INDEX(_helpers!$1:$1,1,CHOOSE(LEN(TRIM('Hybrid Questions'!$D$22)),CODE(TRIM('Hybrid Questions'!$D$22))-64,(CODE(LEFT(TRIM('Hybrid Questions'!$D$22),1))-64)*26+(CODE(RIGHT(TRIM('Hybrid Questions'!$D$22),1))-64),(CODE(LEFT(TRIM('Hybrid Questions'!$D$22),1))-64)*676+(CODE(MID(TRIM('Hybrid Questions'!$D$22),2,1))-64)*26+(CODE(RIGHT(TRIM('Hybrid Questions'!$D$22),1))-64))),0)&gt;0.2),"Column '"&amp;'Hybrid Questions'!$D$22&amp;"' has lots of different answers (&gt;20% are unique), which looks more like free text than multiple choice.","")</f>
        <v>0</v>
      </c>
      <c r="F2178" s="4" t="s">
        <v>1810</v>
      </c>
    </row>
    <row r="2179" spans="1:6" ht="75" customHeight="1">
      <c r="A2179" t="s">
        <v>271</v>
      </c>
      <c r="B2179" t="s">
        <v>295</v>
      </c>
      <c r="C2179" t="s">
        <v>1807</v>
      </c>
      <c r="D2179" t="s">
        <v>1808</v>
      </c>
      <c r="E2179" s="4">
        <f>IF(AND('Hybrid Questions'!$D$23&lt;&gt;"",IFERROR(INDEX(_helpers!$2:$2,1,CHOOSE(LEN(TRIM('Hybrid Questions'!$D$23)),CODE(TRIM('Hybrid Questions'!$D$23))-64,(CODE(LEFT(TRIM('Hybrid Questions'!$D$23),1))-64)*26+(CODE(RIGHT(TRIM('Hybrid Questions'!$D$23),1))-64),(CODE(LEFT(TRIM('Hybrid Questions'!$D$23),1))-64)*676+(CODE(MID(TRIM('Hybrid Questions'!$D$23),2,1))-64)*26+(CODE(RIGHT(TRIM('Hybrid Questions'!$D$23),1))-64))),0)&gt;0,IFERROR(INDEX(_helpers!$1:$1,1,CHOOSE(LEN(TRIM('Hybrid Questions'!$D$23)),CODE(TRIM('Hybrid Questions'!$D$23))-64,(CODE(LEFT(TRIM('Hybrid Questions'!$D$23),1))-64)*26+(CODE(RIGHT(TRIM('Hybrid Questions'!$D$23),1))-64),(CODE(LEFT(TRIM('Hybrid Questions'!$D$23),1))-64)*676+(CODE(MID(TRIM('Hybrid Questions'!$D$23),2,1))-64)*26+(CODE(RIGHT(TRIM('Hybrid Questions'!$D$23),1))-64))),0)&gt;0.2),"Column '"&amp;'Hybrid Questions'!$D$23&amp;"' has lots of different answers (&gt;20% are unique), which looks more like free text than multiple choice.","")</f>
        <v>0</v>
      </c>
      <c r="F2179" s="4" t="s">
        <v>1810</v>
      </c>
    </row>
    <row r="2180" spans="1:6" ht="75" customHeight="1">
      <c r="A2180" t="s">
        <v>271</v>
      </c>
      <c r="B2180" t="s">
        <v>296</v>
      </c>
      <c r="C2180" t="s">
        <v>1807</v>
      </c>
      <c r="D2180" t="s">
        <v>1808</v>
      </c>
      <c r="E2180" s="4">
        <f>IF(AND('Hybrid Questions'!$D$24&lt;&gt;"",IFERROR(INDEX(_helpers!$2:$2,1,CHOOSE(LEN(TRIM('Hybrid Questions'!$D$24)),CODE(TRIM('Hybrid Questions'!$D$24))-64,(CODE(LEFT(TRIM('Hybrid Questions'!$D$24),1))-64)*26+(CODE(RIGHT(TRIM('Hybrid Questions'!$D$24),1))-64),(CODE(LEFT(TRIM('Hybrid Questions'!$D$24),1))-64)*676+(CODE(MID(TRIM('Hybrid Questions'!$D$24),2,1))-64)*26+(CODE(RIGHT(TRIM('Hybrid Questions'!$D$24),1))-64))),0)&gt;0,IFERROR(INDEX(_helpers!$1:$1,1,CHOOSE(LEN(TRIM('Hybrid Questions'!$D$24)),CODE(TRIM('Hybrid Questions'!$D$24))-64,(CODE(LEFT(TRIM('Hybrid Questions'!$D$24),1))-64)*26+(CODE(RIGHT(TRIM('Hybrid Questions'!$D$24),1))-64),(CODE(LEFT(TRIM('Hybrid Questions'!$D$24),1))-64)*676+(CODE(MID(TRIM('Hybrid Questions'!$D$24),2,1))-64)*26+(CODE(RIGHT(TRIM('Hybrid Questions'!$D$24),1))-64))),0)&gt;0.2),"Column '"&amp;'Hybrid Questions'!$D$24&amp;"' has lots of different answers (&gt;20% are unique), which looks more like free text than multiple choice.","")</f>
        <v>0</v>
      </c>
      <c r="F2180" s="4" t="s">
        <v>1810</v>
      </c>
    </row>
    <row r="2181" spans="1:6" ht="75" customHeight="1">
      <c r="A2181" t="s">
        <v>271</v>
      </c>
      <c r="B2181" t="s">
        <v>297</v>
      </c>
      <c r="C2181" t="s">
        <v>1807</v>
      </c>
      <c r="D2181" t="s">
        <v>1808</v>
      </c>
      <c r="E2181" s="4">
        <f>IF(AND('Hybrid Questions'!$D$25&lt;&gt;"",IFERROR(INDEX(_helpers!$2:$2,1,CHOOSE(LEN(TRIM('Hybrid Questions'!$D$25)),CODE(TRIM('Hybrid Questions'!$D$25))-64,(CODE(LEFT(TRIM('Hybrid Questions'!$D$25),1))-64)*26+(CODE(RIGHT(TRIM('Hybrid Questions'!$D$25),1))-64),(CODE(LEFT(TRIM('Hybrid Questions'!$D$25),1))-64)*676+(CODE(MID(TRIM('Hybrid Questions'!$D$25),2,1))-64)*26+(CODE(RIGHT(TRIM('Hybrid Questions'!$D$25),1))-64))),0)&gt;0,IFERROR(INDEX(_helpers!$1:$1,1,CHOOSE(LEN(TRIM('Hybrid Questions'!$D$25)),CODE(TRIM('Hybrid Questions'!$D$25))-64,(CODE(LEFT(TRIM('Hybrid Questions'!$D$25),1))-64)*26+(CODE(RIGHT(TRIM('Hybrid Questions'!$D$25),1))-64),(CODE(LEFT(TRIM('Hybrid Questions'!$D$25),1))-64)*676+(CODE(MID(TRIM('Hybrid Questions'!$D$25),2,1))-64)*26+(CODE(RIGHT(TRIM('Hybrid Questions'!$D$25),1))-64))),0)&gt;0.2),"Column '"&amp;'Hybrid Questions'!$D$25&amp;"' has lots of different answers (&gt;20% are unique), which looks more like free text than multiple choice.","")</f>
        <v>0</v>
      </c>
      <c r="F2181" s="4" t="s">
        <v>1810</v>
      </c>
    </row>
    <row r="2182" spans="1:6" ht="75" customHeight="1">
      <c r="A2182" t="s">
        <v>271</v>
      </c>
      <c r="B2182" t="s">
        <v>298</v>
      </c>
      <c r="C2182" t="s">
        <v>1807</v>
      </c>
      <c r="D2182" t="s">
        <v>1808</v>
      </c>
      <c r="E2182" s="4">
        <f>IF(AND('Hybrid Questions'!$D$26&lt;&gt;"",IFERROR(INDEX(_helpers!$2:$2,1,CHOOSE(LEN(TRIM('Hybrid Questions'!$D$26)),CODE(TRIM('Hybrid Questions'!$D$26))-64,(CODE(LEFT(TRIM('Hybrid Questions'!$D$26),1))-64)*26+(CODE(RIGHT(TRIM('Hybrid Questions'!$D$26),1))-64),(CODE(LEFT(TRIM('Hybrid Questions'!$D$26),1))-64)*676+(CODE(MID(TRIM('Hybrid Questions'!$D$26),2,1))-64)*26+(CODE(RIGHT(TRIM('Hybrid Questions'!$D$26),1))-64))),0)&gt;0,IFERROR(INDEX(_helpers!$1:$1,1,CHOOSE(LEN(TRIM('Hybrid Questions'!$D$26)),CODE(TRIM('Hybrid Questions'!$D$26))-64,(CODE(LEFT(TRIM('Hybrid Questions'!$D$26),1))-64)*26+(CODE(RIGHT(TRIM('Hybrid Questions'!$D$26),1))-64),(CODE(LEFT(TRIM('Hybrid Questions'!$D$26),1))-64)*676+(CODE(MID(TRIM('Hybrid Questions'!$D$26),2,1))-64)*26+(CODE(RIGHT(TRIM('Hybrid Questions'!$D$26),1))-64))),0)&gt;0.2),"Column '"&amp;'Hybrid Questions'!$D$26&amp;"' has lots of different answers (&gt;20% are unique), which looks more like free text than multiple choice.","")</f>
        <v>0</v>
      </c>
      <c r="F2182" s="4" t="s">
        <v>1810</v>
      </c>
    </row>
    <row r="2183" spans="1:6" ht="75" customHeight="1">
      <c r="A2183" t="s">
        <v>271</v>
      </c>
      <c r="B2183" t="s">
        <v>299</v>
      </c>
      <c r="C2183" t="s">
        <v>1807</v>
      </c>
      <c r="D2183" t="s">
        <v>1808</v>
      </c>
      <c r="E2183" s="4">
        <f>IF(AND('Hybrid Questions'!$D$27&lt;&gt;"",IFERROR(INDEX(_helpers!$2:$2,1,CHOOSE(LEN(TRIM('Hybrid Questions'!$D$27)),CODE(TRIM('Hybrid Questions'!$D$27))-64,(CODE(LEFT(TRIM('Hybrid Questions'!$D$27),1))-64)*26+(CODE(RIGHT(TRIM('Hybrid Questions'!$D$27),1))-64),(CODE(LEFT(TRIM('Hybrid Questions'!$D$27),1))-64)*676+(CODE(MID(TRIM('Hybrid Questions'!$D$27),2,1))-64)*26+(CODE(RIGHT(TRIM('Hybrid Questions'!$D$27),1))-64))),0)&gt;0,IFERROR(INDEX(_helpers!$1:$1,1,CHOOSE(LEN(TRIM('Hybrid Questions'!$D$27)),CODE(TRIM('Hybrid Questions'!$D$27))-64,(CODE(LEFT(TRIM('Hybrid Questions'!$D$27),1))-64)*26+(CODE(RIGHT(TRIM('Hybrid Questions'!$D$27),1))-64),(CODE(LEFT(TRIM('Hybrid Questions'!$D$27),1))-64)*676+(CODE(MID(TRIM('Hybrid Questions'!$D$27),2,1))-64)*26+(CODE(RIGHT(TRIM('Hybrid Questions'!$D$27),1))-64))),0)&gt;0.2),"Column '"&amp;'Hybrid Questions'!$D$27&amp;"' has lots of different answers (&gt;20% are unique), which looks more like free text than multiple choice.","")</f>
        <v>0</v>
      </c>
      <c r="F2183" s="4" t="s">
        <v>1810</v>
      </c>
    </row>
    <row r="2184" spans="1:6" ht="75" customHeight="1">
      <c r="A2184" t="s">
        <v>271</v>
      </c>
      <c r="B2184" t="s">
        <v>300</v>
      </c>
      <c r="C2184" t="s">
        <v>1807</v>
      </c>
      <c r="D2184" t="s">
        <v>1808</v>
      </c>
      <c r="E2184" s="4">
        <f>IF(AND('Hybrid Questions'!$D$28&lt;&gt;"",IFERROR(INDEX(_helpers!$2:$2,1,CHOOSE(LEN(TRIM('Hybrid Questions'!$D$28)),CODE(TRIM('Hybrid Questions'!$D$28))-64,(CODE(LEFT(TRIM('Hybrid Questions'!$D$28),1))-64)*26+(CODE(RIGHT(TRIM('Hybrid Questions'!$D$28),1))-64),(CODE(LEFT(TRIM('Hybrid Questions'!$D$28),1))-64)*676+(CODE(MID(TRIM('Hybrid Questions'!$D$28),2,1))-64)*26+(CODE(RIGHT(TRIM('Hybrid Questions'!$D$28),1))-64))),0)&gt;0,IFERROR(INDEX(_helpers!$1:$1,1,CHOOSE(LEN(TRIM('Hybrid Questions'!$D$28)),CODE(TRIM('Hybrid Questions'!$D$28))-64,(CODE(LEFT(TRIM('Hybrid Questions'!$D$28),1))-64)*26+(CODE(RIGHT(TRIM('Hybrid Questions'!$D$28),1))-64),(CODE(LEFT(TRIM('Hybrid Questions'!$D$28),1))-64)*676+(CODE(MID(TRIM('Hybrid Questions'!$D$28),2,1))-64)*26+(CODE(RIGHT(TRIM('Hybrid Questions'!$D$28),1))-64))),0)&gt;0.2),"Column '"&amp;'Hybrid Questions'!$D$28&amp;"' has lots of different answers (&gt;20% are unique), which looks more like free text than multiple choice.","")</f>
        <v>0</v>
      </c>
      <c r="F2184" s="4" t="s">
        <v>1810</v>
      </c>
    </row>
    <row r="2185" spans="1:6" ht="75" customHeight="1">
      <c r="A2185" t="s">
        <v>271</v>
      </c>
      <c r="B2185" t="s">
        <v>301</v>
      </c>
      <c r="C2185" t="s">
        <v>1807</v>
      </c>
      <c r="D2185" t="s">
        <v>1808</v>
      </c>
      <c r="E2185" s="4">
        <f>IF(AND('Hybrid Questions'!$D$29&lt;&gt;"",IFERROR(INDEX(_helpers!$2:$2,1,CHOOSE(LEN(TRIM('Hybrid Questions'!$D$29)),CODE(TRIM('Hybrid Questions'!$D$29))-64,(CODE(LEFT(TRIM('Hybrid Questions'!$D$29),1))-64)*26+(CODE(RIGHT(TRIM('Hybrid Questions'!$D$29),1))-64),(CODE(LEFT(TRIM('Hybrid Questions'!$D$29),1))-64)*676+(CODE(MID(TRIM('Hybrid Questions'!$D$29),2,1))-64)*26+(CODE(RIGHT(TRIM('Hybrid Questions'!$D$29),1))-64))),0)&gt;0,IFERROR(INDEX(_helpers!$1:$1,1,CHOOSE(LEN(TRIM('Hybrid Questions'!$D$29)),CODE(TRIM('Hybrid Questions'!$D$29))-64,(CODE(LEFT(TRIM('Hybrid Questions'!$D$29),1))-64)*26+(CODE(RIGHT(TRIM('Hybrid Questions'!$D$29),1))-64),(CODE(LEFT(TRIM('Hybrid Questions'!$D$29),1))-64)*676+(CODE(MID(TRIM('Hybrid Questions'!$D$29),2,1))-64)*26+(CODE(RIGHT(TRIM('Hybrid Questions'!$D$29),1))-64))),0)&gt;0.2),"Column '"&amp;'Hybrid Questions'!$D$29&amp;"' has lots of different answers (&gt;20% are unique), which looks more like free text than multiple choice.","")</f>
        <v>0</v>
      </c>
      <c r="F2185" s="4" t="s">
        <v>1810</v>
      </c>
    </row>
    <row r="2186" spans="1:6" ht="75" customHeight="1">
      <c r="A2186" t="s">
        <v>271</v>
      </c>
      <c r="B2186" t="s">
        <v>302</v>
      </c>
      <c r="C2186" t="s">
        <v>1807</v>
      </c>
      <c r="D2186" t="s">
        <v>1808</v>
      </c>
      <c r="E2186" s="4">
        <f>IF(AND('Hybrid Questions'!$D$30&lt;&gt;"",IFERROR(INDEX(_helpers!$2:$2,1,CHOOSE(LEN(TRIM('Hybrid Questions'!$D$30)),CODE(TRIM('Hybrid Questions'!$D$30))-64,(CODE(LEFT(TRIM('Hybrid Questions'!$D$30),1))-64)*26+(CODE(RIGHT(TRIM('Hybrid Questions'!$D$30),1))-64),(CODE(LEFT(TRIM('Hybrid Questions'!$D$30),1))-64)*676+(CODE(MID(TRIM('Hybrid Questions'!$D$30),2,1))-64)*26+(CODE(RIGHT(TRIM('Hybrid Questions'!$D$30),1))-64))),0)&gt;0,IFERROR(INDEX(_helpers!$1:$1,1,CHOOSE(LEN(TRIM('Hybrid Questions'!$D$30)),CODE(TRIM('Hybrid Questions'!$D$30))-64,(CODE(LEFT(TRIM('Hybrid Questions'!$D$30),1))-64)*26+(CODE(RIGHT(TRIM('Hybrid Questions'!$D$30),1))-64),(CODE(LEFT(TRIM('Hybrid Questions'!$D$30),1))-64)*676+(CODE(MID(TRIM('Hybrid Questions'!$D$30),2,1))-64)*26+(CODE(RIGHT(TRIM('Hybrid Questions'!$D$30),1))-64))),0)&gt;0.2),"Column '"&amp;'Hybrid Questions'!$D$30&amp;"' has lots of different answers (&gt;20% are unique), which looks more like free text than multiple choice.","")</f>
        <v>0</v>
      </c>
      <c r="F2186" s="4" t="s">
        <v>1810</v>
      </c>
    </row>
    <row r="2187" spans="1:6" ht="75" customHeight="1">
      <c r="A2187" t="s">
        <v>271</v>
      </c>
      <c r="B2187" t="s">
        <v>303</v>
      </c>
      <c r="C2187" t="s">
        <v>1807</v>
      </c>
      <c r="D2187" t="s">
        <v>1808</v>
      </c>
      <c r="E2187" s="4">
        <f>IF(AND('Hybrid Questions'!$D$31&lt;&gt;"",IFERROR(INDEX(_helpers!$2:$2,1,CHOOSE(LEN(TRIM('Hybrid Questions'!$D$31)),CODE(TRIM('Hybrid Questions'!$D$31))-64,(CODE(LEFT(TRIM('Hybrid Questions'!$D$31),1))-64)*26+(CODE(RIGHT(TRIM('Hybrid Questions'!$D$31),1))-64),(CODE(LEFT(TRIM('Hybrid Questions'!$D$31),1))-64)*676+(CODE(MID(TRIM('Hybrid Questions'!$D$31),2,1))-64)*26+(CODE(RIGHT(TRIM('Hybrid Questions'!$D$31),1))-64))),0)&gt;0,IFERROR(INDEX(_helpers!$1:$1,1,CHOOSE(LEN(TRIM('Hybrid Questions'!$D$31)),CODE(TRIM('Hybrid Questions'!$D$31))-64,(CODE(LEFT(TRIM('Hybrid Questions'!$D$31),1))-64)*26+(CODE(RIGHT(TRIM('Hybrid Questions'!$D$31),1))-64),(CODE(LEFT(TRIM('Hybrid Questions'!$D$31),1))-64)*676+(CODE(MID(TRIM('Hybrid Questions'!$D$31),2,1))-64)*26+(CODE(RIGHT(TRIM('Hybrid Questions'!$D$31),1))-64))),0)&gt;0.2),"Column '"&amp;'Hybrid Questions'!$D$31&amp;"' has lots of different answers (&gt;20% are unique), which looks more like free text than multiple choice.","")</f>
        <v>0</v>
      </c>
      <c r="F2187" s="4" t="s">
        <v>1810</v>
      </c>
    </row>
    <row r="2188" spans="1:6" ht="75" customHeight="1">
      <c r="A2188" t="s">
        <v>271</v>
      </c>
      <c r="B2188" t="s">
        <v>304</v>
      </c>
      <c r="C2188" t="s">
        <v>1807</v>
      </c>
      <c r="D2188" t="s">
        <v>1808</v>
      </c>
      <c r="E2188" s="4">
        <f>IF(AND('Hybrid Questions'!$D$32&lt;&gt;"",IFERROR(INDEX(_helpers!$2:$2,1,CHOOSE(LEN(TRIM('Hybrid Questions'!$D$32)),CODE(TRIM('Hybrid Questions'!$D$32))-64,(CODE(LEFT(TRIM('Hybrid Questions'!$D$32),1))-64)*26+(CODE(RIGHT(TRIM('Hybrid Questions'!$D$32),1))-64),(CODE(LEFT(TRIM('Hybrid Questions'!$D$32),1))-64)*676+(CODE(MID(TRIM('Hybrid Questions'!$D$32),2,1))-64)*26+(CODE(RIGHT(TRIM('Hybrid Questions'!$D$32),1))-64))),0)&gt;0,IFERROR(INDEX(_helpers!$1:$1,1,CHOOSE(LEN(TRIM('Hybrid Questions'!$D$32)),CODE(TRIM('Hybrid Questions'!$D$32))-64,(CODE(LEFT(TRIM('Hybrid Questions'!$D$32),1))-64)*26+(CODE(RIGHT(TRIM('Hybrid Questions'!$D$32),1))-64),(CODE(LEFT(TRIM('Hybrid Questions'!$D$32),1))-64)*676+(CODE(MID(TRIM('Hybrid Questions'!$D$32),2,1))-64)*26+(CODE(RIGHT(TRIM('Hybrid Questions'!$D$32),1))-64))),0)&gt;0.2),"Column '"&amp;'Hybrid Questions'!$D$32&amp;"' has lots of different answers (&gt;20% are unique), which looks more like free text than multiple choice.","")</f>
        <v>0</v>
      </c>
      <c r="F2188" s="4" t="s">
        <v>1810</v>
      </c>
    </row>
    <row r="2189" spans="1:6" ht="75" customHeight="1">
      <c r="A2189" t="s">
        <v>271</v>
      </c>
      <c r="B2189" t="s">
        <v>305</v>
      </c>
      <c r="C2189" t="s">
        <v>1807</v>
      </c>
      <c r="D2189" t="s">
        <v>1808</v>
      </c>
      <c r="E2189" s="4">
        <f>IF(AND('Hybrid Questions'!$D$33&lt;&gt;"",IFERROR(INDEX(_helpers!$2:$2,1,CHOOSE(LEN(TRIM('Hybrid Questions'!$D$33)),CODE(TRIM('Hybrid Questions'!$D$33))-64,(CODE(LEFT(TRIM('Hybrid Questions'!$D$33),1))-64)*26+(CODE(RIGHT(TRIM('Hybrid Questions'!$D$33),1))-64),(CODE(LEFT(TRIM('Hybrid Questions'!$D$33),1))-64)*676+(CODE(MID(TRIM('Hybrid Questions'!$D$33),2,1))-64)*26+(CODE(RIGHT(TRIM('Hybrid Questions'!$D$33),1))-64))),0)&gt;0,IFERROR(INDEX(_helpers!$1:$1,1,CHOOSE(LEN(TRIM('Hybrid Questions'!$D$33)),CODE(TRIM('Hybrid Questions'!$D$33))-64,(CODE(LEFT(TRIM('Hybrid Questions'!$D$33),1))-64)*26+(CODE(RIGHT(TRIM('Hybrid Questions'!$D$33),1))-64),(CODE(LEFT(TRIM('Hybrid Questions'!$D$33),1))-64)*676+(CODE(MID(TRIM('Hybrid Questions'!$D$33),2,1))-64)*26+(CODE(RIGHT(TRIM('Hybrid Questions'!$D$33),1))-64))),0)&gt;0.2),"Column '"&amp;'Hybrid Questions'!$D$33&amp;"' has lots of different answers (&gt;20% are unique), which looks more like free text than multiple choice.","")</f>
        <v>0</v>
      </c>
      <c r="F2189" s="4" t="s">
        <v>1810</v>
      </c>
    </row>
    <row r="2190" spans="1:6" ht="75" customHeight="1">
      <c r="A2190" t="s">
        <v>271</v>
      </c>
      <c r="B2190" t="s">
        <v>306</v>
      </c>
      <c r="C2190" t="s">
        <v>1807</v>
      </c>
      <c r="D2190" t="s">
        <v>1808</v>
      </c>
      <c r="E2190" s="4">
        <f>IF(AND('Hybrid Questions'!$D$34&lt;&gt;"",IFERROR(INDEX(_helpers!$2:$2,1,CHOOSE(LEN(TRIM('Hybrid Questions'!$D$34)),CODE(TRIM('Hybrid Questions'!$D$34))-64,(CODE(LEFT(TRIM('Hybrid Questions'!$D$34),1))-64)*26+(CODE(RIGHT(TRIM('Hybrid Questions'!$D$34),1))-64),(CODE(LEFT(TRIM('Hybrid Questions'!$D$34),1))-64)*676+(CODE(MID(TRIM('Hybrid Questions'!$D$34),2,1))-64)*26+(CODE(RIGHT(TRIM('Hybrid Questions'!$D$34),1))-64))),0)&gt;0,IFERROR(INDEX(_helpers!$1:$1,1,CHOOSE(LEN(TRIM('Hybrid Questions'!$D$34)),CODE(TRIM('Hybrid Questions'!$D$34))-64,(CODE(LEFT(TRIM('Hybrid Questions'!$D$34),1))-64)*26+(CODE(RIGHT(TRIM('Hybrid Questions'!$D$34),1))-64),(CODE(LEFT(TRIM('Hybrid Questions'!$D$34),1))-64)*676+(CODE(MID(TRIM('Hybrid Questions'!$D$34),2,1))-64)*26+(CODE(RIGHT(TRIM('Hybrid Questions'!$D$34),1))-64))),0)&gt;0.2),"Column '"&amp;'Hybrid Questions'!$D$34&amp;"' has lots of different answers (&gt;20% are unique), which looks more like free text than multiple choice.","")</f>
        <v>0</v>
      </c>
      <c r="F2190" s="4" t="s">
        <v>1810</v>
      </c>
    </row>
    <row r="2191" spans="1:6" ht="75" customHeight="1">
      <c r="A2191" t="s">
        <v>271</v>
      </c>
      <c r="B2191" t="s">
        <v>307</v>
      </c>
      <c r="C2191" t="s">
        <v>1807</v>
      </c>
      <c r="D2191" t="s">
        <v>1808</v>
      </c>
      <c r="E2191" s="4">
        <f>IF(AND('Hybrid Questions'!$D$35&lt;&gt;"",IFERROR(INDEX(_helpers!$2:$2,1,CHOOSE(LEN(TRIM('Hybrid Questions'!$D$35)),CODE(TRIM('Hybrid Questions'!$D$35))-64,(CODE(LEFT(TRIM('Hybrid Questions'!$D$35),1))-64)*26+(CODE(RIGHT(TRIM('Hybrid Questions'!$D$35),1))-64),(CODE(LEFT(TRIM('Hybrid Questions'!$D$35),1))-64)*676+(CODE(MID(TRIM('Hybrid Questions'!$D$35),2,1))-64)*26+(CODE(RIGHT(TRIM('Hybrid Questions'!$D$35),1))-64))),0)&gt;0,IFERROR(INDEX(_helpers!$1:$1,1,CHOOSE(LEN(TRIM('Hybrid Questions'!$D$35)),CODE(TRIM('Hybrid Questions'!$D$35))-64,(CODE(LEFT(TRIM('Hybrid Questions'!$D$35),1))-64)*26+(CODE(RIGHT(TRIM('Hybrid Questions'!$D$35),1))-64),(CODE(LEFT(TRIM('Hybrid Questions'!$D$35),1))-64)*676+(CODE(MID(TRIM('Hybrid Questions'!$D$35),2,1))-64)*26+(CODE(RIGHT(TRIM('Hybrid Questions'!$D$35),1))-64))),0)&gt;0.2),"Column '"&amp;'Hybrid Questions'!$D$35&amp;"' has lots of different answers (&gt;20% are unique), which looks more like free text than multiple choice.","")</f>
        <v>0</v>
      </c>
      <c r="F2191" s="4" t="s">
        <v>1810</v>
      </c>
    </row>
    <row r="2192" spans="1:6" ht="75" customHeight="1">
      <c r="A2192" t="s">
        <v>271</v>
      </c>
      <c r="B2192" t="s">
        <v>308</v>
      </c>
      <c r="C2192" t="s">
        <v>1807</v>
      </c>
      <c r="D2192" t="s">
        <v>1808</v>
      </c>
      <c r="E2192" s="4">
        <f>IF(AND('Hybrid Questions'!$D$36&lt;&gt;"",IFERROR(INDEX(_helpers!$2:$2,1,CHOOSE(LEN(TRIM('Hybrid Questions'!$D$36)),CODE(TRIM('Hybrid Questions'!$D$36))-64,(CODE(LEFT(TRIM('Hybrid Questions'!$D$36),1))-64)*26+(CODE(RIGHT(TRIM('Hybrid Questions'!$D$36),1))-64),(CODE(LEFT(TRIM('Hybrid Questions'!$D$36),1))-64)*676+(CODE(MID(TRIM('Hybrid Questions'!$D$36),2,1))-64)*26+(CODE(RIGHT(TRIM('Hybrid Questions'!$D$36),1))-64))),0)&gt;0,IFERROR(INDEX(_helpers!$1:$1,1,CHOOSE(LEN(TRIM('Hybrid Questions'!$D$36)),CODE(TRIM('Hybrid Questions'!$D$36))-64,(CODE(LEFT(TRIM('Hybrid Questions'!$D$36),1))-64)*26+(CODE(RIGHT(TRIM('Hybrid Questions'!$D$36),1))-64),(CODE(LEFT(TRIM('Hybrid Questions'!$D$36),1))-64)*676+(CODE(MID(TRIM('Hybrid Questions'!$D$36),2,1))-64)*26+(CODE(RIGHT(TRIM('Hybrid Questions'!$D$36),1))-64))),0)&gt;0.2),"Column '"&amp;'Hybrid Questions'!$D$36&amp;"' has lots of different answers (&gt;20% are unique), which looks more like free text than multiple choice.","")</f>
        <v>0</v>
      </c>
      <c r="F2192" s="4" t="s">
        <v>1810</v>
      </c>
    </row>
    <row r="2193" spans="1:6" ht="75" customHeight="1">
      <c r="A2193" t="s">
        <v>271</v>
      </c>
      <c r="B2193" t="s">
        <v>309</v>
      </c>
      <c r="C2193" t="s">
        <v>1807</v>
      </c>
      <c r="D2193" t="s">
        <v>1808</v>
      </c>
      <c r="E2193" s="4">
        <f>IF(AND('Hybrid Questions'!$D$37&lt;&gt;"",IFERROR(INDEX(_helpers!$2:$2,1,CHOOSE(LEN(TRIM('Hybrid Questions'!$D$37)),CODE(TRIM('Hybrid Questions'!$D$37))-64,(CODE(LEFT(TRIM('Hybrid Questions'!$D$37),1))-64)*26+(CODE(RIGHT(TRIM('Hybrid Questions'!$D$37),1))-64),(CODE(LEFT(TRIM('Hybrid Questions'!$D$37),1))-64)*676+(CODE(MID(TRIM('Hybrid Questions'!$D$37),2,1))-64)*26+(CODE(RIGHT(TRIM('Hybrid Questions'!$D$37),1))-64))),0)&gt;0,IFERROR(INDEX(_helpers!$1:$1,1,CHOOSE(LEN(TRIM('Hybrid Questions'!$D$37)),CODE(TRIM('Hybrid Questions'!$D$37))-64,(CODE(LEFT(TRIM('Hybrid Questions'!$D$37),1))-64)*26+(CODE(RIGHT(TRIM('Hybrid Questions'!$D$37),1))-64),(CODE(LEFT(TRIM('Hybrid Questions'!$D$37),1))-64)*676+(CODE(MID(TRIM('Hybrid Questions'!$D$37),2,1))-64)*26+(CODE(RIGHT(TRIM('Hybrid Questions'!$D$37),1))-64))),0)&gt;0.2),"Column '"&amp;'Hybrid Questions'!$D$37&amp;"' has lots of different answers (&gt;20% are unique), which looks more like free text than multiple choice.","")</f>
        <v>0</v>
      </c>
      <c r="F2193" s="4" t="s">
        <v>1810</v>
      </c>
    </row>
    <row r="2194" spans="1:6" ht="75" customHeight="1">
      <c r="A2194" t="s">
        <v>271</v>
      </c>
      <c r="B2194" t="s">
        <v>310</v>
      </c>
      <c r="C2194" t="s">
        <v>1807</v>
      </c>
      <c r="D2194" t="s">
        <v>1808</v>
      </c>
      <c r="E2194" s="4">
        <f>IF(AND('Hybrid Questions'!$D$38&lt;&gt;"",IFERROR(INDEX(_helpers!$2:$2,1,CHOOSE(LEN(TRIM('Hybrid Questions'!$D$38)),CODE(TRIM('Hybrid Questions'!$D$38))-64,(CODE(LEFT(TRIM('Hybrid Questions'!$D$38),1))-64)*26+(CODE(RIGHT(TRIM('Hybrid Questions'!$D$38),1))-64),(CODE(LEFT(TRIM('Hybrid Questions'!$D$38),1))-64)*676+(CODE(MID(TRIM('Hybrid Questions'!$D$38),2,1))-64)*26+(CODE(RIGHT(TRIM('Hybrid Questions'!$D$38),1))-64))),0)&gt;0,IFERROR(INDEX(_helpers!$1:$1,1,CHOOSE(LEN(TRIM('Hybrid Questions'!$D$38)),CODE(TRIM('Hybrid Questions'!$D$38))-64,(CODE(LEFT(TRIM('Hybrid Questions'!$D$38),1))-64)*26+(CODE(RIGHT(TRIM('Hybrid Questions'!$D$38),1))-64),(CODE(LEFT(TRIM('Hybrid Questions'!$D$38),1))-64)*676+(CODE(MID(TRIM('Hybrid Questions'!$D$38),2,1))-64)*26+(CODE(RIGHT(TRIM('Hybrid Questions'!$D$38),1))-64))),0)&gt;0.2),"Column '"&amp;'Hybrid Questions'!$D$38&amp;"' has lots of different answers (&gt;20% are unique), which looks more like free text than multiple choice.","")</f>
        <v>0</v>
      </c>
      <c r="F2194" s="4" t="s">
        <v>1810</v>
      </c>
    </row>
    <row r="2195" spans="1:6" ht="75" customHeight="1">
      <c r="A2195" t="s">
        <v>271</v>
      </c>
      <c r="B2195" t="s">
        <v>311</v>
      </c>
      <c r="C2195" t="s">
        <v>1807</v>
      </c>
      <c r="D2195" t="s">
        <v>1808</v>
      </c>
      <c r="E2195" s="4">
        <f>IF(AND('Hybrid Questions'!$D$39&lt;&gt;"",IFERROR(INDEX(_helpers!$2:$2,1,CHOOSE(LEN(TRIM('Hybrid Questions'!$D$39)),CODE(TRIM('Hybrid Questions'!$D$39))-64,(CODE(LEFT(TRIM('Hybrid Questions'!$D$39),1))-64)*26+(CODE(RIGHT(TRIM('Hybrid Questions'!$D$39),1))-64),(CODE(LEFT(TRIM('Hybrid Questions'!$D$39),1))-64)*676+(CODE(MID(TRIM('Hybrid Questions'!$D$39),2,1))-64)*26+(CODE(RIGHT(TRIM('Hybrid Questions'!$D$39),1))-64))),0)&gt;0,IFERROR(INDEX(_helpers!$1:$1,1,CHOOSE(LEN(TRIM('Hybrid Questions'!$D$39)),CODE(TRIM('Hybrid Questions'!$D$39))-64,(CODE(LEFT(TRIM('Hybrid Questions'!$D$39),1))-64)*26+(CODE(RIGHT(TRIM('Hybrid Questions'!$D$39),1))-64),(CODE(LEFT(TRIM('Hybrid Questions'!$D$39),1))-64)*676+(CODE(MID(TRIM('Hybrid Questions'!$D$39),2,1))-64)*26+(CODE(RIGHT(TRIM('Hybrid Questions'!$D$39),1))-64))),0)&gt;0.2),"Column '"&amp;'Hybrid Questions'!$D$39&amp;"' has lots of different answers (&gt;20% are unique), which looks more like free text than multiple choice.","")</f>
        <v>0</v>
      </c>
      <c r="F2195" s="4" t="s">
        <v>1810</v>
      </c>
    </row>
    <row r="2196" spans="1:6" ht="75" customHeight="1">
      <c r="A2196" t="s">
        <v>271</v>
      </c>
      <c r="B2196" t="s">
        <v>312</v>
      </c>
      <c r="C2196" t="s">
        <v>1807</v>
      </c>
      <c r="D2196" t="s">
        <v>1808</v>
      </c>
      <c r="E2196" s="4">
        <f>IF(AND('Hybrid Questions'!$D$40&lt;&gt;"",IFERROR(INDEX(_helpers!$2:$2,1,CHOOSE(LEN(TRIM('Hybrid Questions'!$D$40)),CODE(TRIM('Hybrid Questions'!$D$40))-64,(CODE(LEFT(TRIM('Hybrid Questions'!$D$40),1))-64)*26+(CODE(RIGHT(TRIM('Hybrid Questions'!$D$40),1))-64),(CODE(LEFT(TRIM('Hybrid Questions'!$D$40),1))-64)*676+(CODE(MID(TRIM('Hybrid Questions'!$D$40),2,1))-64)*26+(CODE(RIGHT(TRIM('Hybrid Questions'!$D$40),1))-64))),0)&gt;0,IFERROR(INDEX(_helpers!$1:$1,1,CHOOSE(LEN(TRIM('Hybrid Questions'!$D$40)),CODE(TRIM('Hybrid Questions'!$D$40))-64,(CODE(LEFT(TRIM('Hybrid Questions'!$D$40),1))-64)*26+(CODE(RIGHT(TRIM('Hybrid Questions'!$D$40),1))-64),(CODE(LEFT(TRIM('Hybrid Questions'!$D$40),1))-64)*676+(CODE(MID(TRIM('Hybrid Questions'!$D$40),2,1))-64)*26+(CODE(RIGHT(TRIM('Hybrid Questions'!$D$40),1))-64))),0)&gt;0.2),"Column '"&amp;'Hybrid Questions'!$D$40&amp;"' has lots of different answers (&gt;20% are unique), which looks more like free text than multiple choice.","")</f>
        <v>0</v>
      </c>
      <c r="F2196" s="4" t="s">
        <v>1810</v>
      </c>
    </row>
    <row r="2197" spans="1:6" ht="75" customHeight="1">
      <c r="A2197" t="s">
        <v>271</v>
      </c>
      <c r="B2197" t="s">
        <v>313</v>
      </c>
      <c r="C2197" t="s">
        <v>1807</v>
      </c>
      <c r="D2197" t="s">
        <v>1808</v>
      </c>
      <c r="E2197" s="4">
        <f>IF(AND('Hybrid Questions'!$D$41&lt;&gt;"",IFERROR(INDEX(_helpers!$2:$2,1,CHOOSE(LEN(TRIM('Hybrid Questions'!$D$41)),CODE(TRIM('Hybrid Questions'!$D$41))-64,(CODE(LEFT(TRIM('Hybrid Questions'!$D$41),1))-64)*26+(CODE(RIGHT(TRIM('Hybrid Questions'!$D$41),1))-64),(CODE(LEFT(TRIM('Hybrid Questions'!$D$41),1))-64)*676+(CODE(MID(TRIM('Hybrid Questions'!$D$41),2,1))-64)*26+(CODE(RIGHT(TRIM('Hybrid Questions'!$D$41),1))-64))),0)&gt;0,IFERROR(INDEX(_helpers!$1:$1,1,CHOOSE(LEN(TRIM('Hybrid Questions'!$D$41)),CODE(TRIM('Hybrid Questions'!$D$41))-64,(CODE(LEFT(TRIM('Hybrid Questions'!$D$41),1))-64)*26+(CODE(RIGHT(TRIM('Hybrid Questions'!$D$41),1))-64),(CODE(LEFT(TRIM('Hybrid Questions'!$D$41),1))-64)*676+(CODE(MID(TRIM('Hybrid Questions'!$D$41),2,1))-64)*26+(CODE(RIGHT(TRIM('Hybrid Questions'!$D$41),1))-64))),0)&gt;0.2),"Column '"&amp;'Hybrid Questions'!$D$41&amp;"' has lots of different answers (&gt;20% are unique), which looks more like free text than multiple choice.","")</f>
        <v>0</v>
      </c>
      <c r="F2197" s="4" t="s">
        <v>1810</v>
      </c>
    </row>
    <row r="2198" spans="1:6" ht="75" customHeight="1">
      <c r="A2198" t="s">
        <v>271</v>
      </c>
      <c r="B2198" t="s">
        <v>314</v>
      </c>
      <c r="C2198" t="s">
        <v>1807</v>
      </c>
      <c r="D2198" t="s">
        <v>1808</v>
      </c>
      <c r="E2198" s="4">
        <f>IF(AND('Hybrid Questions'!$D$42&lt;&gt;"",IFERROR(INDEX(_helpers!$2:$2,1,CHOOSE(LEN(TRIM('Hybrid Questions'!$D$42)),CODE(TRIM('Hybrid Questions'!$D$42))-64,(CODE(LEFT(TRIM('Hybrid Questions'!$D$42),1))-64)*26+(CODE(RIGHT(TRIM('Hybrid Questions'!$D$42),1))-64),(CODE(LEFT(TRIM('Hybrid Questions'!$D$42),1))-64)*676+(CODE(MID(TRIM('Hybrid Questions'!$D$42),2,1))-64)*26+(CODE(RIGHT(TRIM('Hybrid Questions'!$D$42),1))-64))),0)&gt;0,IFERROR(INDEX(_helpers!$1:$1,1,CHOOSE(LEN(TRIM('Hybrid Questions'!$D$42)),CODE(TRIM('Hybrid Questions'!$D$42))-64,(CODE(LEFT(TRIM('Hybrid Questions'!$D$42),1))-64)*26+(CODE(RIGHT(TRIM('Hybrid Questions'!$D$42),1))-64),(CODE(LEFT(TRIM('Hybrid Questions'!$D$42),1))-64)*676+(CODE(MID(TRIM('Hybrid Questions'!$D$42),2,1))-64)*26+(CODE(RIGHT(TRIM('Hybrid Questions'!$D$42),1))-64))),0)&gt;0.2),"Column '"&amp;'Hybrid Questions'!$D$42&amp;"' has lots of different answers (&gt;20% are unique), which looks more like free text than multiple choice.","")</f>
        <v>0</v>
      </c>
      <c r="F2198" s="4" t="s">
        <v>1810</v>
      </c>
    </row>
    <row r="2199" spans="1:6" ht="75" customHeight="1">
      <c r="A2199" t="s">
        <v>271</v>
      </c>
      <c r="B2199" t="s">
        <v>315</v>
      </c>
      <c r="C2199" t="s">
        <v>1807</v>
      </c>
      <c r="D2199" t="s">
        <v>1808</v>
      </c>
      <c r="E2199" s="4">
        <f>IF(AND('Hybrid Questions'!$D$43&lt;&gt;"",IFERROR(INDEX(_helpers!$2:$2,1,CHOOSE(LEN(TRIM('Hybrid Questions'!$D$43)),CODE(TRIM('Hybrid Questions'!$D$43))-64,(CODE(LEFT(TRIM('Hybrid Questions'!$D$43),1))-64)*26+(CODE(RIGHT(TRIM('Hybrid Questions'!$D$43),1))-64),(CODE(LEFT(TRIM('Hybrid Questions'!$D$43),1))-64)*676+(CODE(MID(TRIM('Hybrid Questions'!$D$43),2,1))-64)*26+(CODE(RIGHT(TRIM('Hybrid Questions'!$D$43),1))-64))),0)&gt;0,IFERROR(INDEX(_helpers!$1:$1,1,CHOOSE(LEN(TRIM('Hybrid Questions'!$D$43)),CODE(TRIM('Hybrid Questions'!$D$43))-64,(CODE(LEFT(TRIM('Hybrid Questions'!$D$43),1))-64)*26+(CODE(RIGHT(TRIM('Hybrid Questions'!$D$43),1))-64),(CODE(LEFT(TRIM('Hybrid Questions'!$D$43),1))-64)*676+(CODE(MID(TRIM('Hybrid Questions'!$D$43),2,1))-64)*26+(CODE(RIGHT(TRIM('Hybrid Questions'!$D$43),1))-64))),0)&gt;0.2),"Column '"&amp;'Hybrid Questions'!$D$43&amp;"' has lots of different answers (&gt;20% are unique), which looks more like free text than multiple choice.","")</f>
        <v>0</v>
      </c>
      <c r="F2199" s="4" t="s">
        <v>1810</v>
      </c>
    </row>
    <row r="2200" spans="1:6" ht="75" customHeight="1">
      <c r="A2200" t="s">
        <v>271</v>
      </c>
      <c r="B2200" t="s">
        <v>316</v>
      </c>
      <c r="C2200" t="s">
        <v>1807</v>
      </c>
      <c r="D2200" t="s">
        <v>1808</v>
      </c>
      <c r="E2200" s="4">
        <f>IF(AND('Hybrid Questions'!$D$44&lt;&gt;"",IFERROR(INDEX(_helpers!$2:$2,1,CHOOSE(LEN(TRIM('Hybrid Questions'!$D$44)),CODE(TRIM('Hybrid Questions'!$D$44))-64,(CODE(LEFT(TRIM('Hybrid Questions'!$D$44),1))-64)*26+(CODE(RIGHT(TRIM('Hybrid Questions'!$D$44),1))-64),(CODE(LEFT(TRIM('Hybrid Questions'!$D$44),1))-64)*676+(CODE(MID(TRIM('Hybrid Questions'!$D$44),2,1))-64)*26+(CODE(RIGHT(TRIM('Hybrid Questions'!$D$44),1))-64))),0)&gt;0,IFERROR(INDEX(_helpers!$1:$1,1,CHOOSE(LEN(TRIM('Hybrid Questions'!$D$44)),CODE(TRIM('Hybrid Questions'!$D$44))-64,(CODE(LEFT(TRIM('Hybrid Questions'!$D$44),1))-64)*26+(CODE(RIGHT(TRIM('Hybrid Questions'!$D$44),1))-64),(CODE(LEFT(TRIM('Hybrid Questions'!$D$44),1))-64)*676+(CODE(MID(TRIM('Hybrid Questions'!$D$44),2,1))-64)*26+(CODE(RIGHT(TRIM('Hybrid Questions'!$D$44),1))-64))),0)&gt;0.2),"Column '"&amp;'Hybrid Questions'!$D$44&amp;"' has lots of different answers (&gt;20% are unique), which looks more like free text than multiple choice.","")</f>
        <v>0</v>
      </c>
      <c r="F2200" s="4" t="s">
        <v>1810</v>
      </c>
    </row>
    <row r="2201" spans="1:6" ht="75" customHeight="1">
      <c r="A2201" t="s">
        <v>271</v>
      </c>
      <c r="B2201" t="s">
        <v>317</v>
      </c>
      <c r="C2201" t="s">
        <v>1807</v>
      </c>
      <c r="D2201" t="s">
        <v>1808</v>
      </c>
      <c r="E2201" s="4">
        <f>IF(AND('Hybrid Questions'!$D$45&lt;&gt;"",IFERROR(INDEX(_helpers!$2:$2,1,CHOOSE(LEN(TRIM('Hybrid Questions'!$D$45)),CODE(TRIM('Hybrid Questions'!$D$45))-64,(CODE(LEFT(TRIM('Hybrid Questions'!$D$45),1))-64)*26+(CODE(RIGHT(TRIM('Hybrid Questions'!$D$45),1))-64),(CODE(LEFT(TRIM('Hybrid Questions'!$D$45),1))-64)*676+(CODE(MID(TRIM('Hybrid Questions'!$D$45),2,1))-64)*26+(CODE(RIGHT(TRIM('Hybrid Questions'!$D$45),1))-64))),0)&gt;0,IFERROR(INDEX(_helpers!$1:$1,1,CHOOSE(LEN(TRIM('Hybrid Questions'!$D$45)),CODE(TRIM('Hybrid Questions'!$D$45))-64,(CODE(LEFT(TRIM('Hybrid Questions'!$D$45),1))-64)*26+(CODE(RIGHT(TRIM('Hybrid Questions'!$D$45),1))-64),(CODE(LEFT(TRIM('Hybrid Questions'!$D$45),1))-64)*676+(CODE(MID(TRIM('Hybrid Questions'!$D$45),2,1))-64)*26+(CODE(RIGHT(TRIM('Hybrid Questions'!$D$45),1))-64))),0)&gt;0.2),"Column '"&amp;'Hybrid Questions'!$D$45&amp;"' has lots of different answers (&gt;20% are unique), which looks more like free text than multiple choice.","")</f>
        <v>0</v>
      </c>
      <c r="F2201" s="4" t="s">
        <v>1810</v>
      </c>
    </row>
    <row r="2202" spans="1:6" ht="75" customHeight="1">
      <c r="A2202" t="s">
        <v>271</v>
      </c>
      <c r="B2202" t="s">
        <v>318</v>
      </c>
      <c r="C2202" t="s">
        <v>1807</v>
      </c>
      <c r="D2202" t="s">
        <v>1808</v>
      </c>
      <c r="E2202" s="4">
        <f>IF(AND('Hybrid Questions'!$D$46&lt;&gt;"",IFERROR(INDEX(_helpers!$2:$2,1,CHOOSE(LEN(TRIM('Hybrid Questions'!$D$46)),CODE(TRIM('Hybrid Questions'!$D$46))-64,(CODE(LEFT(TRIM('Hybrid Questions'!$D$46),1))-64)*26+(CODE(RIGHT(TRIM('Hybrid Questions'!$D$46),1))-64),(CODE(LEFT(TRIM('Hybrid Questions'!$D$46),1))-64)*676+(CODE(MID(TRIM('Hybrid Questions'!$D$46),2,1))-64)*26+(CODE(RIGHT(TRIM('Hybrid Questions'!$D$46),1))-64))),0)&gt;0,IFERROR(INDEX(_helpers!$1:$1,1,CHOOSE(LEN(TRIM('Hybrid Questions'!$D$46)),CODE(TRIM('Hybrid Questions'!$D$46))-64,(CODE(LEFT(TRIM('Hybrid Questions'!$D$46),1))-64)*26+(CODE(RIGHT(TRIM('Hybrid Questions'!$D$46),1))-64),(CODE(LEFT(TRIM('Hybrid Questions'!$D$46),1))-64)*676+(CODE(MID(TRIM('Hybrid Questions'!$D$46),2,1))-64)*26+(CODE(RIGHT(TRIM('Hybrid Questions'!$D$46),1))-64))),0)&gt;0.2),"Column '"&amp;'Hybrid Questions'!$D$46&amp;"' has lots of different answers (&gt;20% are unique), which looks more like free text than multiple choice.","")</f>
        <v>0</v>
      </c>
      <c r="F2202" s="4" t="s">
        <v>1810</v>
      </c>
    </row>
    <row r="2203" spans="1:6" ht="75" customHeight="1">
      <c r="A2203" t="s">
        <v>271</v>
      </c>
      <c r="B2203" t="s">
        <v>319</v>
      </c>
      <c r="C2203" t="s">
        <v>1807</v>
      </c>
      <c r="D2203" t="s">
        <v>1808</v>
      </c>
      <c r="E2203" s="4">
        <f>IF(AND('Hybrid Questions'!$D$47&lt;&gt;"",IFERROR(INDEX(_helpers!$2:$2,1,CHOOSE(LEN(TRIM('Hybrid Questions'!$D$47)),CODE(TRIM('Hybrid Questions'!$D$47))-64,(CODE(LEFT(TRIM('Hybrid Questions'!$D$47),1))-64)*26+(CODE(RIGHT(TRIM('Hybrid Questions'!$D$47),1))-64),(CODE(LEFT(TRIM('Hybrid Questions'!$D$47),1))-64)*676+(CODE(MID(TRIM('Hybrid Questions'!$D$47),2,1))-64)*26+(CODE(RIGHT(TRIM('Hybrid Questions'!$D$47),1))-64))),0)&gt;0,IFERROR(INDEX(_helpers!$1:$1,1,CHOOSE(LEN(TRIM('Hybrid Questions'!$D$47)),CODE(TRIM('Hybrid Questions'!$D$47))-64,(CODE(LEFT(TRIM('Hybrid Questions'!$D$47),1))-64)*26+(CODE(RIGHT(TRIM('Hybrid Questions'!$D$47),1))-64),(CODE(LEFT(TRIM('Hybrid Questions'!$D$47),1))-64)*676+(CODE(MID(TRIM('Hybrid Questions'!$D$47),2,1))-64)*26+(CODE(RIGHT(TRIM('Hybrid Questions'!$D$47),1))-64))),0)&gt;0.2),"Column '"&amp;'Hybrid Questions'!$D$47&amp;"' has lots of different answers (&gt;20% are unique), which looks more like free text than multiple choice.","")</f>
        <v>0</v>
      </c>
      <c r="F2203" s="4" t="s">
        <v>1810</v>
      </c>
    </row>
    <row r="2204" spans="1:6" ht="75" customHeight="1">
      <c r="A2204" t="s">
        <v>271</v>
      </c>
      <c r="B2204" t="s">
        <v>320</v>
      </c>
      <c r="C2204" t="s">
        <v>1807</v>
      </c>
      <c r="D2204" t="s">
        <v>1808</v>
      </c>
      <c r="E2204" s="4">
        <f>IF(AND('Hybrid Questions'!$D$48&lt;&gt;"",IFERROR(INDEX(_helpers!$2:$2,1,CHOOSE(LEN(TRIM('Hybrid Questions'!$D$48)),CODE(TRIM('Hybrid Questions'!$D$48))-64,(CODE(LEFT(TRIM('Hybrid Questions'!$D$48),1))-64)*26+(CODE(RIGHT(TRIM('Hybrid Questions'!$D$48),1))-64),(CODE(LEFT(TRIM('Hybrid Questions'!$D$48),1))-64)*676+(CODE(MID(TRIM('Hybrid Questions'!$D$48),2,1))-64)*26+(CODE(RIGHT(TRIM('Hybrid Questions'!$D$48),1))-64))),0)&gt;0,IFERROR(INDEX(_helpers!$1:$1,1,CHOOSE(LEN(TRIM('Hybrid Questions'!$D$48)),CODE(TRIM('Hybrid Questions'!$D$48))-64,(CODE(LEFT(TRIM('Hybrid Questions'!$D$48),1))-64)*26+(CODE(RIGHT(TRIM('Hybrid Questions'!$D$48),1))-64),(CODE(LEFT(TRIM('Hybrid Questions'!$D$48),1))-64)*676+(CODE(MID(TRIM('Hybrid Questions'!$D$48),2,1))-64)*26+(CODE(RIGHT(TRIM('Hybrid Questions'!$D$48),1))-64))),0)&gt;0.2),"Column '"&amp;'Hybrid Questions'!$D$48&amp;"' has lots of different answers (&gt;20% are unique), which looks more like free text than multiple choice.","")</f>
        <v>0</v>
      </c>
      <c r="F2204" s="4" t="s">
        <v>1810</v>
      </c>
    </row>
    <row r="2205" spans="1:6" ht="75" customHeight="1">
      <c r="A2205" t="s">
        <v>271</v>
      </c>
      <c r="B2205" t="s">
        <v>321</v>
      </c>
      <c r="C2205" t="s">
        <v>1807</v>
      </c>
      <c r="D2205" t="s">
        <v>1808</v>
      </c>
      <c r="E2205" s="4">
        <f>IF(AND('Hybrid Questions'!$D$49&lt;&gt;"",IFERROR(INDEX(_helpers!$2:$2,1,CHOOSE(LEN(TRIM('Hybrid Questions'!$D$49)),CODE(TRIM('Hybrid Questions'!$D$49))-64,(CODE(LEFT(TRIM('Hybrid Questions'!$D$49),1))-64)*26+(CODE(RIGHT(TRIM('Hybrid Questions'!$D$49),1))-64),(CODE(LEFT(TRIM('Hybrid Questions'!$D$49),1))-64)*676+(CODE(MID(TRIM('Hybrid Questions'!$D$49),2,1))-64)*26+(CODE(RIGHT(TRIM('Hybrid Questions'!$D$49),1))-64))),0)&gt;0,IFERROR(INDEX(_helpers!$1:$1,1,CHOOSE(LEN(TRIM('Hybrid Questions'!$D$49)),CODE(TRIM('Hybrid Questions'!$D$49))-64,(CODE(LEFT(TRIM('Hybrid Questions'!$D$49),1))-64)*26+(CODE(RIGHT(TRIM('Hybrid Questions'!$D$49),1))-64),(CODE(LEFT(TRIM('Hybrid Questions'!$D$49),1))-64)*676+(CODE(MID(TRIM('Hybrid Questions'!$D$49),2,1))-64)*26+(CODE(RIGHT(TRIM('Hybrid Questions'!$D$49),1))-64))),0)&gt;0.2),"Column '"&amp;'Hybrid Questions'!$D$49&amp;"' has lots of different answers (&gt;20% are unique), which looks more like free text than multiple choice.","")</f>
        <v>0</v>
      </c>
      <c r="F2205" s="4" t="s">
        <v>1810</v>
      </c>
    </row>
    <row r="2206" spans="1:6" ht="75" customHeight="1">
      <c r="A2206" t="s">
        <v>271</v>
      </c>
      <c r="B2206" t="s">
        <v>322</v>
      </c>
      <c r="C2206" t="s">
        <v>1807</v>
      </c>
      <c r="D2206" t="s">
        <v>1808</v>
      </c>
      <c r="E2206" s="4">
        <f>IF(AND('Hybrid Questions'!$D$50&lt;&gt;"",IFERROR(INDEX(_helpers!$2:$2,1,CHOOSE(LEN(TRIM('Hybrid Questions'!$D$50)),CODE(TRIM('Hybrid Questions'!$D$50))-64,(CODE(LEFT(TRIM('Hybrid Questions'!$D$50),1))-64)*26+(CODE(RIGHT(TRIM('Hybrid Questions'!$D$50),1))-64),(CODE(LEFT(TRIM('Hybrid Questions'!$D$50),1))-64)*676+(CODE(MID(TRIM('Hybrid Questions'!$D$50),2,1))-64)*26+(CODE(RIGHT(TRIM('Hybrid Questions'!$D$50),1))-64))),0)&gt;0,IFERROR(INDEX(_helpers!$1:$1,1,CHOOSE(LEN(TRIM('Hybrid Questions'!$D$50)),CODE(TRIM('Hybrid Questions'!$D$50))-64,(CODE(LEFT(TRIM('Hybrid Questions'!$D$50),1))-64)*26+(CODE(RIGHT(TRIM('Hybrid Questions'!$D$50),1))-64),(CODE(LEFT(TRIM('Hybrid Questions'!$D$50),1))-64)*676+(CODE(MID(TRIM('Hybrid Questions'!$D$50),2,1))-64)*26+(CODE(RIGHT(TRIM('Hybrid Questions'!$D$50),1))-64))),0)&gt;0.2),"Column '"&amp;'Hybrid Questions'!$D$50&amp;"' has lots of different answers (&gt;20% are unique), which looks more like free text than multiple choice.","")</f>
        <v>0</v>
      </c>
      <c r="F2206" s="4" t="s">
        <v>1810</v>
      </c>
    </row>
    <row r="2207" spans="1:6" ht="75" customHeight="1">
      <c r="A2207" t="s">
        <v>271</v>
      </c>
      <c r="B2207" t="s">
        <v>323</v>
      </c>
      <c r="C2207" t="s">
        <v>1807</v>
      </c>
      <c r="D2207" t="s">
        <v>1808</v>
      </c>
      <c r="E2207" s="4">
        <f>IF(AND('Hybrid Questions'!$D$51&lt;&gt;"",IFERROR(INDEX(_helpers!$2:$2,1,CHOOSE(LEN(TRIM('Hybrid Questions'!$D$51)),CODE(TRIM('Hybrid Questions'!$D$51))-64,(CODE(LEFT(TRIM('Hybrid Questions'!$D$51),1))-64)*26+(CODE(RIGHT(TRIM('Hybrid Questions'!$D$51),1))-64),(CODE(LEFT(TRIM('Hybrid Questions'!$D$51),1))-64)*676+(CODE(MID(TRIM('Hybrid Questions'!$D$51),2,1))-64)*26+(CODE(RIGHT(TRIM('Hybrid Questions'!$D$51),1))-64))),0)&gt;0,IFERROR(INDEX(_helpers!$1:$1,1,CHOOSE(LEN(TRIM('Hybrid Questions'!$D$51)),CODE(TRIM('Hybrid Questions'!$D$51))-64,(CODE(LEFT(TRIM('Hybrid Questions'!$D$51),1))-64)*26+(CODE(RIGHT(TRIM('Hybrid Questions'!$D$51),1))-64),(CODE(LEFT(TRIM('Hybrid Questions'!$D$51),1))-64)*676+(CODE(MID(TRIM('Hybrid Questions'!$D$51),2,1))-64)*26+(CODE(RIGHT(TRIM('Hybrid Questions'!$D$51),1))-64))),0)&gt;0.2),"Column '"&amp;'Hybrid Questions'!$D$51&amp;"' has lots of different answers (&gt;20% are unique), which looks more like free text than multiple choice.","")</f>
        <v>0</v>
      </c>
      <c r="F2207" s="4" t="s">
        <v>1810</v>
      </c>
    </row>
    <row r="2208" spans="1:6" ht="75" customHeight="1">
      <c r="A2208" t="s">
        <v>216</v>
      </c>
      <c r="B2208" t="s">
        <v>163</v>
      </c>
      <c r="C2208" t="s">
        <v>1811</v>
      </c>
      <c r="D2208" t="s">
        <v>1808</v>
      </c>
      <c r="E2208" s="4">
        <f>IF(AND('Open Questions'!$A$2&lt;&gt;"",(COUNTIF('Open Questions'!$A$2:$A$1001,'Open Questions'!$A$2)+COUNTIF('Multiple Choice Questions'!$A$2:$A$1001,'Open Questions'!$A$2)+COUNTIF('Hybrid Questions'!$A$2:$A$1001,'Open Questions'!$A$2)+COUNTIF('Hybrid Questions'!$D$2:$D$1001,'Open Questions'!$A$2))&gt;1),"Column '"&amp;'Open Questions'!$A$2&amp;"' is already used by another row. Each Excel column should feed only one question.","")</f>
        <v>0</v>
      </c>
      <c r="F2208" s="4" t="s">
        <v>1812</v>
      </c>
    </row>
    <row r="2209" spans="1:6" ht="75" customHeight="1">
      <c r="A2209" t="s">
        <v>216</v>
      </c>
      <c r="B2209" t="s">
        <v>167</v>
      </c>
      <c r="C2209" t="s">
        <v>1811</v>
      </c>
      <c r="D2209" t="s">
        <v>1808</v>
      </c>
      <c r="E2209" s="4">
        <f>IF(AND('Open Questions'!$A$3&lt;&gt;"",(COUNTIF('Open Questions'!$A$2:$A$1001,'Open Questions'!$A$3)+COUNTIF('Multiple Choice Questions'!$A$2:$A$1001,'Open Questions'!$A$3)+COUNTIF('Hybrid Questions'!$A$2:$A$1001,'Open Questions'!$A$3)+COUNTIF('Hybrid Questions'!$D$2:$D$1001,'Open Questions'!$A$3))&gt;1),"Column '"&amp;'Open Questions'!$A$3&amp;"' is already used by another row. Each Excel column should feed only one question.","")</f>
        <v>0</v>
      </c>
      <c r="F2209" s="4" t="s">
        <v>1812</v>
      </c>
    </row>
    <row r="2210" spans="1:6" ht="75" customHeight="1">
      <c r="A2210" t="s">
        <v>216</v>
      </c>
      <c r="B2210" t="s">
        <v>168</v>
      </c>
      <c r="C2210" t="s">
        <v>1811</v>
      </c>
      <c r="D2210" t="s">
        <v>1808</v>
      </c>
      <c r="E2210" s="4">
        <f>IF(AND('Open Questions'!$A$4&lt;&gt;"",(COUNTIF('Open Questions'!$A$2:$A$1001,'Open Questions'!$A$4)+COUNTIF('Multiple Choice Questions'!$A$2:$A$1001,'Open Questions'!$A$4)+COUNTIF('Hybrid Questions'!$A$2:$A$1001,'Open Questions'!$A$4)+COUNTIF('Hybrid Questions'!$D$2:$D$1001,'Open Questions'!$A$4))&gt;1),"Column '"&amp;'Open Questions'!$A$4&amp;"' is already used by another row. Each Excel column should feed only one question.","")</f>
        <v>0</v>
      </c>
      <c r="F2210" s="4" t="s">
        <v>1812</v>
      </c>
    </row>
    <row r="2211" spans="1:6" ht="75" customHeight="1">
      <c r="A2211" t="s">
        <v>216</v>
      </c>
      <c r="B2211" t="s">
        <v>169</v>
      </c>
      <c r="C2211" t="s">
        <v>1811</v>
      </c>
      <c r="D2211" t="s">
        <v>1808</v>
      </c>
      <c r="E2211" s="4">
        <f>IF(AND('Open Questions'!$A$5&lt;&gt;"",(COUNTIF('Open Questions'!$A$2:$A$1001,'Open Questions'!$A$5)+COUNTIF('Multiple Choice Questions'!$A$2:$A$1001,'Open Questions'!$A$5)+COUNTIF('Hybrid Questions'!$A$2:$A$1001,'Open Questions'!$A$5)+COUNTIF('Hybrid Questions'!$D$2:$D$1001,'Open Questions'!$A$5))&gt;1),"Column '"&amp;'Open Questions'!$A$5&amp;"' is already used by another row. Each Excel column should feed only one question.","")</f>
        <v>0</v>
      </c>
      <c r="F2211" s="4" t="s">
        <v>1812</v>
      </c>
    </row>
    <row r="2212" spans="1:6" ht="75" customHeight="1">
      <c r="A2212" t="s">
        <v>216</v>
      </c>
      <c r="B2212" t="s">
        <v>170</v>
      </c>
      <c r="C2212" t="s">
        <v>1811</v>
      </c>
      <c r="D2212" t="s">
        <v>1808</v>
      </c>
      <c r="E2212" s="4">
        <f>IF(AND('Open Questions'!$A$6&lt;&gt;"",(COUNTIF('Open Questions'!$A$2:$A$1001,'Open Questions'!$A$6)+COUNTIF('Multiple Choice Questions'!$A$2:$A$1001,'Open Questions'!$A$6)+COUNTIF('Hybrid Questions'!$A$2:$A$1001,'Open Questions'!$A$6)+COUNTIF('Hybrid Questions'!$D$2:$D$1001,'Open Questions'!$A$6))&gt;1),"Column '"&amp;'Open Questions'!$A$6&amp;"' is already used by another row. Each Excel column should feed only one question.","")</f>
        <v>0</v>
      </c>
      <c r="F2212" s="4" t="s">
        <v>1812</v>
      </c>
    </row>
    <row r="2213" spans="1:6" ht="75" customHeight="1">
      <c r="A2213" t="s">
        <v>216</v>
      </c>
      <c r="B2213" t="s">
        <v>171</v>
      </c>
      <c r="C2213" t="s">
        <v>1811</v>
      </c>
      <c r="D2213" t="s">
        <v>1808</v>
      </c>
      <c r="E2213" s="4">
        <f>IF(AND('Open Questions'!$A$7&lt;&gt;"",(COUNTIF('Open Questions'!$A$2:$A$1001,'Open Questions'!$A$7)+COUNTIF('Multiple Choice Questions'!$A$2:$A$1001,'Open Questions'!$A$7)+COUNTIF('Hybrid Questions'!$A$2:$A$1001,'Open Questions'!$A$7)+COUNTIF('Hybrid Questions'!$D$2:$D$1001,'Open Questions'!$A$7))&gt;1),"Column '"&amp;'Open Questions'!$A$7&amp;"' is already used by another row. Each Excel column should feed only one question.","")</f>
        <v>0</v>
      </c>
      <c r="F2213" s="4" t="s">
        <v>1812</v>
      </c>
    </row>
    <row r="2214" spans="1:6" ht="75" customHeight="1">
      <c r="A2214" t="s">
        <v>216</v>
      </c>
      <c r="B2214" t="s">
        <v>172</v>
      </c>
      <c r="C2214" t="s">
        <v>1811</v>
      </c>
      <c r="D2214" t="s">
        <v>1808</v>
      </c>
      <c r="E2214" s="4">
        <f>IF(AND('Open Questions'!$A$8&lt;&gt;"",(COUNTIF('Open Questions'!$A$2:$A$1001,'Open Questions'!$A$8)+COUNTIF('Multiple Choice Questions'!$A$2:$A$1001,'Open Questions'!$A$8)+COUNTIF('Hybrid Questions'!$A$2:$A$1001,'Open Questions'!$A$8)+COUNTIF('Hybrid Questions'!$D$2:$D$1001,'Open Questions'!$A$8))&gt;1),"Column '"&amp;'Open Questions'!$A$8&amp;"' is already used by another row. Each Excel column should feed only one question.","")</f>
        <v>0</v>
      </c>
      <c r="F2214" s="4" t="s">
        <v>1812</v>
      </c>
    </row>
    <row r="2215" spans="1:6" ht="75" customHeight="1">
      <c r="A2215" t="s">
        <v>216</v>
      </c>
      <c r="B2215" t="s">
        <v>173</v>
      </c>
      <c r="C2215" t="s">
        <v>1811</v>
      </c>
      <c r="D2215" t="s">
        <v>1808</v>
      </c>
      <c r="E2215" s="4">
        <f>IF(AND('Open Questions'!$A$9&lt;&gt;"",(COUNTIF('Open Questions'!$A$2:$A$1001,'Open Questions'!$A$9)+COUNTIF('Multiple Choice Questions'!$A$2:$A$1001,'Open Questions'!$A$9)+COUNTIF('Hybrid Questions'!$A$2:$A$1001,'Open Questions'!$A$9)+COUNTIF('Hybrid Questions'!$D$2:$D$1001,'Open Questions'!$A$9))&gt;1),"Column '"&amp;'Open Questions'!$A$9&amp;"' is already used by another row. Each Excel column should feed only one question.","")</f>
        <v>0</v>
      </c>
      <c r="F2215" s="4" t="s">
        <v>1812</v>
      </c>
    </row>
    <row r="2216" spans="1:6" ht="75" customHeight="1">
      <c r="A2216" t="s">
        <v>216</v>
      </c>
      <c r="B2216" t="s">
        <v>174</v>
      </c>
      <c r="C2216" t="s">
        <v>1811</v>
      </c>
      <c r="D2216" t="s">
        <v>1808</v>
      </c>
      <c r="E2216" s="4">
        <f>IF(AND('Open Questions'!$A$10&lt;&gt;"",(COUNTIF('Open Questions'!$A$2:$A$1001,'Open Questions'!$A$10)+COUNTIF('Multiple Choice Questions'!$A$2:$A$1001,'Open Questions'!$A$10)+COUNTIF('Hybrid Questions'!$A$2:$A$1001,'Open Questions'!$A$10)+COUNTIF('Hybrid Questions'!$D$2:$D$1001,'Open Questions'!$A$10))&gt;1),"Column '"&amp;'Open Questions'!$A$10&amp;"' is already used by another row. Each Excel column should feed only one question.","")</f>
        <v>0</v>
      </c>
      <c r="F2216" s="4" t="s">
        <v>1812</v>
      </c>
    </row>
    <row r="2217" spans="1:6" ht="75" customHeight="1">
      <c r="A2217" t="s">
        <v>216</v>
      </c>
      <c r="B2217" t="s">
        <v>175</v>
      </c>
      <c r="C2217" t="s">
        <v>1811</v>
      </c>
      <c r="D2217" t="s">
        <v>1808</v>
      </c>
      <c r="E2217" s="4">
        <f>IF(AND('Open Questions'!$A$11&lt;&gt;"",(COUNTIF('Open Questions'!$A$2:$A$1001,'Open Questions'!$A$11)+COUNTIF('Multiple Choice Questions'!$A$2:$A$1001,'Open Questions'!$A$11)+COUNTIF('Hybrid Questions'!$A$2:$A$1001,'Open Questions'!$A$11)+COUNTIF('Hybrid Questions'!$D$2:$D$1001,'Open Questions'!$A$11))&gt;1),"Column '"&amp;'Open Questions'!$A$11&amp;"' is already used by another row. Each Excel column should feed only one question.","")</f>
        <v>0</v>
      </c>
      <c r="F2217" s="4" t="s">
        <v>1812</v>
      </c>
    </row>
    <row r="2218" spans="1:6" ht="75" customHeight="1">
      <c r="A2218" t="s">
        <v>216</v>
      </c>
      <c r="B2218" t="s">
        <v>176</v>
      </c>
      <c r="C2218" t="s">
        <v>1811</v>
      </c>
      <c r="D2218" t="s">
        <v>1808</v>
      </c>
      <c r="E2218" s="4">
        <f>IF(AND('Open Questions'!$A$12&lt;&gt;"",(COUNTIF('Open Questions'!$A$2:$A$1001,'Open Questions'!$A$12)+COUNTIF('Multiple Choice Questions'!$A$2:$A$1001,'Open Questions'!$A$12)+COUNTIF('Hybrid Questions'!$A$2:$A$1001,'Open Questions'!$A$12)+COUNTIF('Hybrid Questions'!$D$2:$D$1001,'Open Questions'!$A$12))&gt;1),"Column '"&amp;'Open Questions'!$A$12&amp;"' is already used by another row. Each Excel column should feed only one question.","")</f>
        <v>0</v>
      </c>
      <c r="F2218" s="4" t="s">
        <v>1812</v>
      </c>
    </row>
    <row r="2219" spans="1:6" ht="75" customHeight="1">
      <c r="A2219" t="s">
        <v>216</v>
      </c>
      <c r="B2219" t="s">
        <v>177</v>
      </c>
      <c r="C2219" t="s">
        <v>1811</v>
      </c>
      <c r="D2219" t="s">
        <v>1808</v>
      </c>
      <c r="E2219" s="4">
        <f>IF(AND('Open Questions'!$A$13&lt;&gt;"",(COUNTIF('Open Questions'!$A$2:$A$1001,'Open Questions'!$A$13)+COUNTIF('Multiple Choice Questions'!$A$2:$A$1001,'Open Questions'!$A$13)+COUNTIF('Hybrid Questions'!$A$2:$A$1001,'Open Questions'!$A$13)+COUNTIF('Hybrid Questions'!$D$2:$D$1001,'Open Questions'!$A$13))&gt;1),"Column '"&amp;'Open Questions'!$A$13&amp;"' is already used by another row. Each Excel column should feed only one question.","")</f>
        <v>0</v>
      </c>
      <c r="F2219" s="4" t="s">
        <v>1812</v>
      </c>
    </row>
    <row r="2220" spans="1:6" ht="75" customHeight="1">
      <c r="A2220" t="s">
        <v>216</v>
      </c>
      <c r="B2220" t="s">
        <v>178</v>
      </c>
      <c r="C2220" t="s">
        <v>1811</v>
      </c>
      <c r="D2220" t="s">
        <v>1808</v>
      </c>
      <c r="E2220" s="4">
        <f>IF(AND('Open Questions'!$A$14&lt;&gt;"",(COUNTIF('Open Questions'!$A$2:$A$1001,'Open Questions'!$A$14)+COUNTIF('Multiple Choice Questions'!$A$2:$A$1001,'Open Questions'!$A$14)+COUNTIF('Hybrid Questions'!$A$2:$A$1001,'Open Questions'!$A$14)+COUNTIF('Hybrid Questions'!$D$2:$D$1001,'Open Questions'!$A$14))&gt;1),"Column '"&amp;'Open Questions'!$A$14&amp;"' is already used by another row. Each Excel column should feed only one question.","")</f>
        <v>0</v>
      </c>
      <c r="F2220" s="4" t="s">
        <v>1812</v>
      </c>
    </row>
    <row r="2221" spans="1:6" ht="75" customHeight="1">
      <c r="A2221" t="s">
        <v>216</v>
      </c>
      <c r="B2221" t="s">
        <v>179</v>
      </c>
      <c r="C2221" t="s">
        <v>1811</v>
      </c>
      <c r="D2221" t="s">
        <v>1808</v>
      </c>
      <c r="E2221" s="4">
        <f>IF(AND('Open Questions'!$A$15&lt;&gt;"",(COUNTIF('Open Questions'!$A$2:$A$1001,'Open Questions'!$A$15)+COUNTIF('Multiple Choice Questions'!$A$2:$A$1001,'Open Questions'!$A$15)+COUNTIF('Hybrid Questions'!$A$2:$A$1001,'Open Questions'!$A$15)+COUNTIF('Hybrid Questions'!$D$2:$D$1001,'Open Questions'!$A$15))&gt;1),"Column '"&amp;'Open Questions'!$A$15&amp;"' is already used by another row. Each Excel column should feed only one question.","")</f>
        <v>0</v>
      </c>
      <c r="F2221" s="4" t="s">
        <v>1812</v>
      </c>
    </row>
    <row r="2222" spans="1:6" ht="75" customHeight="1">
      <c r="A2222" t="s">
        <v>216</v>
      </c>
      <c r="B2222" t="s">
        <v>180</v>
      </c>
      <c r="C2222" t="s">
        <v>1811</v>
      </c>
      <c r="D2222" t="s">
        <v>1808</v>
      </c>
      <c r="E2222" s="4">
        <f>IF(AND('Open Questions'!$A$16&lt;&gt;"",(COUNTIF('Open Questions'!$A$2:$A$1001,'Open Questions'!$A$16)+COUNTIF('Multiple Choice Questions'!$A$2:$A$1001,'Open Questions'!$A$16)+COUNTIF('Hybrid Questions'!$A$2:$A$1001,'Open Questions'!$A$16)+COUNTIF('Hybrid Questions'!$D$2:$D$1001,'Open Questions'!$A$16))&gt;1),"Column '"&amp;'Open Questions'!$A$16&amp;"' is already used by another row. Each Excel column should feed only one question.","")</f>
        <v>0</v>
      </c>
      <c r="F2222" s="4" t="s">
        <v>1812</v>
      </c>
    </row>
    <row r="2223" spans="1:6" ht="75" customHeight="1">
      <c r="A2223" t="s">
        <v>216</v>
      </c>
      <c r="B2223" t="s">
        <v>181</v>
      </c>
      <c r="C2223" t="s">
        <v>1811</v>
      </c>
      <c r="D2223" t="s">
        <v>1808</v>
      </c>
      <c r="E2223" s="4">
        <f>IF(AND('Open Questions'!$A$17&lt;&gt;"",(COUNTIF('Open Questions'!$A$2:$A$1001,'Open Questions'!$A$17)+COUNTIF('Multiple Choice Questions'!$A$2:$A$1001,'Open Questions'!$A$17)+COUNTIF('Hybrid Questions'!$A$2:$A$1001,'Open Questions'!$A$17)+COUNTIF('Hybrid Questions'!$D$2:$D$1001,'Open Questions'!$A$17))&gt;1),"Column '"&amp;'Open Questions'!$A$17&amp;"' is already used by another row. Each Excel column should feed only one question.","")</f>
        <v>0</v>
      </c>
      <c r="F2223" s="4" t="s">
        <v>1812</v>
      </c>
    </row>
    <row r="2224" spans="1:6" ht="75" customHeight="1">
      <c r="A2224" t="s">
        <v>216</v>
      </c>
      <c r="B2224" t="s">
        <v>182</v>
      </c>
      <c r="C2224" t="s">
        <v>1811</v>
      </c>
      <c r="D2224" t="s">
        <v>1808</v>
      </c>
      <c r="E2224" s="4">
        <f>IF(AND('Open Questions'!$A$18&lt;&gt;"",(COUNTIF('Open Questions'!$A$2:$A$1001,'Open Questions'!$A$18)+COUNTIF('Multiple Choice Questions'!$A$2:$A$1001,'Open Questions'!$A$18)+COUNTIF('Hybrid Questions'!$A$2:$A$1001,'Open Questions'!$A$18)+COUNTIF('Hybrid Questions'!$D$2:$D$1001,'Open Questions'!$A$18))&gt;1),"Column '"&amp;'Open Questions'!$A$18&amp;"' is already used by another row. Each Excel column should feed only one question.","")</f>
        <v>0</v>
      </c>
      <c r="F2224" s="4" t="s">
        <v>1812</v>
      </c>
    </row>
    <row r="2225" spans="1:6" ht="75" customHeight="1">
      <c r="A2225" t="s">
        <v>216</v>
      </c>
      <c r="B2225" t="s">
        <v>183</v>
      </c>
      <c r="C2225" t="s">
        <v>1811</v>
      </c>
      <c r="D2225" t="s">
        <v>1808</v>
      </c>
      <c r="E2225" s="4">
        <f>IF(AND('Open Questions'!$A$19&lt;&gt;"",(COUNTIF('Open Questions'!$A$2:$A$1001,'Open Questions'!$A$19)+COUNTIF('Multiple Choice Questions'!$A$2:$A$1001,'Open Questions'!$A$19)+COUNTIF('Hybrid Questions'!$A$2:$A$1001,'Open Questions'!$A$19)+COUNTIF('Hybrid Questions'!$D$2:$D$1001,'Open Questions'!$A$19))&gt;1),"Column '"&amp;'Open Questions'!$A$19&amp;"' is already used by another row. Each Excel column should feed only one question.","")</f>
        <v>0</v>
      </c>
      <c r="F2225" s="4" t="s">
        <v>1812</v>
      </c>
    </row>
    <row r="2226" spans="1:6" ht="75" customHeight="1">
      <c r="A2226" t="s">
        <v>216</v>
      </c>
      <c r="B2226" t="s">
        <v>184</v>
      </c>
      <c r="C2226" t="s">
        <v>1811</v>
      </c>
      <c r="D2226" t="s">
        <v>1808</v>
      </c>
      <c r="E2226" s="4">
        <f>IF(AND('Open Questions'!$A$20&lt;&gt;"",(COUNTIF('Open Questions'!$A$2:$A$1001,'Open Questions'!$A$20)+COUNTIF('Multiple Choice Questions'!$A$2:$A$1001,'Open Questions'!$A$20)+COUNTIF('Hybrid Questions'!$A$2:$A$1001,'Open Questions'!$A$20)+COUNTIF('Hybrid Questions'!$D$2:$D$1001,'Open Questions'!$A$20))&gt;1),"Column '"&amp;'Open Questions'!$A$20&amp;"' is already used by another row. Each Excel column should feed only one question.","")</f>
        <v>0</v>
      </c>
      <c r="F2226" s="4" t="s">
        <v>1812</v>
      </c>
    </row>
    <row r="2227" spans="1:6" ht="75" customHeight="1">
      <c r="A2227" t="s">
        <v>216</v>
      </c>
      <c r="B2227" t="s">
        <v>185</v>
      </c>
      <c r="C2227" t="s">
        <v>1811</v>
      </c>
      <c r="D2227" t="s">
        <v>1808</v>
      </c>
      <c r="E2227" s="4">
        <f>IF(AND('Open Questions'!$A$21&lt;&gt;"",(COUNTIF('Open Questions'!$A$2:$A$1001,'Open Questions'!$A$21)+COUNTIF('Multiple Choice Questions'!$A$2:$A$1001,'Open Questions'!$A$21)+COUNTIF('Hybrid Questions'!$A$2:$A$1001,'Open Questions'!$A$21)+COUNTIF('Hybrid Questions'!$D$2:$D$1001,'Open Questions'!$A$21))&gt;1),"Column '"&amp;'Open Questions'!$A$21&amp;"' is already used by another row. Each Excel column should feed only one question.","")</f>
        <v>0</v>
      </c>
      <c r="F2227" s="4" t="s">
        <v>1812</v>
      </c>
    </row>
    <row r="2228" spans="1:6" ht="75" customHeight="1">
      <c r="A2228" t="s">
        <v>216</v>
      </c>
      <c r="B2228" t="s">
        <v>186</v>
      </c>
      <c r="C2228" t="s">
        <v>1811</v>
      </c>
      <c r="D2228" t="s">
        <v>1808</v>
      </c>
      <c r="E2228" s="4">
        <f>IF(AND('Open Questions'!$A$22&lt;&gt;"",(COUNTIF('Open Questions'!$A$2:$A$1001,'Open Questions'!$A$22)+COUNTIF('Multiple Choice Questions'!$A$2:$A$1001,'Open Questions'!$A$22)+COUNTIF('Hybrid Questions'!$A$2:$A$1001,'Open Questions'!$A$22)+COUNTIF('Hybrid Questions'!$D$2:$D$1001,'Open Questions'!$A$22))&gt;1),"Column '"&amp;'Open Questions'!$A$22&amp;"' is already used by another row. Each Excel column should feed only one question.","")</f>
        <v>0</v>
      </c>
      <c r="F2228" s="4" t="s">
        <v>1812</v>
      </c>
    </row>
    <row r="2229" spans="1:6" ht="75" customHeight="1">
      <c r="A2229" t="s">
        <v>216</v>
      </c>
      <c r="B2229" t="s">
        <v>187</v>
      </c>
      <c r="C2229" t="s">
        <v>1811</v>
      </c>
      <c r="D2229" t="s">
        <v>1808</v>
      </c>
      <c r="E2229" s="4">
        <f>IF(AND('Open Questions'!$A$23&lt;&gt;"",(COUNTIF('Open Questions'!$A$2:$A$1001,'Open Questions'!$A$23)+COUNTIF('Multiple Choice Questions'!$A$2:$A$1001,'Open Questions'!$A$23)+COUNTIF('Hybrid Questions'!$A$2:$A$1001,'Open Questions'!$A$23)+COUNTIF('Hybrid Questions'!$D$2:$D$1001,'Open Questions'!$A$23))&gt;1),"Column '"&amp;'Open Questions'!$A$23&amp;"' is already used by another row. Each Excel column should feed only one question.","")</f>
        <v>0</v>
      </c>
      <c r="F2229" s="4" t="s">
        <v>1812</v>
      </c>
    </row>
    <row r="2230" spans="1:6" ht="75" customHeight="1">
      <c r="A2230" t="s">
        <v>216</v>
      </c>
      <c r="B2230" t="s">
        <v>188</v>
      </c>
      <c r="C2230" t="s">
        <v>1811</v>
      </c>
      <c r="D2230" t="s">
        <v>1808</v>
      </c>
      <c r="E2230" s="4">
        <f>IF(AND('Open Questions'!$A$24&lt;&gt;"",(COUNTIF('Open Questions'!$A$2:$A$1001,'Open Questions'!$A$24)+COUNTIF('Multiple Choice Questions'!$A$2:$A$1001,'Open Questions'!$A$24)+COUNTIF('Hybrid Questions'!$A$2:$A$1001,'Open Questions'!$A$24)+COUNTIF('Hybrid Questions'!$D$2:$D$1001,'Open Questions'!$A$24))&gt;1),"Column '"&amp;'Open Questions'!$A$24&amp;"' is already used by another row. Each Excel column should feed only one question.","")</f>
        <v>0</v>
      </c>
      <c r="F2230" s="4" t="s">
        <v>1812</v>
      </c>
    </row>
    <row r="2231" spans="1:6" ht="75" customHeight="1">
      <c r="A2231" t="s">
        <v>216</v>
      </c>
      <c r="B2231" t="s">
        <v>189</v>
      </c>
      <c r="C2231" t="s">
        <v>1811</v>
      </c>
      <c r="D2231" t="s">
        <v>1808</v>
      </c>
      <c r="E2231" s="4">
        <f>IF(AND('Open Questions'!$A$25&lt;&gt;"",(COUNTIF('Open Questions'!$A$2:$A$1001,'Open Questions'!$A$25)+COUNTIF('Multiple Choice Questions'!$A$2:$A$1001,'Open Questions'!$A$25)+COUNTIF('Hybrid Questions'!$A$2:$A$1001,'Open Questions'!$A$25)+COUNTIF('Hybrid Questions'!$D$2:$D$1001,'Open Questions'!$A$25))&gt;1),"Column '"&amp;'Open Questions'!$A$25&amp;"' is already used by another row. Each Excel column should feed only one question.","")</f>
        <v>0</v>
      </c>
      <c r="F2231" s="4" t="s">
        <v>1812</v>
      </c>
    </row>
    <row r="2232" spans="1:6" ht="75" customHeight="1">
      <c r="A2232" t="s">
        <v>216</v>
      </c>
      <c r="B2232" t="s">
        <v>190</v>
      </c>
      <c r="C2232" t="s">
        <v>1811</v>
      </c>
      <c r="D2232" t="s">
        <v>1808</v>
      </c>
      <c r="E2232" s="4">
        <f>IF(AND('Open Questions'!$A$26&lt;&gt;"",(COUNTIF('Open Questions'!$A$2:$A$1001,'Open Questions'!$A$26)+COUNTIF('Multiple Choice Questions'!$A$2:$A$1001,'Open Questions'!$A$26)+COUNTIF('Hybrid Questions'!$A$2:$A$1001,'Open Questions'!$A$26)+COUNTIF('Hybrid Questions'!$D$2:$D$1001,'Open Questions'!$A$26))&gt;1),"Column '"&amp;'Open Questions'!$A$26&amp;"' is already used by another row. Each Excel column should feed only one question.","")</f>
        <v>0</v>
      </c>
      <c r="F2232" s="4" t="s">
        <v>1812</v>
      </c>
    </row>
    <row r="2233" spans="1:6" ht="75" customHeight="1">
      <c r="A2233" t="s">
        <v>216</v>
      </c>
      <c r="B2233" t="s">
        <v>191</v>
      </c>
      <c r="C2233" t="s">
        <v>1811</v>
      </c>
      <c r="D2233" t="s">
        <v>1808</v>
      </c>
      <c r="E2233" s="4">
        <f>IF(AND('Open Questions'!$A$27&lt;&gt;"",(COUNTIF('Open Questions'!$A$2:$A$1001,'Open Questions'!$A$27)+COUNTIF('Multiple Choice Questions'!$A$2:$A$1001,'Open Questions'!$A$27)+COUNTIF('Hybrid Questions'!$A$2:$A$1001,'Open Questions'!$A$27)+COUNTIF('Hybrid Questions'!$D$2:$D$1001,'Open Questions'!$A$27))&gt;1),"Column '"&amp;'Open Questions'!$A$27&amp;"' is already used by another row. Each Excel column should feed only one question.","")</f>
        <v>0</v>
      </c>
      <c r="F2233" s="4" t="s">
        <v>1812</v>
      </c>
    </row>
    <row r="2234" spans="1:6" ht="75" customHeight="1">
      <c r="A2234" t="s">
        <v>216</v>
      </c>
      <c r="B2234" t="s">
        <v>192</v>
      </c>
      <c r="C2234" t="s">
        <v>1811</v>
      </c>
      <c r="D2234" t="s">
        <v>1808</v>
      </c>
      <c r="E2234" s="4">
        <f>IF(AND('Open Questions'!$A$28&lt;&gt;"",(COUNTIF('Open Questions'!$A$2:$A$1001,'Open Questions'!$A$28)+COUNTIF('Multiple Choice Questions'!$A$2:$A$1001,'Open Questions'!$A$28)+COUNTIF('Hybrid Questions'!$A$2:$A$1001,'Open Questions'!$A$28)+COUNTIF('Hybrid Questions'!$D$2:$D$1001,'Open Questions'!$A$28))&gt;1),"Column '"&amp;'Open Questions'!$A$28&amp;"' is already used by another row. Each Excel column should feed only one question.","")</f>
        <v>0</v>
      </c>
      <c r="F2234" s="4" t="s">
        <v>1812</v>
      </c>
    </row>
    <row r="2235" spans="1:6" ht="75" customHeight="1">
      <c r="A2235" t="s">
        <v>216</v>
      </c>
      <c r="B2235" t="s">
        <v>193</v>
      </c>
      <c r="C2235" t="s">
        <v>1811</v>
      </c>
      <c r="D2235" t="s">
        <v>1808</v>
      </c>
      <c r="E2235" s="4">
        <f>IF(AND('Open Questions'!$A$29&lt;&gt;"",(COUNTIF('Open Questions'!$A$2:$A$1001,'Open Questions'!$A$29)+COUNTIF('Multiple Choice Questions'!$A$2:$A$1001,'Open Questions'!$A$29)+COUNTIF('Hybrid Questions'!$A$2:$A$1001,'Open Questions'!$A$29)+COUNTIF('Hybrid Questions'!$D$2:$D$1001,'Open Questions'!$A$29))&gt;1),"Column '"&amp;'Open Questions'!$A$29&amp;"' is already used by another row. Each Excel column should feed only one question.","")</f>
        <v>0</v>
      </c>
      <c r="F2235" s="4" t="s">
        <v>1812</v>
      </c>
    </row>
    <row r="2236" spans="1:6" ht="75" customHeight="1">
      <c r="A2236" t="s">
        <v>216</v>
      </c>
      <c r="B2236" t="s">
        <v>194</v>
      </c>
      <c r="C2236" t="s">
        <v>1811</v>
      </c>
      <c r="D2236" t="s">
        <v>1808</v>
      </c>
      <c r="E2236" s="4">
        <f>IF(AND('Open Questions'!$A$30&lt;&gt;"",(COUNTIF('Open Questions'!$A$2:$A$1001,'Open Questions'!$A$30)+COUNTIF('Multiple Choice Questions'!$A$2:$A$1001,'Open Questions'!$A$30)+COUNTIF('Hybrid Questions'!$A$2:$A$1001,'Open Questions'!$A$30)+COUNTIF('Hybrid Questions'!$D$2:$D$1001,'Open Questions'!$A$30))&gt;1),"Column '"&amp;'Open Questions'!$A$30&amp;"' is already used by another row. Each Excel column should feed only one question.","")</f>
        <v>0</v>
      </c>
      <c r="F2236" s="4" t="s">
        <v>1812</v>
      </c>
    </row>
    <row r="2237" spans="1:6" ht="75" customHeight="1">
      <c r="A2237" t="s">
        <v>216</v>
      </c>
      <c r="B2237" t="s">
        <v>195</v>
      </c>
      <c r="C2237" t="s">
        <v>1811</v>
      </c>
      <c r="D2237" t="s">
        <v>1808</v>
      </c>
      <c r="E2237" s="4">
        <f>IF(AND('Open Questions'!$A$31&lt;&gt;"",(COUNTIF('Open Questions'!$A$2:$A$1001,'Open Questions'!$A$31)+COUNTIF('Multiple Choice Questions'!$A$2:$A$1001,'Open Questions'!$A$31)+COUNTIF('Hybrid Questions'!$A$2:$A$1001,'Open Questions'!$A$31)+COUNTIF('Hybrid Questions'!$D$2:$D$1001,'Open Questions'!$A$31))&gt;1),"Column '"&amp;'Open Questions'!$A$31&amp;"' is already used by another row. Each Excel column should feed only one question.","")</f>
        <v>0</v>
      </c>
      <c r="F2237" s="4" t="s">
        <v>1812</v>
      </c>
    </row>
    <row r="2238" spans="1:6" ht="75" customHeight="1">
      <c r="A2238" t="s">
        <v>216</v>
      </c>
      <c r="B2238" t="s">
        <v>196</v>
      </c>
      <c r="C2238" t="s">
        <v>1811</v>
      </c>
      <c r="D2238" t="s">
        <v>1808</v>
      </c>
      <c r="E2238" s="4">
        <f>IF(AND('Open Questions'!$A$32&lt;&gt;"",(COUNTIF('Open Questions'!$A$2:$A$1001,'Open Questions'!$A$32)+COUNTIF('Multiple Choice Questions'!$A$2:$A$1001,'Open Questions'!$A$32)+COUNTIF('Hybrid Questions'!$A$2:$A$1001,'Open Questions'!$A$32)+COUNTIF('Hybrid Questions'!$D$2:$D$1001,'Open Questions'!$A$32))&gt;1),"Column '"&amp;'Open Questions'!$A$32&amp;"' is already used by another row. Each Excel column should feed only one question.","")</f>
        <v>0</v>
      </c>
      <c r="F2238" s="4" t="s">
        <v>1812</v>
      </c>
    </row>
    <row r="2239" spans="1:6" ht="75" customHeight="1">
      <c r="A2239" t="s">
        <v>216</v>
      </c>
      <c r="B2239" t="s">
        <v>197</v>
      </c>
      <c r="C2239" t="s">
        <v>1811</v>
      </c>
      <c r="D2239" t="s">
        <v>1808</v>
      </c>
      <c r="E2239" s="4">
        <f>IF(AND('Open Questions'!$A$33&lt;&gt;"",(COUNTIF('Open Questions'!$A$2:$A$1001,'Open Questions'!$A$33)+COUNTIF('Multiple Choice Questions'!$A$2:$A$1001,'Open Questions'!$A$33)+COUNTIF('Hybrid Questions'!$A$2:$A$1001,'Open Questions'!$A$33)+COUNTIF('Hybrid Questions'!$D$2:$D$1001,'Open Questions'!$A$33))&gt;1),"Column '"&amp;'Open Questions'!$A$33&amp;"' is already used by another row. Each Excel column should feed only one question.","")</f>
        <v>0</v>
      </c>
      <c r="F2239" s="4" t="s">
        <v>1812</v>
      </c>
    </row>
    <row r="2240" spans="1:6" ht="75" customHeight="1">
      <c r="A2240" t="s">
        <v>216</v>
      </c>
      <c r="B2240" t="s">
        <v>198</v>
      </c>
      <c r="C2240" t="s">
        <v>1811</v>
      </c>
      <c r="D2240" t="s">
        <v>1808</v>
      </c>
      <c r="E2240" s="4">
        <f>IF(AND('Open Questions'!$A$34&lt;&gt;"",(COUNTIF('Open Questions'!$A$2:$A$1001,'Open Questions'!$A$34)+COUNTIF('Multiple Choice Questions'!$A$2:$A$1001,'Open Questions'!$A$34)+COUNTIF('Hybrid Questions'!$A$2:$A$1001,'Open Questions'!$A$34)+COUNTIF('Hybrid Questions'!$D$2:$D$1001,'Open Questions'!$A$34))&gt;1),"Column '"&amp;'Open Questions'!$A$34&amp;"' is already used by another row. Each Excel column should feed only one question.","")</f>
        <v>0</v>
      </c>
      <c r="F2240" s="4" t="s">
        <v>1812</v>
      </c>
    </row>
    <row r="2241" spans="1:6" ht="75" customHeight="1">
      <c r="A2241" t="s">
        <v>216</v>
      </c>
      <c r="B2241" t="s">
        <v>199</v>
      </c>
      <c r="C2241" t="s">
        <v>1811</v>
      </c>
      <c r="D2241" t="s">
        <v>1808</v>
      </c>
      <c r="E2241" s="4">
        <f>IF(AND('Open Questions'!$A$35&lt;&gt;"",(COUNTIF('Open Questions'!$A$2:$A$1001,'Open Questions'!$A$35)+COUNTIF('Multiple Choice Questions'!$A$2:$A$1001,'Open Questions'!$A$35)+COUNTIF('Hybrid Questions'!$A$2:$A$1001,'Open Questions'!$A$35)+COUNTIF('Hybrid Questions'!$D$2:$D$1001,'Open Questions'!$A$35))&gt;1),"Column '"&amp;'Open Questions'!$A$35&amp;"' is already used by another row. Each Excel column should feed only one question.","")</f>
        <v>0</v>
      </c>
      <c r="F2241" s="4" t="s">
        <v>1812</v>
      </c>
    </row>
    <row r="2242" spans="1:6" ht="75" customHeight="1">
      <c r="A2242" t="s">
        <v>216</v>
      </c>
      <c r="B2242" t="s">
        <v>200</v>
      </c>
      <c r="C2242" t="s">
        <v>1811</v>
      </c>
      <c r="D2242" t="s">
        <v>1808</v>
      </c>
      <c r="E2242" s="4">
        <f>IF(AND('Open Questions'!$A$36&lt;&gt;"",(COUNTIF('Open Questions'!$A$2:$A$1001,'Open Questions'!$A$36)+COUNTIF('Multiple Choice Questions'!$A$2:$A$1001,'Open Questions'!$A$36)+COUNTIF('Hybrid Questions'!$A$2:$A$1001,'Open Questions'!$A$36)+COUNTIF('Hybrid Questions'!$D$2:$D$1001,'Open Questions'!$A$36))&gt;1),"Column '"&amp;'Open Questions'!$A$36&amp;"' is already used by another row. Each Excel column should feed only one question.","")</f>
        <v>0</v>
      </c>
      <c r="F2242" s="4" t="s">
        <v>1812</v>
      </c>
    </row>
    <row r="2243" spans="1:6" ht="75" customHeight="1">
      <c r="A2243" t="s">
        <v>216</v>
      </c>
      <c r="B2243" t="s">
        <v>201</v>
      </c>
      <c r="C2243" t="s">
        <v>1811</v>
      </c>
      <c r="D2243" t="s">
        <v>1808</v>
      </c>
      <c r="E2243" s="4">
        <f>IF(AND('Open Questions'!$A$37&lt;&gt;"",(COUNTIF('Open Questions'!$A$2:$A$1001,'Open Questions'!$A$37)+COUNTIF('Multiple Choice Questions'!$A$2:$A$1001,'Open Questions'!$A$37)+COUNTIF('Hybrid Questions'!$A$2:$A$1001,'Open Questions'!$A$37)+COUNTIF('Hybrid Questions'!$D$2:$D$1001,'Open Questions'!$A$37))&gt;1),"Column '"&amp;'Open Questions'!$A$37&amp;"' is already used by another row. Each Excel column should feed only one question.","")</f>
        <v>0</v>
      </c>
      <c r="F2243" s="4" t="s">
        <v>1812</v>
      </c>
    </row>
    <row r="2244" spans="1:6" ht="75" customHeight="1">
      <c r="A2244" t="s">
        <v>216</v>
      </c>
      <c r="B2244" t="s">
        <v>202</v>
      </c>
      <c r="C2244" t="s">
        <v>1811</v>
      </c>
      <c r="D2244" t="s">
        <v>1808</v>
      </c>
      <c r="E2244" s="4">
        <f>IF(AND('Open Questions'!$A$38&lt;&gt;"",(COUNTIF('Open Questions'!$A$2:$A$1001,'Open Questions'!$A$38)+COUNTIF('Multiple Choice Questions'!$A$2:$A$1001,'Open Questions'!$A$38)+COUNTIF('Hybrid Questions'!$A$2:$A$1001,'Open Questions'!$A$38)+COUNTIF('Hybrid Questions'!$D$2:$D$1001,'Open Questions'!$A$38))&gt;1),"Column '"&amp;'Open Questions'!$A$38&amp;"' is already used by another row. Each Excel column should feed only one question.","")</f>
        <v>0</v>
      </c>
      <c r="F2244" s="4" t="s">
        <v>1812</v>
      </c>
    </row>
    <row r="2245" spans="1:6" ht="75" customHeight="1">
      <c r="A2245" t="s">
        <v>216</v>
      </c>
      <c r="B2245" t="s">
        <v>203</v>
      </c>
      <c r="C2245" t="s">
        <v>1811</v>
      </c>
      <c r="D2245" t="s">
        <v>1808</v>
      </c>
      <c r="E2245" s="4">
        <f>IF(AND('Open Questions'!$A$39&lt;&gt;"",(COUNTIF('Open Questions'!$A$2:$A$1001,'Open Questions'!$A$39)+COUNTIF('Multiple Choice Questions'!$A$2:$A$1001,'Open Questions'!$A$39)+COUNTIF('Hybrid Questions'!$A$2:$A$1001,'Open Questions'!$A$39)+COUNTIF('Hybrid Questions'!$D$2:$D$1001,'Open Questions'!$A$39))&gt;1),"Column '"&amp;'Open Questions'!$A$39&amp;"' is already used by another row. Each Excel column should feed only one question.","")</f>
        <v>0</v>
      </c>
      <c r="F2245" s="4" t="s">
        <v>1812</v>
      </c>
    </row>
    <row r="2246" spans="1:6" ht="75" customHeight="1">
      <c r="A2246" t="s">
        <v>216</v>
      </c>
      <c r="B2246" t="s">
        <v>204</v>
      </c>
      <c r="C2246" t="s">
        <v>1811</v>
      </c>
      <c r="D2246" t="s">
        <v>1808</v>
      </c>
      <c r="E2246" s="4">
        <f>IF(AND('Open Questions'!$A$40&lt;&gt;"",(COUNTIF('Open Questions'!$A$2:$A$1001,'Open Questions'!$A$40)+COUNTIF('Multiple Choice Questions'!$A$2:$A$1001,'Open Questions'!$A$40)+COUNTIF('Hybrid Questions'!$A$2:$A$1001,'Open Questions'!$A$40)+COUNTIF('Hybrid Questions'!$D$2:$D$1001,'Open Questions'!$A$40))&gt;1),"Column '"&amp;'Open Questions'!$A$40&amp;"' is already used by another row. Each Excel column should feed only one question.","")</f>
        <v>0</v>
      </c>
      <c r="F2246" s="4" t="s">
        <v>1812</v>
      </c>
    </row>
    <row r="2247" spans="1:6" ht="75" customHeight="1">
      <c r="A2247" t="s">
        <v>216</v>
      </c>
      <c r="B2247" t="s">
        <v>205</v>
      </c>
      <c r="C2247" t="s">
        <v>1811</v>
      </c>
      <c r="D2247" t="s">
        <v>1808</v>
      </c>
      <c r="E2247" s="4">
        <f>IF(AND('Open Questions'!$A$41&lt;&gt;"",(COUNTIF('Open Questions'!$A$2:$A$1001,'Open Questions'!$A$41)+COUNTIF('Multiple Choice Questions'!$A$2:$A$1001,'Open Questions'!$A$41)+COUNTIF('Hybrid Questions'!$A$2:$A$1001,'Open Questions'!$A$41)+COUNTIF('Hybrid Questions'!$D$2:$D$1001,'Open Questions'!$A$41))&gt;1),"Column '"&amp;'Open Questions'!$A$41&amp;"' is already used by another row. Each Excel column should feed only one question.","")</f>
        <v>0</v>
      </c>
      <c r="F2247" s="4" t="s">
        <v>1812</v>
      </c>
    </row>
    <row r="2248" spans="1:6" ht="75" customHeight="1">
      <c r="A2248" t="s">
        <v>216</v>
      </c>
      <c r="B2248" t="s">
        <v>206</v>
      </c>
      <c r="C2248" t="s">
        <v>1811</v>
      </c>
      <c r="D2248" t="s">
        <v>1808</v>
      </c>
      <c r="E2248" s="4">
        <f>IF(AND('Open Questions'!$A$42&lt;&gt;"",(COUNTIF('Open Questions'!$A$2:$A$1001,'Open Questions'!$A$42)+COUNTIF('Multiple Choice Questions'!$A$2:$A$1001,'Open Questions'!$A$42)+COUNTIF('Hybrid Questions'!$A$2:$A$1001,'Open Questions'!$A$42)+COUNTIF('Hybrid Questions'!$D$2:$D$1001,'Open Questions'!$A$42))&gt;1),"Column '"&amp;'Open Questions'!$A$42&amp;"' is already used by another row. Each Excel column should feed only one question.","")</f>
        <v>0</v>
      </c>
      <c r="F2248" s="4" t="s">
        <v>1812</v>
      </c>
    </row>
    <row r="2249" spans="1:6" ht="75" customHeight="1">
      <c r="A2249" t="s">
        <v>216</v>
      </c>
      <c r="B2249" t="s">
        <v>207</v>
      </c>
      <c r="C2249" t="s">
        <v>1811</v>
      </c>
      <c r="D2249" t="s">
        <v>1808</v>
      </c>
      <c r="E2249" s="4">
        <f>IF(AND('Open Questions'!$A$43&lt;&gt;"",(COUNTIF('Open Questions'!$A$2:$A$1001,'Open Questions'!$A$43)+COUNTIF('Multiple Choice Questions'!$A$2:$A$1001,'Open Questions'!$A$43)+COUNTIF('Hybrid Questions'!$A$2:$A$1001,'Open Questions'!$A$43)+COUNTIF('Hybrid Questions'!$D$2:$D$1001,'Open Questions'!$A$43))&gt;1),"Column '"&amp;'Open Questions'!$A$43&amp;"' is already used by another row. Each Excel column should feed only one question.","")</f>
        <v>0</v>
      </c>
      <c r="F2249" s="4" t="s">
        <v>1812</v>
      </c>
    </row>
    <row r="2250" spans="1:6" ht="75" customHeight="1">
      <c r="A2250" t="s">
        <v>216</v>
      </c>
      <c r="B2250" t="s">
        <v>208</v>
      </c>
      <c r="C2250" t="s">
        <v>1811</v>
      </c>
      <c r="D2250" t="s">
        <v>1808</v>
      </c>
      <c r="E2250" s="4">
        <f>IF(AND('Open Questions'!$A$44&lt;&gt;"",(COUNTIF('Open Questions'!$A$2:$A$1001,'Open Questions'!$A$44)+COUNTIF('Multiple Choice Questions'!$A$2:$A$1001,'Open Questions'!$A$44)+COUNTIF('Hybrid Questions'!$A$2:$A$1001,'Open Questions'!$A$44)+COUNTIF('Hybrid Questions'!$D$2:$D$1001,'Open Questions'!$A$44))&gt;1),"Column '"&amp;'Open Questions'!$A$44&amp;"' is already used by another row. Each Excel column should feed only one question.","")</f>
        <v>0</v>
      </c>
      <c r="F2250" s="4" t="s">
        <v>1812</v>
      </c>
    </row>
    <row r="2251" spans="1:6" ht="75" customHeight="1">
      <c r="A2251" t="s">
        <v>216</v>
      </c>
      <c r="B2251" t="s">
        <v>209</v>
      </c>
      <c r="C2251" t="s">
        <v>1811</v>
      </c>
      <c r="D2251" t="s">
        <v>1808</v>
      </c>
      <c r="E2251" s="4">
        <f>IF(AND('Open Questions'!$A$45&lt;&gt;"",(COUNTIF('Open Questions'!$A$2:$A$1001,'Open Questions'!$A$45)+COUNTIF('Multiple Choice Questions'!$A$2:$A$1001,'Open Questions'!$A$45)+COUNTIF('Hybrid Questions'!$A$2:$A$1001,'Open Questions'!$A$45)+COUNTIF('Hybrid Questions'!$D$2:$D$1001,'Open Questions'!$A$45))&gt;1),"Column '"&amp;'Open Questions'!$A$45&amp;"' is already used by another row. Each Excel column should feed only one question.","")</f>
        <v>0</v>
      </c>
      <c r="F2251" s="4" t="s">
        <v>1812</v>
      </c>
    </row>
    <row r="2252" spans="1:6" ht="75" customHeight="1">
      <c r="A2252" t="s">
        <v>216</v>
      </c>
      <c r="B2252" t="s">
        <v>210</v>
      </c>
      <c r="C2252" t="s">
        <v>1811</v>
      </c>
      <c r="D2252" t="s">
        <v>1808</v>
      </c>
      <c r="E2252" s="4">
        <f>IF(AND('Open Questions'!$A$46&lt;&gt;"",(COUNTIF('Open Questions'!$A$2:$A$1001,'Open Questions'!$A$46)+COUNTIF('Multiple Choice Questions'!$A$2:$A$1001,'Open Questions'!$A$46)+COUNTIF('Hybrid Questions'!$A$2:$A$1001,'Open Questions'!$A$46)+COUNTIF('Hybrid Questions'!$D$2:$D$1001,'Open Questions'!$A$46))&gt;1),"Column '"&amp;'Open Questions'!$A$46&amp;"' is already used by another row. Each Excel column should feed only one question.","")</f>
        <v>0</v>
      </c>
      <c r="F2252" s="4" t="s">
        <v>1812</v>
      </c>
    </row>
    <row r="2253" spans="1:6" ht="75" customHeight="1">
      <c r="A2253" t="s">
        <v>216</v>
      </c>
      <c r="B2253" t="s">
        <v>211</v>
      </c>
      <c r="C2253" t="s">
        <v>1811</v>
      </c>
      <c r="D2253" t="s">
        <v>1808</v>
      </c>
      <c r="E2253" s="4">
        <f>IF(AND('Open Questions'!$A$47&lt;&gt;"",(COUNTIF('Open Questions'!$A$2:$A$1001,'Open Questions'!$A$47)+COUNTIF('Multiple Choice Questions'!$A$2:$A$1001,'Open Questions'!$A$47)+COUNTIF('Hybrid Questions'!$A$2:$A$1001,'Open Questions'!$A$47)+COUNTIF('Hybrid Questions'!$D$2:$D$1001,'Open Questions'!$A$47))&gt;1),"Column '"&amp;'Open Questions'!$A$47&amp;"' is already used by another row. Each Excel column should feed only one question.","")</f>
        <v>0</v>
      </c>
      <c r="F2253" s="4" t="s">
        <v>1812</v>
      </c>
    </row>
    <row r="2254" spans="1:6" ht="75" customHeight="1">
      <c r="A2254" t="s">
        <v>216</v>
      </c>
      <c r="B2254" t="s">
        <v>212</v>
      </c>
      <c r="C2254" t="s">
        <v>1811</v>
      </c>
      <c r="D2254" t="s">
        <v>1808</v>
      </c>
      <c r="E2254" s="4">
        <f>IF(AND('Open Questions'!$A$48&lt;&gt;"",(COUNTIF('Open Questions'!$A$2:$A$1001,'Open Questions'!$A$48)+COUNTIF('Multiple Choice Questions'!$A$2:$A$1001,'Open Questions'!$A$48)+COUNTIF('Hybrid Questions'!$A$2:$A$1001,'Open Questions'!$A$48)+COUNTIF('Hybrid Questions'!$D$2:$D$1001,'Open Questions'!$A$48))&gt;1),"Column '"&amp;'Open Questions'!$A$48&amp;"' is already used by another row. Each Excel column should feed only one question.","")</f>
        <v>0</v>
      </c>
      <c r="F2254" s="4" t="s">
        <v>1812</v>
      </c>
    </row>
    <row r="2255" spans="1:6" ht="75" customHeight="1">
      <c r="A2255" t="s">
        <v>216</v>
      </c>
      <c r="B2255" t="s">
        <v>213</v>
      </c>
      <c r="C2255" t="s">
        <v>1811</v>
      </c>
      <c r="D2255" t="s">
        <v>1808</v>
      </c>
      <c r="E2255" s="4">
        <f>IF(AND('Open Questions'!$A$49&lt;&gt;"",(COUNTIF('Open Questions'!$A$2:$A$1001,'Open Questions'!$A$49)+COUNTIF('Multiple Choice Questions'!$A$2:$A$1001,'Open Questions'!$A$49)+COUNTIF('Hybrid Questions'!$A$2:$A$1001,'Open Questions'!$A$49)+COUNTIF('Hybrid Questions'!$D$2:$D$1001,'Open Questions'!$A$49))&gt;1),"Column '"&amp;'Open Questions'!$A$49&amp;"' is already used by another row. Each Excel column should feed only one question.","")</f>
        <v>0</v>
      </c>
      <c r="F2255" s="4" t="s">
        <v>1812</v>
      </c>
    </row>
    <row r="2256" spans="1:6" ht="75" customHeight="1">
      <c r="A2256" t="s">
        <v>216</v>
      </c>
      <c r="B2256" t="s">
        <v>214</v>
      </c>
      <c r="C2256" t="s">
        <v>1811</v>
      </c>
      <c r="D2256" t="s">
        <v>1808</v>
      </c>
      <c r="E2256" s="4">
        <f>IF(AND('Open Questions'!$A$50&lt;&gt;"",(COUNTIF('Open Questions'!$A$2:$A$1001,'Open Questions'!$A$50)+COUNTIF('Multiple Choice Questions'!$A$2:$A$1001,'Open Questions'!$A$50)+COUNTIF('Hybrid Questions'!$A$2:$A$1001,'Open Questions'!$A$50)+COUNTIF('Hybrid Questions'!$D$2:$D$1001,'Open Questions'!$A$50))&gt;1),"Column '"&amp;'Open Questions'!$A$50&amp;"' is already used by another row. Each Excel column should feed only one question.","")</f>
        <v>0</v>
      </c>
      <c r="F2256" s="4" t="s">
        <v>1812</v>
      </c>
    </row>
    <row r="2257" spans="1:6" ht="75" customHeight="1">
      <c r="A2257" t="s">
        <v>216</v>
      </c>
      <c r="B2257" t="s">
        <v>215</v>
      </c>
      <c r="C2257" t="s">
        <v>1811</v>
      </c>
      <c r="D2257" t="s">
        <v>1808</v>
      </c>
      <c r="E2257" s="4">
        <f>IF(AND('Open Questions'!$A$51&lt;&gt;"",(COUNTIF('Open Questions'!$A$2:$A$1001,'Open Questions'!$A$51)+COUNTIF('Multiple Choice Questions'!$A$2:$A$1001,'Open Questions'!$A$51)+COUNTIF('Hybrid Questions'!$A$2:$A$1001,'Open Questions'!$A$51)+COUNTIF('Hybrid Questions'!$D$2:$D$1001,'Open Questions'!$A$51))&gt;1),"Column '"&amp;'Open Questions'!$A$51&amp;"' is already used by another row. Each Excel column should feed only one question.","")</f>
        <v>0</v>
      </c>
      <c r="F2257" s="4" t="s">
        <v>1812</v>
      </c>
    </row>
    <row r="2258" spans="1:6" ht="75" customHeight="1">
      <c r="A2258" t="s">
        <v>218</v>
      </c>
      <c r="B2258" t="s">
        <v>163</v>
      </c>
      <c r="C2258" t="s">
        <v>1811</v>
      </c>
      <c r="D2258" t="s">
        <v>1808</v>
      </c>
      <c r="E2258" s="4">
        <f>IF(AND('Multiple Choice Questions'!$A$2&lt;&gt;"",(COUNTIF('Open Questions'!$A$2:$A$1001,'Multiple Choice Questions'!$A$2)+COUNTIF('Multiple Choice Questions'!$A$2:$A$1001,'Multiple Choice Questions'!$A$2)+COUNTIF('Hybrid Questions'!$A$2:$A$1001,'Multiple Choice Questions'!$A$2)+COUNTIF('Hybrid Questions'!$D$2:$D$1001,'Multiple Choice Questions'!$A$2))&gt;1),"Column '"&amp;'Multiple Choice Questions'!$A$2&amp;"' is already used by another row. Each Excel column should feed only one question.","")</f>
        <v>0</v>
      </c>
      <c r="F2258" s="4" t="s">
        <v>1812</v>
      </c>
    </row>
    <row r="2259" spans="1:6" ht="75" customHeight="1">
      <c r="A2259" t="s">
        <v>218</v>
      </c>
      <c r="B2259" t="s">
        <v>167</v>
      </c>
      <c r="C2259" t="s">
        <v>1811</v>
      </c>
      <c r="D2259" t="s">
        <v>1808</v>
      </c>
      <c r="E2259" s="4">
        <f>IF(AND('Multiple Choice Questions'!$A$3&lt;&gt;"",(COUNTIF('Open Questions'!$A$2:$A$1001,'Multiple Choice Questions'!$A$3)+COUNTIF('Multiple Choice Questions'!$A$2:$A$1001,'Multiple Choice Questions'!$A$3)+COUNTIF('Hybrid Questions'!$A$2:$A$1001,'Multiple Choice Questions'!$A$3)+COUNTIF('Hybrid Questions'!$D$2:$D$1001,'Multiple Choice Questions'!$A$3))&gt;1),"Column '"&amp;'Multiple Choice Questions'!$A$3&amp;"' is already used by another row. Each Excel column should feed only one question.","")</f>
        <v>0</v>
      </c>
      <c r="F2259" s="4" t="s">
        <v>1812</v>
      </c>
    </row>
    <row r="2260" spans="1:6" ht="75" customHeight="1">
      <c r="A2260" t="s">
        <v>218</v>
      </c>
      <c r="B2260" t="s">
        <v>168</v>
      </c>
      <c r="C2260" t="s">
        <v>1811</v>
      </c>
      <c r="D2260" t="s">
        <v>1808</v>
      </c>
      <c r="E2260" s="4">
        <f>IF(AND('Multiple Choice Questions'!$A$4&lt;&gt;"",(COUNTIF('Open Questions'!$A$2:$A$1001,'Multiple Choice Questions'!$A$4)+COUNTIF('Multiple Choice Questions'!$A$2:$A$1001,'Multiple Choice Questions'!$A$4)+COUNTIF('Hybrid Questions'!$A$2:$A$1001,'Multiple Choice Questions'!$A$4)+COUNTIF('Hybrid Questions'!$D$2:$D$1001,'Multiple Choice Questions'!$A$4))&gt;1),"Column '"&amp;'Multiple Choice Questions'!$A$4&amp;"' is already used by another row. Each Excel column should feed only one question.","")</f>
        <v>0</v>
      </c>
      <c r="F2260" s="4" t="s">
        <v>1812</v>
      </c>
    </row>
    <row r="2261" spans="1:6" ht="75" customHeight="1">
      <c r="A2261" t="s">
        <v>218</v>
      </c>
      <c r="B2261" t="s">
        <v>169</v>
      </c>
      <c r="C2261" t="s">
        <v>1811</v>
      </c>
      <c r="D2261" t="s">
        <v>1808</v>
      </c>
      <c r="E2261" s="4">
        <f>IF(AND('Multiple Choice Questions'!$A$5&lt;&gt;"",(COUNTIF('Open Questions'!$A$2:$A$1001,'Multiple Choice Questions'!$A$5)+COUNTIF('Multiple Choice Questions'!$A$2:$A$1001,'Multiple Choice Questions'!$A$5)+COUNTIF('Hybrid Questions'!$A$2:$A$1001,'Multiple Choice Questions'!$A$5)+COUNTIF('Hybrid Questions'!$D$2:$D$1001,'Multiple Choice Questions'!$A$5))&gt;1),"Column '"&amp;'Multiple Choice Questions'!$A$5&amp;"' is already used by another row. Each Excel column should feed only one question.","")</f>
        <v>0</v>
      </c>
      <c r="F2261" s="4" t="s">
        <v>1812</v>
      </c>
    </row>
    <row r="2262" spans="1:6" ht="75" customHeight="1">
      <c r="A2262" t="s">
        <v>218</v>
      </c>
      <c r="B2262" t="s">
        <v>170</v>
      </c>
      <c r="C2262" t="s">
        <v>1811</v>
      </c>
      <c r="D2262" t="s">
        <v>1808</v>
      </c>
      <c r="E2262" s="4">
        <f>IF(AND('Multiple Choice Questions'!$A$6&lt;&gt;"",(COUNTIF('Open Questions'!$A$2:$A$1001,'Multiple Choice Questions'!$A$6)+COUNTIF('Multiple Choice Questions'!$A$2:$A$1001,'Multiple Choice Questions'!$A$6)+COUNTIF('Hybrid Questions'!$A$2:$A$1001,'Multiple Choice Questions'!$A$6)+COUNTIF('Hybrid Questions'!$D$2:$D$1001,'Multiple Choice Questions'!$A$6))&gt;1),"Column '"&amp;'Multiple Choice Questions'!$A$6&amp;"' is already used by another row. Each Excel column should feed only one question.","")</f>
        <v>0</v>
      </c>
      <c r="F2262" s="4" t="s">
        <v>1812</v>
      </c>
    </row>
    <row r="2263" spans="1:6" ht="75" customHeight="1">
      <c r="A2263" t="s">
        <v>218</v>
      </c>
      <c r="B2263" t="s">
        <v>171</v>
      </c>
      <c r="C2263" t="s">
        <v>1811</v>
      </c>
      <c r="D2263" t="s">
        <v>1808</v>
      </c>
      <c r="E2263" s="4">
        <f>IF(AND('Multiple Choice Questions'!$A$7&lt;&gt;"",(COUNTIF('Open Questions'!$A$2:$A$1001,'Multiple Choice Questions'!$A$7)+COUNTIF('Multiple Choice Questions'!$A$2:$A$1001,'Multiple Choice Questions'!$A$7)+COUNTIF('Hybrid Questions'!$A$2:$A$1001,'Multiple Choice Questions'!$A$7)+COUNTIF('Hybrid Questions'!$D$2:$D$1001,'Multiple Choice Questions'!$A$7))&gt;1),"Column '"&amp;'Multiple Choice Questions'!$A$7&amp;"' is already used by another row. Each Excel column should feed only one question.","")</f>
        <v>0</v>
      </c>
      <c r="F2263" s="4" t="s">
        <v>1812</v>
      </c>
    </row>
    <row r="2264" spans="1:6" ht="75" customHeight="1">
      <c r="A2264" t="s">
        <v>218</v>
      </c>
      <c r="B2264" t="s">
        <v>172</v>
      </c>
      <c r="C2264" t="s">
        <v>1811</v>
      </c>
      <c r="D2264" t="s">
        <v>1808</v>
      </c>
      <c r="E2264" s="4">
        <f>IF(AND('Multiple Choice Questions'!$A$8&lt;&gt;"",(COUNTIF('Open Questions'!$A$2:$A$1001,'Multiple Choice Questions'!$A$8)+COUNTIF('Multiple Choice Questions'!$A$2:$A$1001,'Multiple Choice Questions'!$A$8)+COUNTIF('Hybrid Questions'!$A$2:$A$1001,'Multiple Choice Questions'!$A$8)+COUNTIF('Hybrid Questions'!$D$2:$D$1001,'Multiple Choice Questions'!$A$8))&gt;1),"Column '"&amp;'Multiple Choice Questions'!$A$8&amp;"' is already used by another row. Each Excel column should feed only one question.","")</f>
        <v>0</v>
      </c>
      <c r="F2264" s="4" t="s">
        <v>1812</v>
      </c>
    </row>
    <row r="2265" spans="1:6" ht="75" customHeight="1">
      <c r="A2265" t="s">
        <v>218</v>
      </c>
      <c r="B2265" t="s">
        <v>173</v>
      </c>
      <c r="C2265" t="s">
        <v>1811</v>
      </c>
      <c r="D2265" t="s">
        <v>1808</v>
      </c>
      <c r="E2265" s="4">
        <f>IF(AND('Multiple Choice Questions'!$A$9&lt;&gt;"",(COUNTIF('Open Questions'!$A$2:$A$1001,'Multiple Choice Questions'!$A$9)+COUNTIF('Multiple Choice Questions'!$A$2:$A$1001,'Multiple Choice Questions'!$A$9)+COUNTIF('Hybrid Questions'!$A$2:$A$1001,'Multiple Choice Questions'!$A$9)+COUNTIF('Hybrid Questions'!$D$2:$D$1001,'Multiple Choice Questions'!$A$9))&gt;1),"Column '"&amp;'Multiple Choice Questions'!$A$9&amp;"' is already used by another row. Each Excel column should feed only one question.","")</f>
        <v>0</v>
      </c>
      <c r="F2265" s="4" t="s">
        <v>1812</v>
      </c>
    </row>
    <row r="2266" spans="1:6" ht="75" customHeight="1">
      <c r="A2266" t="s">
        <v>218</v>
      </c>
      <c r="B2266" t="s">
        <v>174</v>
      </c>
      <c r="C2266" t="s">
        <v>1811</v>
      </c>
      <c r="D2266" t="s">
        <v>1808</v>
      </c>
      <c r="E2266" s="4">
        <f>IF(AND('Multiple Choice Questions'!$A$10&lt;&gt;"",(COUNTIF('Open Questions'!$A$2:$A$1001,'Multiple Choice Questions'!$A$10)+COUNTIF('Multiple Choice Questions'!$A$2:$A$1001,'Multiple Choice Questions'!$A$10)+COUNTIF('Hybrid Questions'!$A$2:$A$1001,'Multiple Choice Questions'!$A$10)+COUNTIF('Hybrid Questions'!$D$2:$D$1001,'Multiple Choice Questions'!$A$10))&gt;1),"Column '"&amp;'Multiple Choice Questions'!$A$10&amp;"' is already used by another row. Each Excel column should feed only one question.","")</f>
        <v>0</v>
      </c>
      <c r="F2266" s="4" t="s">
        <v>1812</v>
      </c>
    </row>
    <row r="2267" spans="1:6" ht="75" customHeight="1">
      <c r="A2267" t="s">
        <v>218</v>
      </c>
      <c r="B2267" t="s">
        <v>175</v>
      </c>
      <c r="C2267" t="s">
        <v>1811</v>
      </c>
      <c r="D2267" t="s">
        <v>1808</v>
      </c>
      <c r="E2267" s="4">
        <f>IF(AND('Multiple Choice Questions'!$A$11&lt;&gt;"",(COUNTIF('Open Questions'!$A$2:$A$1001,'Multiple Choice Questions'!$A$11)+COUNTIF('Multiple Choice Questions'!$A$2:$A$1001,'Multiple Choice Questions'!$A$11)+COUNTIF('Hybrid Questions'!$A$2:$A$1001,'Multiple Choice Questions'!$A$11)+COUNTIF('Hybrid Questions'!$D$2:$D$1001,'Multiple Choice Questions'!$A$11))&gt;1),"Column '"&amp;'Multiple Choice Questions'!$A$11&amp;"' is already used by another row. Each Excel column should feed only one question.","")</f>
        <v>0</v>
      </c>
      <c r="F2267" s="4" t="s">
        <v>1812</v>
      </c>
    </row>
    <row r="2268" spans="1:6" ht="75" customHeight="1">
      <c r="A2268" t="s">
        <v>218</v>
      </c>
      <c r="B2268" t="s">
        <v>176</v>
      </c>
      <c r="C2268" t="s">
        <v>1811</v>
      </c>
      <c r="D2268" t="s">
        <v>1808</v>
      </c>
      <c r="E2268" s="4">
        <f>IF(AND('Multiple Choice Questions'!$A$12&lt;&gt;"",(COUNTIF('Open Questions'!$A$2:$A$1001,'Multiple Choice Questions'!$A$12)+COUNTIF('Multiple Choice Questions'!$A$2:$A$1001,'Multiple Choice Questions'!$A$12)+COUNTIF('Hybrid Questions'!$A$2:$A$1001,'Multiple Choice Questions'!$A$12)+COUNTIF('Hybrid Questions'!$D$2:$D$1001,'Multiple Choice Questions'!$A$12))&gt;1),"Column '"&amp;'Multiple Choice Questions'!$A$12&amp;"' is already used by another row. Each Excel column should feed only one question.","")</f>
        <v>0</v>
      </c>
      <c r="F2268" s="4" t="s">
        <v>1812</v>
      </c>
    </row>
    <row r="2269" spans="1:6" ht="75" customHeight="1">
      <c r="A2269" t="s">
        <v>218</v>
      </c>
      <c r="B2269" t="s">
        <v>177</v>
      </c>
      <c r="C2269" t="s">
        <v>1811</v>
      </c>
      <c r="D2269" t="s">
        <v>1808</v>
      </c>
      <c r="E2269" s="4">
        <f>IF(AND('Multiple Choice Questions'!$A$13&lt;&gt;"",(COUNTIF('Open Questions'!$A$2:$A$1001,'Multiple Choice Questions'!$A$13)+COUNTIF('Multiple Choice Questions'!$A$2:$A$1001,'Multiple Choice Questions'!$A$13)+COUNTIF('Hybrid Questions'!$A$2:$A$1001,'Multiple Choice Questions'!$A$13)+COUNTIF('Hybrid Questions'!$D$2:$D$1001,'Multiple Choice Questions'!$A$13))&gt;1),"Column '"&amp;'Multiple Choice Questions'!$A$13&amp;"' is already used by another row. Each Excel column should feed only one question.","")</f>
        <v>0</v>
      </c>
      <c r="F2269" s="4" t="s">
        <v>1812</v>
      </c>
    </row>
    <row r="2270" spans="1:6" ht="75" customHeight="1">
      <c r="A2270" t="s">
        <v>218</v>
      </c>
      <c r="B2270" t="s">
        <v>178</v>
      </c>
      <c r="C2270" t="s">
        <v>1811</v>
      </c>
      <c r="D2270" t="s">
        <v>1808</v>
      </c>
      <c r="E2270" s="4">
        <f>IF(AND('Multiple Choice Questions'!$A$14&lt;&gt;"",(COUNTIF('Open Questions'!$A$2:$A$1001,'Multiple Choice Questions'!$A$14)+COUNTIF('Multiple Choice Questions'!$A$2:$A$1001,'Multiple Choice Questions'!$A$14)+COUNTIF('Hybrid Questions'!$A$2:$A$1001,'Multiple Choice Questions'!$A$14)+COUNTIF('Hybrid Questions'!$D$2:$D$1001,'Multiple Choice Questions'!$A$14))&gt;1),"Column '"&amp;'Multiple Choice Questions'!$A$14&amp;"' is already used by another row. Each Excel column should feed only one question.","")</f>
        <v>0</v>
      </c>
      <c r="F2270" s="4" t="s">
        <v>1812</v>
      </c>
    </row>
    <row r="2271" spans="1:6" ht="75" customHeight="1">
      <c r="A2271" t="s">
        <v>218</v>
      </c>
      <c r="B2271" t="s">
        <v>179</v>
      </c>
      <c r="C2271" t="s">
        <v>1811</v>
      </c>
      <c r="D2271" t="s">
        <v>1808</v>
      </c>
      <c r="E2271" s="4">
        <f>IF(AND('Multiple Choice Questions'!$A$15&lt;&gt;"",(COUNTIF('Open Questions'!$A$2:$A$1001,'Multiple Choice Questions'!$A$15)+COUNTIF('Multiple Choice Questions'!$A$2:$A$1001,'Multiple Choice Questions'!$A$15)+COUNTIF('Hybrid Questions'!$A$2:$A$1001,'Multiple Choice Questions'!$A$15)+COUNTIF('Hybrid Questions'!$D$2:$D$1001,'Multiple Choice Questions'!$A$15))&gt;1),"Column '"&amp;'Multiple Choice Questions'!$A$15&amp;"' is already used by another row. Each Excel column should feed only one question.","")</f>
        <v>0</v>
      </c>
      <c r="F2271" s="4" t="s">
        <v>1812</v>
      </c>
    </row>
    <row r="2272" spans="1:6" ht="75" customHeight="1">
      <c r="A2272" t="s">
        <v>218</v>
      </c>
      <c r="B2272" t="s">
        <v>180</v>
      </c>
      <c r="C2272" t="s">
        <v>1811</v>
      </c>
      <c r="D2272" t="s">
        <v>1808</v>
      </c>
      <c r="E2272" s="4">
        <f>IF(AND('Multiple Choice Questions'!$A$16&lt;&gt;"",(COUNTIF('Open Questions'!$A$2:$A$1001,'Multiple Choice Questions'!$A$16)+COUNTIF('Multiple Choice Questions'!$A$2:$A$1001,'Multiple Choice Questions'!$A$16)+COUNTIF('Hybrid Questions'!$A$2:$A$1001,'Multiple Choice Questions'!$A$16)+COUNTIF('Hybrid Questions'!$D$2:$D$1001,'Multiple Choice Questions'!$A$16))&gt;1),"Column '"&amp;'Multiple Choice Questions'!$A$16&amp;"' is already used by another row. Each Excel column should feed only one question.","")</f>
        <v>0</v>
      </c>
      <c r="F2272" s="4" t="s">
        <v>1812</v>
      </c>
    </row>
    <row r="2273" spans="1:6" ht="75" customHeight="1">
      <c r="A2273" t="s">
        <v>218</v>
      </c>
      <c r="B2273" t="s">
        <v>181</v>
      </c>
      <c r="C2273" t="s">
        <v>1811</v>
      </c>
      <c r="D2273" t="s">
        <v>1808</v>
      </c>
      <c r="E2273" s="4">
        <f>IF(AND('Multiple Choice Questions'!$A$17&lt;&gt;"",(COUNTIF('Open Questions'!$A$2:$A$1001,'Multiple Choice Questions'!$A$17)+COUNTIF('Multiple Choice Questions'!$A$2:$A$1001,'Multiple Choice Questions'!$A$17)+COUNTIF('Hybrid Questions'!$A$2:$A$1001,'Multiple Choice Questions'!$A$17)+COUNTIF('Hybrid Questions'!$D$2:$D$1001,'Multiple Choice Questions'!$A$17))&gt;1),"Column '"&amp;'Multiple Choice Questions'!$A$17&amp;"' is already used by another row. Each Excel column should feed only one question.","")</f>
        <v>0</v>
      </c>
      <c r="F2273" s="4" t="s">
        <v>1812</v>
      </c>
    </row>
    <row r="2274" spans="1:6" ht="75" customHeight="1">
      <c r="A2274" t="s">
        <v>218</v>
      </c>
      <c r="B2274" t="s">
        <v>182</v>
      </c>
      <c r="C2274" t="s">
        <v>1811</v>
      </c>
      <c r="D2274" t="s">
        <v>1808</v>
      </c>
      <c r="E2274" s="4">
        <f>IF(AND('Multiple Choice Questions'!$A$18&lt;&gt;"",(COUNTIF('Open Questions'!$A$2:$A$1001,'Multiple Choice Questions'!$A$18)+COUNTIF('Multiple Choice Questions'!$A$2:$A$1001,'Multiple Choice Questions'!$A$18)+COUNTIF('Hybrid Questions'!$A$2:$A$1001,'Multiple Choice Questions'!$A$18)+COUNTIF('Hybrid Questions'!$D$2:$D$1001,'Multiple Choice Questions'!$A$18))&gt;1),"Column '"&amp;'Multiple Choice Questions'!$A$18&amp;"' is already used by another row. Each Excel column should feed only one question.","")</f>
        <v>0</v>
      </c>
      <c r="F2274" s="4" t="s">
        <v>1812</v>
      </c>
    </row>
    <row r="2275" spans="1:6" ht="75" customHeight="1">
      <c r="A2275" t="s">
        <v>218</v>
      </c>
      <c r="B2275" t="s">
        <v>183</v>
      </c>
      <c r="C2275" t="s">
        <v>1811</v>
      </c>
      <c r="D2275" t="s">
        <v>1808</v>
      </c>
      <c r="E2275" s="4">
        <f>IF(AND('Multiple Choice Questions'!$A$19&lt;&gt;"",(COUNTIF('Open Questions'!$A$2:$A$1001,'Multiple Choice Questions'!$A$19)+COUNTIF('Multiple Choice Questions'!$A$2:$A$1001,'Multiple Choice Questions'!$A$19)+COUNTIF('Hybrid Questions'!$A$2:$A$1001,'Multiple Choice Questions'!$A$19)+COUNTIF('Hybrid Questions'!$D$2:$D$1001,'Multiple Choice Questions'!$A$19))&gt;1),"Column '"&amp;'Multiple Choice Questions'!$A$19&amp;"' is already used by another row. Each Excel column should feed only one question.","")</f>
        <v>0</v>
      </c>
      <c r="F2275" s="4" t="s">
        <v>1812</v>
      </c>
    </row>
    <row r="2276" spans="1:6" ht="75" customHeight="1">
      <c r="A2276" t="s">
        <v>218</v>
      </c>
      <c r="B2276" t="s">
        <v>184</v>
      </c>
      <c r="C2276" t="s">
        <v>1811</v>
      </c>
      <c r="D2276" t="s">
        <v>1808</v>
      </c>
      <c r="E2276" s="4">
        <f>IF(AND('Multiple Choice Questions'!$A$20&lt;&gt;"",(COUNTIF('Open Questions'!$A$2:$A$1001,'Multiple Choice Questions'!$A$20)+COUNTIF('Multiple Choice Questions'!$A$2:$A$1001,'Multiple Choice Questions'!$A$20)+COUNTIF('Hybrid Questions'!$A$2:$A$1001,'Multiple Choice Questions'!$A$20)+COUNTIF('Hybrid Questions'!$D$2:$D$1001,'Multiple Choice Questions'!$A$20))&gt;1),"Column '"&amp;'Multiple Choice Questions'!$A$20&amp;"' is already used by another row. Each Excel column should feed only one question.","")</f>
        <v>0</v>
      </c>
      <c r="F2276" s="4" t="s">
        <v>1812</v>
      </c>
    </row>
    <row r="2277" spans="1:6" ht="75" customHeight="1">
      <c r="A2277" t="s">
        <v>218</v>
      </c>
      <c r="B2277" t="s">
        <v>185</v>
      </c>
      <c r="C2277" t="s">
        <v>1811</v>
      </c>
      <c r="D2277" t="s">
        <v>1808</v>
      </c>
      <c r="E2277" s="4">
        <f>IF(AND('Multiple Choice Questions'!$A$21&lt;&gt;"",(COUNTIF('Open Questions'!$A$2:$A$1001,'Multiple Choice Questions'!$A$21)+COUNTIF('Multiple Choice Questions'!$A$2:$A$1001,'Multiple Choice Questions'!$A$21)+COUNTIF('Hybrid Questions'!$A$2:$A$1001,'Multiple Choice Questions'!$A$21)+COUNTIF('Hybrid Questions'!$D$2:$D$1001,'Multiple Choice Questions'!$A$21))&gt;1),"Column '"&amp;'Multiple Choice Questions'!$A$21&amp;"' is already used by another row. Each Excel column should feed only one question.","")</f>
        <v>0</v>
      </c>
      <c r="F2277" s="4" t="s">
        <v>1812</v>
      </c>
    </row>
    <row r="2278" spans="1:6" ht="75" customHeight="1">
      <c r="A2278" t="s">
        <v>218</v>
      </c>
      <c r="B2278" t="s">
        <v>186</v>
      </c>
      <c r="C2278" t="s">
        <v>1811</v>
      </c>
      <c r="D2278" t="s">
        <v>1808</v>
      </c>
      <c r="E2278" s="4">
        <f>IF(AND('Multiple Choice Questions'!$A$22&lt;&gt;"",(COUNTIF('Open Questions'!$A$2:$A$1001,'Multiple Choice Questions'!$A$22)+COUNTIF('Multiple Choice Questions'!$A$2:$A$1001,'Multiple Choice Questions'!$A$22)+COUNTIF('Hybrid Questions'!$A$2:$A$1001,'Multiple Choice Questions'!$A$22)+COUNTIF('Hybrid Questions'!$D$2:$D$1001,'Multiple Choice Questions'!$A$22))&gt;1),"Column '"&amp;'Multiple Choice Questions'!$A$22&amp;"' is already used by another row. Each Excel column should feed only one question.","")</f>
        <v>0</v>
      </c>
      <c r="F2278" s="4" t="s">
        <v>1812</v>
      </c>
    </row>
    <row r="2279" spans="1:6" ht="75" customHeight="1">
      <c r="A2279" t="s">
        <v>218</v>
      </c>
      <c r="B2279" t="s">
        <v>187</v>
      </c>
      <c r="C2279" t="s">
        <v>1811</v>
      </c>
      <c r="D2279" t="s">
        <v>1808</v>
      </c>
      <c r="E2279" s="4">
        <f>IF(AND('Multiple Choice Questions'!$A$23&lt;&gt;"",(COUNTIF('Open Questions'!$A$2:$A$1001,'Multiple Choice Questions'!$A$23)+COUNTIF('Multiple Choice Questions'!$A$2:$A$1001,'Multiple Choice Questions'!$A$23)+COUNTIF('Hybrid Questions'!$A$2:$A$1001,'Multiple Choice Questions'!$A$23)+COUNTIF('Hybrid Questions'!$D$2:$D$1001,'Multiple Choice Questions'!$A$23))&gt;1),"Column '"&amp;'Multiple Choice Questions'!$A$23&amp;"' is already used by another row. Each Excel column should feed only one question.","")</f>
        <v>0</v>
      </c>
      <c r="F2279" s="4" t="s">
        <v>1812</v>
      </c>
    </row>
    <row r="2280" spans="1:6" ht="75" customHeight="1">
      <c r="A2280" t="s">
        <v>218</v>
      </c>
      <c r="B2280" t="s">
        <v>188</v>
      </c>
      <c r="C2280" t="s">
        <v>1811</v>
      </c>
      <c r="D2280" t="s">
        <v>1808</v>
      </c>
      <c r="E2280" s="4">
        <f>IF(AND('Multiple Choice Questions'!$A$24&lt;&gt;"",(COUNTIF('Open Questions'!$A$2:$A$1001,'Multiple Choice Questions'!$A$24)+COUNTIF('Multiple Choice Questions'!$A$2:$A$1001,'Multiple Choice Questions'!$A$24)+COUNTIF('Hybrid Questions'!$A$2:$A$1001,'Multiple Choice Questions'!$A$24)+COUNTIF('Hybrid Questions'!$D$2:$D$1001,'Multiple Choice Questions'!$A$24))&gt;1),"Column '"&amp;'Multiple Choice Questions'!$A$24&amp;"' is already used by another row. Each Excel column should feed only one question.","")</f>
        <v>0</v>
      </c>
      <c r="F2280" s="4" t="s">
        <v>1812</v>
      </c>
    </row>
    <row r="2281" spans="1:6" ht="75" customHeight="1">
      <c r="A2281" t="s">
        <v>218</v>
      </c>
      <c r="B2281" t="s">
        <v>189</v>
      </c>
      <c r="C2281" t="s">
        <v>1811</v>
      </c>
      <c r="D2281" t="s">
        <v>1808</v>
      </c>
      <c r="E2281" s="4">
        <f>IF(AND('Multiple Choice Questions'!$A$25&lt;&gt;"",(COUNTIF('Open Questions'!$A$2:$A$1001,'Multiple Choice Questions'!$A$25)+COUNTIF('Multiple Choice Questions'!$A$2:$A$1001,'Multiple Choice Questions'!$A$25)+COUNTIF('Hybrid Questions'!$A$2:$A$1001,'Multiple Choice Questions'!$A$25)+COUNTIF('Hybrid Questions'!$D$2:$D$1001,'Multiple Choice Questions'!$A$25))&gt;1),"Column '"&amp;'Multiple Choice Questions'!$A$25&amp;"' is already used by another row. Each Excel column should feed only one question.","")</f>
        <v>0</v>
      </c>
      <c r="F2281" s="4" t="s">
        <v>1812</v>
      </c>
    </row>
    <row r="2282" spans="1:6" ht="75" customHeight="1">
      <c r="A2282" t="s">
        <v>218</v>
      </c>
      <c r="B2282" t="s">
        <v>190</v>
      </c>
      <c r="C2282" t="s">
        <v>1811</v>
      </c>
      <c r="D2282" t="s">
        <v>1808</v>
      </c>
      <c r="E2282" s="4">
        <f>IF(AND('Multiple Choice Questions'!$A$26&lt;&gt;"",(COUNTIF('Open Questions'!$A$2:$A$1001,'Multiple Choice Questions'!$A$26)+COUNTIF('Multiple Choice Questions'!$A$2:$A$1001,'Multiple Choice Questions'!$A$26)+COUNTIF('Hybrid Questions'!$A$2:$A$1001,'Multiple Choice Questions'!$A$26)+COUNTIF('Hybrid Questions'!$D$2:$D$1001,'Multiple Choice Questions'!$A$26))&gt;1),"Column '"&amp;'Multiple Choice Questions'!$A$26&amp;"' is already used by another row. Each Excel column should feed only one question.","")</f>
        <v>0</v>
      </c>
      <c r="F2282" s="4" t="s">
        <v>1812</v>
      </c>
    </row>
    <row r="2283" spans="1:6" ht="75" customHeight="1">
      <c r="A2283" t="s">
        <v>218</v>
      </c>
      <c r="B2283" t="s">
        <v>191</v>
      </c>
      <c r="C2283" t="s">
        <v>1811</v>
      </c>
      <c r="D2283" t="s">
        <v>1808</v>
      </c>
      <c r="E2283" s="4">
        <f>IF(AND('Multiple Choice Questions'!$A$27&lt;&gt;"",(COUNTIF('Open Questions'!$A$2:$A$1001,'Multiple Choice Questions'!$A$27)+COUNTIF('Multiple Choice Questions'!$A$2:$A$1001,'Multiple Choice Questions'!$A$27)+COUNTIF('Hybrid Questions'!$A$2:$A$1001,'Multiple Choice Questions'!$A$27)+COUNTIF('Hybrid Questions'!$D$2:$D$1001,'Multiple Choice Questions'!$A$27))&gt;1),"Column '"&amp;'Multiple Choice Questions'!$A$27&amp;"' is already used by another row. Each Excel column should feed only one question.","")</f>
        <v>0</v>
      </c>
      <c r="F2283" s="4" t="s">
        <v>1812</v>
      </c>
    </row>
    <row r="2284" spans="1:6" ht="75" customHeight="1">
      <c r="A2284" t="s">
        <v>218</v>
      </c>
      <c r="B2284" t="s">
        <v>192</v>
      </c>
      <c r="C2284" t="s">
        <v>1811</v>
      </c>
      <c r="D2284" t="s">
        <v>1808</v>
      </c>
      <c r="E2284" s="4">
        <f>IF(AND('Multiple Choice Questions'!$A$28&lt;&gt;"",(COUNTIF('Open Questions'!$A$2:$A$1001,'Multiple Choice Questions'!$A$28)+COUNTIF('Multiple Choice Questions'!$A$2:$A$1001,'Multiple Choice Questions'!$A$28)+COUNTIF('Hybrid Questions'!$A$2:$A$1001,'Multiple Choice Questions'!$A$28)+COUNTIF('Hybrid Questions'!$D$2:$D$1001,'Multiple Choice Questions'!$A$28))&gt;1),"Column '"&amp;'Multiple Choice Questions'!$A$28&amp;"' is already used by another row. Each Excel column should feed only one question.","")</f>
        <v>0</v>
      </c>
      <c r="F2284" s="4" t="s">
        <v>1812</v>
      </c>
    </row>
    <row r="2285" spans="1:6" ht="75" customHeight="1">
      <c r="A2285" t="s">
        <v>218</v>
      </c>
      <c r="B2285" t="s">
        <v>193</v>
      </c>
      <c r="C2285" t="s">
        <v>1811</v>
      </c>
      <c r="D2285" t="s">
        <v>1808</v>
      </c>
      <c r="E2285" s="4">
        <f>IF(AND('Multiple Choice Questions'!$A$29&lt;&gt;"",(COUNTIF('Open Questions'!$A$2:$A$1001,'Multiple Choice Questions'!$A$29)+COUNTIF('Multiple Choice Questions'!$A$2:$A$1001,'Multiple Choice Questions'!$A$29)+COUNTIF('Hybrid Questions'!$A$2:$A$1001,'Multiple Choice Questions'!$A$29)+COUNTIF('Hybrid Questions'!$D$2:$D$1001,'Multiple Choice Questions'!$A$29))&gt;1),"Column '"&amp;'Multiple Choice Questions'!$A$29&amp;"' is already used by another row. Each Excel column should feed only one question.","")</f>
        <v>0</v>
      </c>
      <c r="F2285" s="4" t="s">
        <v>1812</v>
      </c>
    </row>
    <row r="2286" spans="1:6" ht="75" customHeight="1">
      <c r="A2286" t="s">
        <v>218</v>
      </c>
      <c r="B2286" t="s">
        <v>194</v>
      </c>
      <c r="C2286" t="s">
        <v>1811</v>
      </c>
      <c r="D2286" t="s">
        <v>1808</v>
      </c>
      <c r="E2286" s="4">
        <f>IF(AND('Multiple Choice Questions'!$A$30&lt;&gt;"",(COUNTIF('Open Questions'!$A$2:$A$1001,'Multiple Choice Questions'!$A$30)+COUNTIF('Multiple Choice Questions'!$A$2:$A$1001,'Multiple Choice Questions'!$A$30)+COUNTIF('Hybrid Questions'!$A$2:$A$1001,'Multiple Choice Questions'!$A$30)+COUNTIF('Hybrid Questions'!$D$2:$D$1001,'Multiple Choice Questions'!$A$30))&gt;1),"Column '"&amp;'Multiple Choice Questions'!$A$30&amp;"' is already used by another row. Each Excel column should feed only one question.","")</f>
        <v>0</v>
      </c>
      <c r="F2286" s="4" t="s">
        <v>1812</v>
      </c>
    </row>
    <row r="2287" spans="1:6" ht="75" customHeight="1">
      <c r="A2287" t="s">
        <v>218</v>
      </c>
      <c r="B2287" t="s">
        <v>195</v>
      </c>
      <c r="C2287" t="s">
        <v>1811</v>
      </c>
      <c r="D2287" t="s">
        <v>1808</v>
      </c>
      <c r="E2287" s="4">
        <f>IF(AND('Multiple Choice Questions'!$A$31&lt;&gt;"",(COUNTIF('Open Questions'!$A$2:$A$1001,'Multiple Choice Questions'!$A$31)+COUNTIF('Multiple Choice Questions'!$A$2:$A$1001,'Multiple Choice Questions'!$A$31)+COUNTIF('Hybrid Questions'!$A$2:$A$1001,'Multiple Choice Questions'!$A$31)+COUNTIF('Hybrid Questions'!$D$2:$D$1001,'Multiple Choice Questions'!$A$31))&gt;1),"Column '"&amp;'Multiple Choice Questions'!$A$31&amp;"' is already used by another row. Each Excel column should feed only one question.","")</f>
        <v>0</v>
      </c>
      <c r="F2287" s="4" t="s">
        <v>1812</v>
      </c>
    </row>
    <row r="2288" spans="1:6" ht="75" customHeight="1">
      <c r="A2288" t="s">
        <v>218</v>
      </c>
      <c r="B2288" t="s">
        <v>196</v>
      </c>
      <c r="C2288" t="s">
        <v>1811</v>
      </c>
      <c r="D2288" t="s">
        <v>1808</v>
      </c>
      <c r="E2288" s="4">
        <f>IF(AND('Multiple Choice Questions'!$A$32&lt;&gt;"",(COUNTIF('Open Questions'!$A$2:$A$1001,'Multiple Choice Questions'!$A$32)+COUNTIF('Multiple Choice Questions'!$A$2:$A$1001,'Multiple Choice Questions'!$A$32)+COUNTIF('Hybrid Questions'!$A$2:$A$1001,'Multiple Choice Questions'!$A$32)+COUNTIF('Hybrid Questions'!$D$2:$D$1001,'Multiple Choice Questions'!$A$32))&gt;1),"Column '"&amp;'Multiple Choice Questions'!$A$32&amp;"' is already used by another row. Each Excel column should feed only one question.","")</f>
        <v>0</v>
      </c>
      <c r="F2288" s="4" t="s">
        <v>1812</v>
      </c>
    </row>
    <row r="2289" spans="1:6" ht="75" customHeight="1">
      <c r="A2289" t="s">
        <v>218</v>
      </c>
      <c r="B2289" t="s">
        <v>197</v>
      </c>
      <c r="C2289" t="s">
        <v>1811</v>
      </c>
      <c r="D2289" t="s">
        <v>1808</v>
      </c>
      <c r="E2289" s="4">
        <f>IF(AND('Multiple Choice Questions'!$A$33&lt;&gt;"",(COUNTIF('Open Questions'!$A$2:$A$1001,'Multiple Choice Questions'!$A$33)+COUNTIF('Multiple Choice Questions'!$A$2:$A$1001,'Multiple Choice Questions'!$A$33)+COUNTIF('Hybrid Questions'!$A$2:$A$1001,'Multiple Choice Questions'!$A$33)+COUNTIF('Hybrid Questions'!$D$2:$D$1001,'Multiple Choice Questions'!$A$33))&gt;1),"Column '"&amp;'Multiple Choice Questions'!$A$33&amp;"' is already used by another row. Each Excel column should feed only one question.","")</f>
        <v>0</v>
      </c>
      <c r="F2289" s="4" t="s">
        <v>1812</v>
      </c>
    </row>
    <row r="2290" spans="1:6" ht="75" customHeight="1">
      <c r="A2290" t="s">
        <v>218</v>
      </c>
      <c r="B2290" t="s">
        <v>198</v>
      </c>
      <c r="C2290" t="s">
        <v>1811</v>
      </c>
      <c r="D2290" t="s">
        <v>1808</v>
      </c>
      <c r="E2290" s="4">
        <f>IF(AND('Multiple Choice Questions'!$A$34&lt;&gt;"",(COUNTIF('Open Questions'!$A$2:$A$1001,'Multiple Choice Questions'!$A$34)+COUNTIF('Multiple Choice Questions'!$A$2:$A$1001,'Multiple Choice Questions'!$A$34)+COUNTIF('Hybrid Questions'!$A$2:$A$1001,'Multiple Choice Questions'!$A$34)+COUNTIF('Hybrid Questions'!$D$2:$D$1001,'Multiple Choice Questions'!$A$34))&gt;1),"Column '"&amp;'Multiple Choice Questions'!$A$34&amp;"' is already used by another row. Each Excel column should feed only one question.","")</f>
        <v>0</v>
      </c>
      <c r="F2290" s="4" t="s">
        <v>1812</v>
      </c>
    </row>
    <row r="2291" spans="1:6" ht="75" customHeight="1">
      <c r="A2291" t="s">
        <v>218</v>
      </c>
      <c r="B2291" t="s">
        <v>199</v>
      </c>
      <c r="C2291" t="s">
        <v>1811</v>
      </c>
      <c r="D2291" t="s">
        <v>1808</v>
      </c>
      <c r="E2291" s="4">
        <f>IF(AND('Multiple Choice Questions'!$A$35&lt;&gt;"",(COUNTIF('Open Questions'!$A$2:$A$1001,'Multiple Choice Questions'!$A$35)+COUNTIF('Multiple Choice Questions'!$A$2:$A$1001,'Multiple Choice Questions'!$A$35)+COUNTIF('Hybrid Questions'!$A$2:$A$1001,'Multiple Choice Questions'!$A$35)+COUNTIF('Hybrid Questions'!$D$2:$D$1001,'Multiple Choice Questions'!$A$35))&gt;1),"Column '"&amp;'Multiple Choice Questions'!$A$35&amp;"' is already used by another row. Each Excel column should feed only one question.","")</f>
        <v>0</v>
      </c>
      <c r="F2291" s="4" t="s">
        <v>1812</v>
      </c>
    </row>
    <row r="2292" spans="1:6" ht="75" customHeight="1">
      <c r="A2292" t="s">
        <v>218</v>
      </c>
      <c r="B2292" t="s">
        <v>200</v>
      </c>
      <c r="C2292" t="s">
        <v>1811</v>
      </c>
      <c r="D2292" t="s">
        <v>1808</v>
      </c>
      <c r="E2292" s="4">
        <f>IF(AND('Multiple Choice Questions'!$A$36&lt;&gt;"",(COUNTIF('Open Questions'!$A$2:$A$1001,'Multiple Choice Questions'!$A$36)+COUNTIF('Multiple Choice Questions'!$A$2:$A$1001,'Multiple Choice Questions'!$A$36)+COUNTIF('Hybrid Questions'!$A$2:$A$1001,'Multiple Choice Questions'!$A$36)+COUNTIF('Hybrid Questions'!$D$2:$D$1001,'Multiple Choice Questions'!$A$36))&gt;1),"Column '"&amp;'Multiple Choice Questions'!$A$36&amp;"' is already used by another row. Each Excel column should feed only one question.","")</f>
        <v>0</v>
      </c>
      <c r="F2292" s="4" t="s">
        <v>1812</v>
      </c>
    </row>
    <row r="2293" spans="1:6" ht="75" customHeight="1">
      <c r="A2293" t="s">
        <v>218</v>
      </c>
      <c r="B2293" t="s">
        <v>201</v>
      </c>
      <c r="C2293" t="s">
        <v>1811</v>
      </c>
      <c r="D2293" t="s">
        <v>1808</v>
      </c>
      <c r="E2293" s="4">
        <f>IF(AND('Multiple Choice Questions'!$A$37&lt;&gt;"",(COUNTIF('Open Questions'!$A$2:$A$1001,'Multiple Choice Questions'!$A$37)+COUNTIF('Multiple Choice Questions'!$A$2:$A$1001,'Multiple Choice Questions'!$A$37)+COUNTIF('Hybrid Questions'!$A$2:$A$1001,'Multiple Choice Questions'!$A$37)+COUNTIF('Hybrid Questions'!$D$2:$D$1001,'Multiple Choice Questions'!$A$37))&gt;1),"Column '"&amp;'Multiple Choice Questions'!$A$37&amp;"' is already used by another row. Each Excel column should feed only one question.","")</f>
        <v>0</v>
      </c>
      <c r="F2293" s="4" t="s">
        <v>1812</v>
      </c>
    </row>
    <row r="2294" spans="1:6" ht="75" customHeight="1">
      <c r="A2294" t="s">
        <v>218</v>
      </c>
      <c r="B2294" t="s">
        <v>202</v>
      </c>
      <c r="C2294" t="s">
        <v>1811</v>
      </c>
      <c r="D2294" t="s">
        <v>1808</v>
      </c>
      <c r="E2294" s="4">
        <f>IF(AND('Multiple Choice Questions'!$A$38&lt;&gt;"",(COUNTIF('Open Questions'!$A$2:$A$1001,'Multiple Choice Questions'!$A$38)+COUNTIF('Multiple Choice Questions'!$A$2:$A$1001,'Multiple Choice Questions'!$A$38)+COUNTIF('Hybrid Questions'!$A$2:$A$1001,'Multiple Choice Questions'!$A$38)+COUNTIF('Hybrid Questions'!$D$2:$D$1001,'Multiple Choice Questions'!$A$38))&gt;1),"Column '"&amp;'Multiple Choice Questions'!$A$38&amp;"' is already used by another row. Each Excel column should feed only one question.","")</f>
        <v>0</v>
      </c>
      <c r="F2294" s="4" t="s">
        <v>1812</v>
      </c>
    </row>
    <row r="2295" spans="1:6" ht="75" customHeight="1">
      <c r="A2295" t="s">
        <v>218</v>
      </c>
      <c r="B2295" t="s">
        <v>203</v>
      </c>
      <c r="C2295" t="s">
        <v>1811</v>
      </c>
      <c r="D2295" t="s">
        <v>1808</v>
      </c>
      <c r="E2295" s="4">
        <f>IF(AND('Multiple Choice Questions'!$A$39&lt;&gt;"",(COUNTIF('Open Questions'!$A$2:$A$1001,'Multiple Choice Questions'!$A$39)+COUNTIF('Multiple Choice Questions'!$A$2:$A$1001,'Multiple Choice Questions'!$A$39)+COUNTIF('Hybrid Questions'!$A$2:$A$1001,'Multiple Choice Questions'!$A$39)+COUNTIF('Hybrid Questions'!$D$2:$D$1001,'Multiple Choice Questions'!$A$39))&gt;1),"Column '"&amp;'Multiple Choice Questions'!$A$39&amp;"' is already used by another row. Each Excel column should feed only one question.","")</f>
        <v>0</v>
      </c>
      <c r="F2295" s="4" t="s">
        <v>1812</v>
      </c>
    </row>
    <row r="2296" spans="1:6" ht="75" customHeight="1">
      <c r="A2296" t="s">
        <v>218</v>
      </c>
      <c r="B2296" t="s">
        <v>204</v>
      </c>
      <c r="C2296" t="s">
        <v>1811</v>
      </c>
      <c r="D2296" t="s">
        <v>1808</v>
      </c>
      <c r="E2296" s="4">
        <f>IF(AND('Multiple Choice Questions'!$A$40&lt;&gt;"",(COUNTIF('Open Questions'!$A$2:$A$1001,'Multiple Choice Questions'!$A$40)+COUNTIF('Multiple Choice Questions'!$A$2:$A$1001,'Multiple Choice Questions'!$A$40)+COUNTIF('Hybrid Questions'!$A$2:$A$1001,'Multiple Choice Questions'!$A$40)+COUNTIF('Hybrid Questions'!$D$2:$D$1001,'Multiple Choice Questions'!$A$40))&gt;1),"Column '"&amp;'Multiple Choice Questions'!$A$40&amp;"' is already used by another row. Each Excel column should feed only one question.","")</f>
        <v>0</v>
      </c>
      <c r="F2296" s="4" t="s">
        <v>1812</v>
      </c>
    </row>
    <row r="2297" spans="1:6" ht="75" customHeight="1">
      <c r="A2297" t="s">
        <v>218</v>
      </c>
      <c r="B2297" t="s">
        <v>205</v>
      </c>
      <c r="C2297" t="s">
        <v>1811</v>
      </c>
      <c r="D2297" t="s">
        <v>1808</v>
      </c>
      <c r="E2297" s="4">
        <f>IF(AND('Multiple Choice Questions'!$A$41&lt;&gt;"",(COUNTIF('Open Questions'!$A$2:$A$1001,'Multiple Choice Questions'!$A$41)+COUNTIF('Multiple Choice Questions'!$A$2:$A$1001,'Multiple Choice Questions'!$A$41)+COUNTIF('Hybrid Questions'!$A$2:$A$1001,'Multiple Choice Questions'!$A$41)+COUNTIF('Hybrid Questions'!$D$2:$D$1001,'Multiple Choice Questions'!$A$41))&gt;1),"Column '"&amp;'Multiple Choice Questions'!$A$41&amp;"' is already used by another row. Each Excel column should feed only one question.","")</f>
        <v>0</v>
      </c>
      <c r="F2297" s="4" t="s">
        <v>1812</v>
      </c>
    </row>
    <row r="2298" spans="1:6" ht="75" customHeight="1">
      <c r="A2298" t="s">
        <v>218</v>
      </c>
      <c r="B2298" t="s">
        <v>206</v>
      </c>
      <c r="C2298" t="s">
        <v>1811</v>
      </c>
      <c r="D2298" t="s">
        <v>1808</v>
      </c>
      <c r="E2298" s="4">
        <f>IF(AND('Multiple Choice Questions'!$A$42&lt;&gt;"",(COUNTIF('Open Questions'!$A$2:$A$1001,'Multiple Choice Questions'!$A$42)+COUNTIF('Multiple Choice Questions'!$A$2:$A$1001,'Multiple Choice Questions'!$A$42)+COUNTIF('Hybrid Questions'!$A$2:$A$1001,'Multiple Choice Questions'!$A$42)+COUNTIF('Hybrid Questions'!$D$2:$D$1001,'Multiple Choice Questions'!$A$42))&gt;1),"Column '"&amp;'Multiple Choice Questions'!$A$42&amp;"' is already used by another row. Each Excel column should feed only one question.","")</f>
        <v>0</v>
      </c>
      <c r="F2298" s="4" t="s">
        <v>1812</v>
      </c>
    </row>
    <row r="2299" spans="1:6" ht="75" customHeight="1">
      <c r="A2299" t="s">
        <v>218</v>
      </c>
      <c r="B2299" t="s">
        <v>207</v>
      </c>
      <c r="C2299" t="s">
        <v>1811</v>
      </c>
      <c r="D2299" t="s">
        <v>1808</v>
      </c>
      <c r="E2299" s="4">
        <f>IF(AND('Multiple Choice Questions'!$A$43&lt;&gt;"",(COUNTIF('Open Questions'!$A$2:$A$1001,'Multiple Choice Questions'!$A$43)+COUNTIF('Multiple Choice Questions'!$A$2:$A$1001,'Multiple Choice Questions'!$A$43)+COUNTIF('Hybrid Questions'!$A$2:$A$1001,'Multiple Choice Questions'!$A$43)+COUNTIF('Hybrid Questions'!$D$2:$D$1001,'Multiple Choice Questions'!$A$43))&gt;1),"Column '"&amp;'Multiple Choice Questions'!$A$43&amp;"' is already used by another row. Each Excel column should feed only one question.","")</f>
        <v>0</v>
      </c>
      <c r="F2299" s="4" t="s">
        <v>1812</v>
      </c>
    </row>
    <row r="2300" spans="1:6" ht="75" customHeight="1">
      <c r="A2300" t="s">
        <v>218</v>
      </c>
      <c r="B2300" t="s">
        <v>208</v>
      </c>
      <c r="C2300" t="s">
        <v>1811</v>
      </c>
      <c r="D2300" t="s">
        <v>1808</v>
      </c>
      <c r="E2300" s="4">
        <f>IF(AND('Multiple Choice Questions'!$A$44&lt;&gt;"",(COUNTIF('Open Questions'!$A$2:$A$1001,'Multiple Choice Questions'!$A$44)+COUNTIF('Multiple Choice Questions'!$A$2:$A$1001,'Multiple Choice Questions'!$A$44)+COUNTIF('Hybrid Questions'!$A$2:$A$1001,'Multiple Choice Questions'!$A$44)+COUNTIF('Hybrid Questions'!$D$2:$D$1001,'Multiple Choice Questions'!$A$44))&gt;1),"Column '"&amp;'Multiple Choice Questions'!$A$44&amp;"' is already used by another row. Each Excel column should feed only one question.","")</f>
        <v>0</v>
      </c>
      <c r="F2300" s="4" t="s">
        <v>1812</v>
      </c>
    </row>
    <row r="2301" spans="1:6" ht="75" customHeight="1">
      <c r="A2301" t="s">
        <v>218</v>
      </c>
      <c r="B2301" t="s">
        <v>209</v>
      </c>
      <c r="C2301" t="s">
        <v>1811</v>
      </c>
      <c r="D2301" t="s">
        <v>1808</v>
      </c>
      <c r="E2301" s="4">
        <f>IF(AND('Multiple Choice Questions'!$A$45&lt;&gt;"",(COUNTIF('Open Questions'!$A$2:$A$1001,'Multiple Choice Questions'!$A$45)+COUNTIF('Multiple Choice Questions'!$A$2:$A$1001,'Multiple Choice Questions'!$A$45)+COUNTIF('Hybrid Questions'!$A$2:$A$1001,'Multiple Choice Questions'!$A$45)+COUNTIF('Hybrid Questions'!$D$2:$D$1001,'Multiple Choice Questions'!$A$45))&gt;1),"Column '"&amp;'Multiple Choice Questions'!$A$45&amp;"' is already used by another row. Each Excel column should feed only one question.","")</f>
        <v>0</v>
      </c>
      <c r="F2301" s="4" t="s">
        <v>1812</v>
      </c>
    </row>
    <row r="2302" spans="1:6" ht="75" customHeight="1">
      <c r="A2302" t="s">
        <v>218</v>
      </c>
      <c r="B2302" t="s">
        <v>210</v>
      </c>
      <c r="C2302" t="s">
        <v>1811</v>
      </c>
      <c r="D2302" t="s">
        <v>1808</v>
      </c>
      <c r="E2302" s="4">
        <f>IF(AND('Multiple Choice Questions'!$A$46&lt;&gt;"",(COUNTIF('Open Questions'!$A$2:$A$1001,'Multiple Choice Questions'!$A$46)+COUNTIF('Multiple Choice Questions'!$A$2:$A$1001,'Multiple Choice Questions'!$A$46)+COUNTIF('Hybrid Questions'!$A$2:$A$1001,'Multiple Choice Questions'!$A$46)+COUNTIF('Hybrid Questions'!$D$2:$D$1001,'Multiple Choice Questions'!$A$46))&gt;1),"Column '"&amp;'Multiple Choice Questions'!$A$46&amp;"' is already used by another row. Each Excel column should feed only one question.","")</f>
        <v>0</v>
      </c>
      <c r="F2302" s="4" t="s">
        <v>1812</v>
      </c>
    </row>
    <row r="2303" spans="1:6" ht="75" customHeight="1">
      <c r="A2303" t="s">
        <v>218</v>
      </c>
      <c r="B2303" t="s">
        <v>211</v>
      </c>
      <c r="C2303" t="s">
        <v>1811</v>
      </c>
      <c r="D2303" t="s">
        <v>1808</v>
      </c>
      <c r="E2303" s="4">
        <f>IF(AND('Multiple Choice Questions'!$A$47&lt;&gt;"",(COUNTIF('Open Questions'!$A$2:$A$1001,'Multiple Choice Questions'!$A$47)+COUNTIF('Multiple Choice Questions'!$A$2:$A$1001,'Multiple Choice Questions'!$A$47)+COUNTIF('Hybrid Questions'!$A$2:$A$1001,'Multiple Choice Questions'!$A$47)+COUNTIF('Hybrid Questions'!$D$2:$D$1001,'Multiple Choice Questions'!$A$47))&gt;1),"Column '"&amp;'Multiple Choice Questions'!$A$47&amp;"' is already used by another row. Each Excel column should feed only one question.","")</f>
        <v>0</v>
      </c>
      <c r="F2303" s="4" t="s">
        <v>1812</v>
      </c>
    </row>
    <row r="2304" spans="1:6" ht="75" customHeight="1">
      <c r="A2304" t="s">
        <v>218</v>
      </c>
      <c r="B2304" t="s">
        <v>212</v>
      </c>
      <c r="C2304" t="s">
        <v>1811</v>
      </c>
      <c r="D2304" t="s">
        <v>1808</v>
      </c>
      <c r="E2304" s="4">
        <f>IF(AND('Multiple Choice Questions'!$A$48&lt;&gt;"",(COUNTIF('Open Questions'!$A$2:$A$1001,'Multiple Choice Questions'!$A$48)+COUNTIF('Multiple Choice Questions'!$A$2:$A$1001,'Multiple Choice Questions'!$A$48)+COUNTIF('Hybrid Questions'!$A$2:$A$1001,'Multiple Choice Questions'!$A$48)+COUNTIF('Hybrid Questions'!$D$2:$D$1001,'Multiple Choice Questions'!$A$48))&gt;1),"Column '"&amp;'Multiple Choice Questions'!$A$48&amp;"' is already used by another row. Each Excel column should feed only one question.","")</f>
        <v>0</v>
      </c>
      <c r="F2304" s="4" t="s">
        <v>1812</v>
      </c>
    </row>
    <row r="2305" spans="1:6" ht="75" customHeight="1">
      <c r="A2305" t="s">
        <v>218</v>
      </c>
      <c r="B2305" t="s">
        <v>213</v>
      </c>
      <c r="C2305" t="s">
        <v>1811</v>
      </c>
      <c r="D2305" t="s">
        <v>1808</v>
      </c>
      <c r="E2305" s="4">
        <f>IF(AND('Multiple Choice Questions'!$A$49&lt;&gt;"",(COUNTIF('Open Questions'!$A$2:$A$1001,'Multiple Choice Questions'!$A$49)+COUNTIF('Multiple Choice Questions'!$A$2:$A$1001,'Multiple Choice Questions'!$A$49)+COUNTIF('Hybrid Questions'!$A$2:$A$1001,'Multiple Choice Questions'!$A$49)+COUNTIF('Hybrid Questions'!$D$2:$D$1001,'Multiple Choice Questions'!$A$49))&gt;1),"Column '"&amp;'Multiple Choice Questions'!$A$49&amp;"' is already used by another row. Each Excel column should feed only one question.","")</f>
        <v>0</v>
      </c>
      <c r="F2305" s="4" t="s">
        <v>1812</v>
      </c>
    </row>
    <row r="2306" spans="1:6" ht="75" customHeight="1">
      <c r="A2306" t="s">
        <v>218</v>
      </c>
      <c r="B2306" t="s">
        <v>214</v>
      </c>
      <c r="C2306" t="s">
        <v>1811</v>
      </c>
      <c r="D2306" t="s">
        <v>1808</v>
      </c>
      <c r="E2306" s="4">
        <f>IF(AND('Multiple Choice Questions'!$A$50&lt;&gt;"",(COUNTIF('Open Questions'!$A$2:$A$1001,'Multiple Choice Questions'!$A$50)+COUNTIF('Multiple Choice Questions'!$A$2:$A$1001,'Multiple Choice Questions'!$A$50)+COUNTIF('Hybrid Questions'!$A$2:$A$1001,'Multiple Choice Questions'!$A$50)+COUNTIF('Hybrid Questions'!$D$2:$D$1001,'Multiple Choice Questions'!$A$50))&gt;1),"Column '"&amp;'Multiple Choice Questions'!$A$50&amp;"' is already used by another row. Each Excel column should feed only one question.","")</f>
        <v>0</v>
      </c>
      <c r="F2306" s="4" t="s">
        <v>1812</v>
      </c>
    </row>
    <row r="2307" spans="1:6" ht="75" customHeight="1">
      <c r="A2307" t="s">
        <v>218</v>
      </c>
      <c r="B2307" t="s">
        <v>215</v>
      </c>
      <c r="C2307" t="s">
        <v>1811</v>
      </c>
      <c r="D2307" t="s">
        <v>1808</v>
      </c>
      <c r="E2307" s="4">
        <f>IF(AND('Multiple Choice Questions'!$A$51&lt;&gt;"",(COUNTIF('Open Questions'!$A$2:$A$1001,'Multiple Choice Questions'!$A$51)+COUNTIF('Multiple Choice Questions'!$A$2:$A$1001,'Multiple Choice Questions'!$A$51)+COUNTIF('Hybrid Questions'!$A$2:$A$1001,'Multiple Choice Questions'!$A$51)+COUNTIF('Hybrid Questions'!$D$2:$D$1001,'Multiple Choice Questions'!$A$51))&gt;1),"Column '"&amp;'Multiple Choice Questions'!$A$51&amp;"' is already used by another row. Each Excel column should feed only one question.","")</f>
        <v>0</v>
      </c>
      <c r="F2307" s="4" t="s">
        <v>1812</v>
      </c>
    </row>
    <row r="2308" spans="1:6" ht="75" customHeight="1">
      <c r="A2308" t="s">
        <v>271</v>
      </c>
      <c r="B2308" t="s">
        <v>163</v>
      </c>
      <c r="C2308" t="s">
        <v>1811</v>
      </c>
      <c r="D2308" t="s">
        <v>1808</v>
      </c>
      <c r="E2308" s="4">
        <f>IF(AND('Hybrid Questions'!$A$2&lt;&gt;"",(COUNTIF('Open Questions'!$A$2:$A$1001,'Hybrid Questions'!$A$2)+COUNTIF('Multiple Choice Questions'!$A$2:$A$1001,'Hybrid Questions'!$A$2)+COUNTIF('Hybrid Questions'!$A$2:$A$1001,'Hybrid Questions'!$A$2)+COUNTIF('Hybrid Questions'!$D$2:$D$1001,'Hybrid Questions'!$A$2))&gt;1),"Column '"&amp;'Hybrid Questions'!$A$2&amp;"' is already used by another row. Each Excel column should feed only one question.","")</f>
        <v>0</v>
      </c>
      <c r="F2308" s="4" t="s">
        <v>1812</v>
      </c>
    </row>
    <row r="2309" spans="1:6" ht="75" customHeight="1">
      <c r="A2309" t="s">
        <v>271</v>
      </c>
      <c r="B2309" t="s">
        <v>272</v>
      </c>
      <c r="C2309" t="s">
        <v>1811</v>
      </c>
      <c r="D2309" t="s">
        <v>1808</v>
      </c>
      <c r="E2309" s="4">
        <f>IF(AND('Hybrid Questions'!$D$2&lt;&gt;"",(COUNTIF('Open Questions'!$A$2:$A$1001,'Hybrid Questions'!$D$2)+COUNTIF('Multiple Choice Questions'!$A$2:$A$1001,'Hybrid Questions'!$D$2)+COUNTIF('Hybrid Questions'!$A$2:$A$1001,'Hybrid Questions'!$D$2)+COUNTIF('Hybrid Questions'!$D$2:$D$1001,'Hybrid Questions'!$D$2))&gt;1),"Column '"&amp;'Hybrid Questions'!$D$2&amp;"' is already used by another row. Each Excel column should feed only one question.","")</f>
        <v>0</v>
      </c>
      <c r="F2309" s="4" t="s">
        <v>1812</v>
      </c>
    </row>
    <row r="2310" spans="1:6" ht="75" customHeight="1">
      <c r="A2310" t="s">
        <v>271</v>
      </c>
      <c r="B2310" t="s">
        <v>167</v>
      </c>
      <c r="C2310" t="s">
        <v>1811</v>
      </c>
      <c r="D2310" t="s">
        <v>1808</v>
      </c>
      <c r="E2310" s="4">
        <f>IF(AND('Hybrid Questions'!$A$3&lt;&gt;"",(COUNTIF('Open Questions'!$A$2:$A$1001,'Hybrid Questions'!$A$3)+COUNTIF('Multiple Choice Questions'!$A$2:$A$1001,'Hybrid Questions'!$A$3)+COUNTIF('Hybrid Questions'!$A$2:$A$1001,'Hybrid Questions'!$A$3)+COUNTIF('Hybrid Questions'!$D$2:$D$1001,'Hybrid Questions'!$A$3))&gt;1),"Column '"&amp;'Hybrid Questions'!$A$3&amp;"' is already used by another row. Each Excel column should feed only one question.","")</f>
        <v>0</v>
      </c>
      <c r="F2310" s="4" t="s">
        <v>1812</v>
      </c>
    </row>
    <row r="2311" spans="1:6" ht="75" customHeight="1">
      <c r="A2311" t="s">
        <v>271</v>
      </c>
      <c r="B2311" t="s">
        <v>275</v>
      </c>
      <c r="C2311" t="s">
        <v>1811</v>
      </c>
      <c r="D2311" t="s">
        <v>1808</v>
      </c>
      <c r="E2311" s="4">
        <f>IF(AND('Hybrid Questions'!$D$3&lt;&gt;"",(COUNTIF('Open Questions'!$A$2:$A$1001,'Hybrid Questions'!$D$3)+COUNTIF('Multiple Choice Questions'!$A$2:$A$1001,'Hybrid Questions'!$D$3)+COUNTIF('Hybrid Questions'!$A$2:$A$1001,'Hybrid Questions'!$D$3)+COUNTIF('Hybrid Questions'!$D$2:$D$1001,'Hybrid Questions'!$D$3))&gt;1),"Column '"&amp;'Hybrid Questions'!$D$3&amp;"' is already used by another row. Each Excel column should feed only one question.","")</f>
        <v>0</v>
      </c>
      <c r="F2311" s="4" t="s">
        <v>1812</v>
      </c>
    </row>
    <row r="2312" spans="1:6" ht="75" customHeight="1">
      <c r="A2312" t="s">
        <v>271</v>
      </c>
      <c r="B2312" t="s">
        <v>168</v>
      </c>
      <c r="C2312" t="s">
        <v>1811</v>
      </c>
      <c r="D2312" t="s">
        <v>1808</v>
      </c>
      <c r="E2312" s="4">
        <f>IF(AND('Hybrid Questions'!$A$4&lt;&gt;"",(COUNTIF('Open Questions'!$A$2:$A$1001,'Hybrid Questions'!$A$4)+COUNTIF('Multiple Choice Questions'!$A$2:$A$1001,'Hybrid Questions'!$A$4)+COUNTIF('Hybrid Questions'!$A$2:$A$1001,'Hybrid Questions'!$A$4)+COUNTIF('Hybrid Questions'!$D$2:$D$1001,'Hybrid Questions'!$A$4))&gt;1),"Column '"&amp;'Hybrid Questions'!$A$4&amp;"' is already used by another row. Each Excel column should feed only one question.","")</f>
        <v>0</v>
      </c>
      <c r="F2312" s="4" t="s">
        <v>1812</v>
      </c>
    </row>
    <row r="2313" spans="1:6" ht="75" customHeight="1">
      <c r="A2313" t="s">
        <v>271</v>
      </c>
      <c r="B2313" t="s">
        <v>276</v>
      </c>
      <c r="C2313" t="s">
        <v>1811</v>
      </c>
      <c r="D2313" t="s">
        <v>1808</v>
      </c>
      <c r="E2313" s="4">
        <f>IF(AND('Hybrid Questions'!$D$4&lt;&gt;"",(COUNTIF('Open Questions'!$A$2:$A$1001,'Hybrid Questions'!$D$4)+COUNTIF('Multiple Choice Questions'!$A$2:$A$1001,'Hybrid Questions'!$D$4)+COUNTIF('Hybrid Questions'!$A$2:$A$1001,'Hybrid Questions'!$D$4)+COUNTIF('Hybrid Questions'!$D$2:$D$1001,'Hybrid Questions'!$D$4))&gt;1),"Column '"&amp;'Hybrid Questions'!$D$4&amp;"' is already used by another row. Each Excel column should feed only one question.","")</f>
        <v>0</v>
      </c>
      <c r="F2313" s="4" t="s">
        <v>1812</v>
      </c>
    </row>
    <row r="2314" spans="1:6" ht="75" customHeight="1">
      <c r="A2314" t="s">
        <v>271</v>
      </c>
      <c r="B2314" t="s">
        <v>169</v>
      </c>
      <c r="C2314" t="s">
        <v>1811</v>
      </c>
      <c r="D2314" t="s">
        <v>1808</v>
      </c>
      <c r="E2314" s="4">
        <f>IF(AND('Hybrid Questions'!$A$5&lt;&gt;"",(COUNTIF('Open Questions'!$A$2:$A$1001,'Hybrid Questions'!$A$5)+COUNTIF('Multiple Choice Questions'!$A$2:$A$1001,'Hybrid Questions'!$A$5)+COUNTIF('Hybrid Questions'!$A$2:$A$1001,'Hybrid Questions'!$A$5)+COUNTIF('Hybrid Questions'!$D$2:$D$1001,'Hybrid Questions'!$A$5))&gt;1),"Column '"&amp;'Hybrid Questions'!$A$5&amp;"' is already used by another row. Each Excel column should feed only one question.","")</f>
        <v>0</v>
      </c>
      <c r="F2314" s="4" t="s">
        <v>1812</v>
      </c>
    </row>
    <row r="2315" spans="1:6" ht="75" customHeight="1">
      <c r="A2315" t="s">
        <v>271</v>
      </c>
      <c r="B2315" t="s">
        <v>277</v>
      </c>
      <c r="C2315" t="s">
        <v>1811</v>
      </c>
      <c r="D2315" t="s">
        <v>1808</v>
      </c>
      <c r="E2315" s="4">
        <f>IF(AND('Hybrid Questions'!$D$5&lt;&gt;"",(COUNTIF('Open Questions'!$A$2:$A$1001,'Hybrid Questions'!$D$5)+COUNTIF('Multiple Choice Questions'!$A$2:$A$1001,'Hybrid Questions'!$D$5)+COUNTIF('Hybrid Questions'!$A$2:$A$1001,'Hybrid Questions'!$D$5)+COUNTIF('Hybrid Questions'!$D$2:$D$1001,'Hybrid Questions'!$D$5))&gt;1),"Column '"&amp;'Hybrid Questions'!$D$5&amp;"' is already used by another row. Each Excel column should feed only one question.","")</f>
        <v>0</v>
      </c>
      <c r="F2315" s="4" t="s">
        <v>1812</v>
      </c>
    </row>
    <row r="2316" spans="1:6" ht="75" customHeight="1">
      <c r="A2316" t="s">
        <v>271</v>
      </c>
      <c r="B2316" t="s">
        <v>170</v>
      </c>
      <c r="C2316" t="s">
        <v>1811</v>
      </c>
      <c r="D2316" t="s">
        <v>1808</v>
      </c>
      <c r="E2316" s="4">
        <f>IF(AND('Hybrid Questions'!$A$6&lt;&gt;"",(COUNTIF('Open Questions'!$A$2:$A$1001,'Hybrid Questions'!$A$6)+COUNTIF('Multiple Choice Questions'!$A$2:$A$1001,'Hybrid Questions'!$A$6)+COUNTIF('Hybrid Questions'!$A$2:$A$1001,'Hybrid Questions'!$A$6)+COUNTIF('Hybrid Questions'!$D$2:$D$1001,'Hybrid Questions'!$A$6))&gt;1),"Column '"&amp;'Hybrid Questions'!$A$6&amp;"' is already used by another row. Each Excel column should feed only one question.","")</f>
        <v>0</v>
      </c>
      <c r="F2316" s="4" t="s">
        <v>1812</v>
      </c>
    </row>
    <row r="2317" spans="1:6" ht="75" customHeight="1">
      <c r="A2317" t="s">
        <v>271</v>
      </c>
      <c r="B2317" t="s">
        <v>278</v>
      </c>
      <c r="C2317" t="s">
        <v>1811</v>
      </c>
      <c r="D2317" t="s">
        <v>1808</v>
      </c>
      <c r="E2317" s="4">
        <f>IF(AND('Hybrid Questions'!$D$6&lt;&gt;"",(COUNTIF('Open Questions'!$A$2:$A$1001,'Hybrid Questions'!$D$6)+COUNTIF('Multiple Choice Questions'!$A$2:$A$1001,'Hybrid Questions'!$D$6)+COUNTIF('Hybrid Questions'!$A$2:$A$1001,'Hybrid Questions'!$D$6)+COUNTIF('Hybrid Questions'!$D$2:$D$1001,'Hybrid Questions'!$D$6))&gt;1),"Column '"&amp;'Hybrid Questions'!$D$6&amp;"' is already used by another row. Each Excel column should feed only one question.","")</f>
        <v>0</v>
      </c>
      <c r="F2317" s="4" t="s">
        <v>1812</v>
      </c>
    </row>
    <row r="2318" spans="1:6" ht="75" customHeight="1">
      <c r="A2318" t="s">
        <v>271</v>
      </c>
      <c r="B2318" t="s">
        <v>171</v>
      </c>
      <c r="C2318" t="s">
        <v>1811</v>
      </c>
      <c r="D2318" t="s">
        <v>1808</v>
      </c>
      <c r="E2318" s="4">
        <f>IF(AND('Hybrid Questions'!$A$7&lt;&gt;"",(COUNTIF('Open Questions'!$A$2:$A$1001,'Hybrid Questions'!$A$7)+COUNTIF('Multiple Choice Questions'!$A$2:$A$1001,'Hybrid Questions'!$A$7)+COUNTIF('Hybrid Questions'!$A$2:$A$1001,'Hybrid Questions'!$A$7)+COUNTIF('Hybrid Questions'!$D$2:$D$1001,'Hybrid Questions'!$A$7))&gt;1),"Column '"&amp;'Hybrid Questions'!$A$7&amp;"' is already used by another row. Each Excel column should feed only one question.","")</f>
        <v>0</v>
      </c>
      <c r="F2318" s="4" t="s">
        <v>1812</v>
      </c>
    </row>
    <row r="2319" spans="1:6" ht="75" customHeight="1">
      <c r="A2319" t="s">
        <v>271</v>
      </c>
      <c r="B2319" t="s">
        <v>279</v>
      </c>
      <c r="C2319" t="s">
        <v>1811</v>
      </c>
      <c r="D2319" t="s">
        <v>1808</v>
      </c>
      <c r="E2319" s="4">
        <f>IF(AND('Hybrid Questions'!$D$7&lt;&gt;"",(COUNTIF('Open Questions'!$A$2:$A$1001,'Hybrid Questions'!$D$7)+COUNTIF('Multiple Choice Questions'!$A$2:$A$1001,'Hybrid Questions'!$D$7)+COUNTIF('Hybrid Questions'!$A$2:$A$1001,'Hybrid Questions'!$D$7)+COUNTIF('Hybrid Questions'!$D$2:$D$1001,'Hybrid Questions'!$D$7))&gt;1),"Column '"&amp;'Hybrid Questions'!$D$7&amp;"' is already used by another row. Each Excel column should feed only one question.","")</f>
        <v>0</v>
      </c>
      <c r="F2319" s="4" t="s">
        <v>1812</v>
      </c>
    </row>
    <row r="2320" spans="1:6" ht="75" customHeight="1">
      <c r="A2320" t="s">
        <v>271</v>
      </c>
      <c r="B2320" t="s">
        <v>172</v>
      </c>
      <c r="C2320" t="s">
        <v>1811</v>
      </c>
      <c r="D2320" t="s">
        <v>1808</v>
      </c>
      <c r="E2320" s="4">
        <f>IF(AND('Hybrid Questions'!$A$8&lt;&gt;"",(COUNTIF('Open Questions'!$A$2:$A$1001,'Hybrid Questions'!$A$8)+COUNTIF('Multiple Choice Questions'!$A$2:$A$1001,'Hybrid Questions'!$A$8)+COUNTIF('Hybrid Questions'!$A$2:$A$1001,'Hybrid Questions'!$A$8)+COUNTIF('Hybrid Questions'!$D$2:$D$1001,'Hybrid Questions'!$A$8))&gt;1),"Column '"&amp;'Hybrid Questions'!$A$8&amp;"' is already used by another row. Each Excel column should feed only one question.","")</f>
        <v>0</v>
      </c>
      <c r="F2320" s="4" t="s">
        <v>1812</v>
      </c>
    </row>
    <row r="2321" spans="1:6" ht="75" customHeight="1">
      <c r="A2321" t="s">
        <v>271</v>
      </c>
      <c r="B2321" t="s">
        <v>280</v>
      </c>
      <c r="C2321" t="s">
        <v>1811</v>
      </c>
      <c r="D2321" t="s">
        <v>1808</v>
      </c>
      <c r="E2321" s="4">
        <f>IF(AND('Hybrid Questions'!$D$8&lt;&gt;"",(COUNTIF('Open Questions'!$A$2:$A$1001,'Hybrid Questions'!$D$8)+COUNTIF('Multiple Choice Questions'!$A$2:$A$1001,'Hybrid Questions'!$D$8)+COUNTIF('Hybrid Questions'!$A$2:$A$1001,'Hybrid Questions'!$D$8)+COUNTIF('Hybrid Questions'!$D$2:$D$1001,'Hybrid Questions'!$D$8))&gt;1),"Column '"&amp;'Hybrid Questions'!$D$8&amp;"' is already used by another row. Each Excel column should feed only one question.","")</f>
        <v>0</v>
      </c>
      <c r="F2321" s="4" t="s">
        <v>1812</v>
      </c>
    </row>
    <row r="2322" spans="1:6" ht="75" customHeight="1">
      <c r="A2322" t="s">
        <v>271</v>
      </c>
      <c r="B2322" t="s">
        <v>173</v>
      </c>
      <c r="C2322" t="s">
        <v>1811</v>
      </c>
      <c r="D2322" t="s">
        <v>1808</v>
      </c>
      <c r="E2322" s="4">
        <f>IF(AND('Hybrid Questions'!$A$9&lt;&gt;"",(COUNTIF('Open Questions'!$A$2:$A$1001,'Hybrid Questions'!$A$9)+COUNTIF('Multiple Choice Questions'!$A$2:$A$1001,'Hybrid Questions'!$A$9)+COUNTIF('Hybrid Questions'!$A$2:$A$1001,'Hybrid Questions'!$A$9)+COUNTIF('Hybrid Questions'!$D$2:$D$1001,'Hybrid Questions'!$A$9))&gt;1),"Column '"&amp;'Hybrid Questions'!$A$9&amp;"' is already used by another row. Each Excel column should feed only one question.","")</f>
        <v>0</v>
      </c>
      <c r="F2322" s="4" t="s">
        <v>1812</v>
      </c>
    </row>
    <row r="2323" spans="1:6" ht="75" customHeight="1">
      <c r="A2323" t="s">
        <v>271</v>
      </c>
      <c r="B2323" t="s">
        <v>281</v>
      </c>
      <c r="C2323" t="s">
        <v>1811</v>
      </c>
      <c r="D2323" t="s">
        <v>1808</v>
      </c>
      <c r="E2323" s="4">
        <f>IF(AND('Hybrid Questions'!$D$9&lt;&gt;"",(COUNTIF('Open Questions'!$A$2:$A$1001,'Hybrid Questions'!$D$9)+COUNTIF('Multiple Choice Questions'!$A$2:$A$1001,'Hybrid Questions'!$D$9)+COUNTIF('Hybrid Questions'!$A$2:$A$1001,'Hybrid Questions'!$D$9)+COUNTIF('Hybrid Questions'!$D$2:$D$1001,'Hybrid Questions'!$D$9))&gt;1),"Column '"&amp;'Hybrid Questions'!$D$9&amp;"' is already used by another row. Each Excel column should feed only one question.","")</f>
        <v>0</v>
      </c>
      <c r="F2323" s="4" t="s">
        <v>1812</v>
      </c>
    </row>
    <row r="2324" spans="1:6" ht="75" customHeight="1">
      <c r="A2324" t="s">
        <v>271</v>
      </c>
      <c r="B2324" t="s">
        <v>174</v>
      </c>
      <c r="C2324" t="s">
        <v>1811</v>
      </c>
      <c r="D2324" t="s">
        <v>1808</v>
      </c>
      <c r="E2324" s="4">
        <f>IF(AND('Hybrid Questions'!$A$10&lt;&gt;"",(COUNTIF('Open Questions'!$A$2:$A$1001,'Hybrid Questions'!$A$10)+COUNTIF('Multiple Choice Questions'!$A$2:$A$1001,'Hybrid Questions'!$A$10)+COUNTIF('Hybrid Questions'!$A$2:$A$1001,'Hybrid Questions'!$A$10)+COUNTIF('Hybrid Questions'!$D$2:$D$1001,'Hybrid Questions'!$A$10))&gt;1),"Column '"&amp;'Hybrid Questions'!$A$10&amp;"' is already used by another row. Each Excel column should feed only one question.","")</f>
        <v>0</v>
      </c>
      <c r="F2324" s="4" t="s">
        <v>1812</v>
      </c>
    </row>
    <row r="2325" spans="1:6" ht="75" customHeight="1">
      <c r="A2325" t="s">
        <v>271</v>
      </c>
      <c r="B2325" t="s">
        <v>282</v>
      </c>
      <c r="C2325" t="s">
        <v>1811</v>
      </c>
      <c r="D2325" t="s">
        <v>1808</v>
      </c>
      <c r="E2325" s="4">
        <f>IF(AND('Hybrid Questions'!$D$10&lt;&gt;"",(COUNTIF('Open Questions'!$A$2:$A$1001,'Hybrid Questions'!$D$10)+COUNTIF('Multiple Choice Questions'!$A$2:$A$1001,'Hybrid Questions'!$D$10)+COUNTIF('Hybrid Questions'!$A$2:$A$1001,'Hybrid Questions'!$D$10)+COUNTIF('Hybrid Questions'!$D$2:$D$1001,'Hybrid Questions'!$D$10))&gt;1),"Column '"&amp;'Hybrid Questions'!$D$10&amp;"' is already used by another row. Each Excel column should feed only one question.","")</f>
        <v>0</v>
      </c>
      <c r="F2325" s="4" t="s">
        <v>1812</v>
      </c>
    </row>
    <row r="2326" spans="1:6" ht="75" customHeight="1">
      <c r="A2326" t="s">
        <v>271</v>
      </c>
      <c r="B2326" t="s">
        <v>175</v>
      </c>
      <c r="C2326" t="s">
        <v>1811</v>
      </c>
      <c r="D2326" t="s">
        <v>1808</v>
      </c>
      <c r="E2326" s="4">
        <f>IF(AND('Hybrid Questions'!$A$11&lt;&gt;"",(COUNTIF('Open Questions'!$A$2:$A$1001,'Hybrid Questions'!$A$11)+COUNTIF('Multiple Choice Questions'!$A$2:$A$1001,'Hybrid Questions'!$A$11)+COUNTIF('Hybrid Questions'!$A$2:$A$1001,'Hybrid Questions'!$A$11)+COUNTIF('Hybrid Questions'!$D$2:$D$1001,'Hybrid Questions'!$A$11))&gt;1),"Column '"&amp;'Hybrid Questions'!$A$11&amp;"' is already used by another row. Each Excel column should feed only one question.","")</f>
        <v>0</v>
      </c>
      <c r="F2326" s="4" t="s">
        <v>1812</v>
      </c>
    </row>
    <row r="2327" spans="1:6" ht="75" customHeight="1">
      <c r="A2327" t="s">
        <v>271</v>
      </c>
      <c r="B2327" t="s">
        <v>283</v>
      </c>
      <c r="C2327" t="s">
        <v>1811</v>
      </c>
      <c r="D2327" t="s">
        <v>1808</v>
      </c>
      <c r="E2327" s="4">
        <f>IF(AND('Hybrid Questions'!$D$11&lt;&gt;"",(COUNTIF('Open Questions'!$A$2:$A$1001,'Hybrid Questions'!$D$11)+COUNTIF('Multiple Choice Questions'!$A$2:$A$1001,'Hybrid Questions'!$D$11)+COUNTIF('Hybrid Questions'!$A$2:$A$1001,'Hybrid Questions'!$D$11)+COUNTIF('Hybrid Questions'!$D$2:$D$1001,'Hybrid Questions'!$D$11))&gt;1),"Column '"&amp;'Hybrid Questions'!$D$11&amp;"' is already used by another row. Each Excel column should feed only one question.","")</f>
        <v>0</v>
      </c>
      <c r="F2327" s="4" t="s">
        <v>1812</v>
      </c>
    </row>
    <row r="2328" spans="1:6" ht="75" customHeight="1">
      <c r="A2328" t="s">
        <v>271</v>
      </c>
      <c r="B2328" t="s">
        <v>176</v>
      </c>
      <c r="C2328" t="s">
        <v>1811</v>
      </c>
      <c r="D2328" t="s">
        <v>1808</v>
      </c>
      <c r="E2328" s="4">
        <f>IF(AND('Hybrid Questions'!$A$12&lt;&gt;"",(COUNTIF('Open Questions'!$A$2:$A$1001,'Hybrid Questions'!$A$12)+COUNTIF('Multiple Choice Questions'!$A$2:$A$1001,'Hybrid Questions'!$A$12)+COUNTIF('Hybrid Questions'!$A$2:$A$1001,'Hybrid Questions'!$A$12)+COUNTIF('Hybrid Questions'!$D$2:$D$1001,'Hybrid Questions'!$A$12))&gt;1),"Column '"&amp;'Hybrid Questions'!$A$12&amp;"' is already used by another row. Each Excel column should feed only one question.","")</f>
        <v>0</v>
      </c>
      <c r="F2328" s="4" t="s">
        <v>1812</v>
      </c>
    </row>
    <row r="2329" spans="1:6" ht="75" customHeight="1">
      <c r="A2329" t="s">
        <v>271</v>
      </c>
      <c r="B2329" t="s">
        <v>284</v>
      </c>
      <c r="C2329" t="s">
        <v>1811</v>
      </c>
      <c r="D2329" t="s">
        <v>1808</v>
      </c>
      <c r="E2329" s="4">
        <f>IF(AND('Hybrid Questions'!$D$12&lt;&gt;"",(COUNTIF('Open Questions'!$A$2:$A$1001,'Hybrid Questions'!$D$12)+COUNTIF('Multiple Choice Questions'!$A$2:$A$1001,'Hybrid Questions'!$D$12)+COUNTIF('Hybrid Questions'!$A$2:$A$1001,'Hybrid Questions'!$D$12)+COUNTIF('Hybrid Questions'!$D$2:$D$1001,'Hybrid Questions'!$D$12))&gt;1),"Column '"&amp;'Hybrid Questions'!$D$12&amp;"' is already used by another row. Each Excel column should feed only one question.","")</f>
        <v>0</v>
      </c>
      <c r="F2329" s="4" t="s">
        <v>1812</v>
      </c>
    </row>
    <row r="2330" spans="1:6" ht="75" customHeight="1">
      <c r="A2330" t="s">
        <v>271</v>
      </c>
      <c r="B2330" t="s">
        <v>177</v>
      </c>
      <c r="C2330" t="s">
        <v>1811</v>
      </c>
      <c r="D2330" t="s">
        <v>1808</v>
      </c>
      <c r="E2330" s="4">
        <f>IF(AND('Hybrid Questions'!$A$13&lt;&gt;"",(COUNTIF('Open Questions'!$A$2:$A$1001,'Hybrid Questions'!$A$13)+COUNTIF('Multiple Choice Questions'!$A$2:$A$1001,'Hybrid Questions'!$A$13)+COUNTIF('Hybrid Questions'!$A$2:$A$1001,'Hybrid Questions'!$A$13)+COUNTIF('Hybrid Questions'!$D$2:$D$1001,'Hybrid Questions'!$A$13))&gt;1),"Column '"&amp;'Hybrid Questions'!$A$13&amp;"' is already used by another row. Each Excel column should feed only one question.","")</f>
        <v>0</v>
      </c>
      <c r="F2330" s="4" t="s">
        <v>1812</v>
      </c>
    </row>
    <row r="2331" spans="1:6" ht="75" customHeight="1">
      <c r="A2331" t="s">
        <v>271</v>
      </c>
      <c r="B2331" t="s">
        <v>285</v>
      </c>
      <c r="C2331" t="s">
        <v>1811</v>
      </c>
      <c r="D2331" t="s">
        <v>1808</v>
      </c>
      <c r="E2331" s="4">
        <f>IF(AND('Hybrid Questions'!$D$13&lt;&gt;"",(COUNTIF('Open Questions'!$A$2:$A$1001,'Hybrid Questions'!$D$13)+COUNTIF('Multiple Choice Questions'!$A$2:$A$1001,'Hybrid Questions'!$D$13)+COUNTIF('Hybrid Questions'!$A$2:$A$1001,'Hybrid Questions'!$D$13)+COUNTIF('Hybrid Questions'!$D$2:$D$1001,'Hybrid Questions'!$D$13))&gt;1),"Column '"&amp;'Hybrid Questions'!$D$13&amp;"' is already used by another row. Each Excel column should feed only one question.","")</f>
        <v>0</v>
      </c>
      <c r="F2331" s="4" t="s">
        <v>1812</v>
      </c>
    </row>
    <row r="2332" spans="1:6" ht="75" customHeight="1">
      <c r="A2332" t="s">
        <v>271</v>
      </c>
      <c r="B2332" t="s">
        <v>178</v>
      </c>
      <c r="C2332" t="s">
        <v>1811</v>
      </c>
      <c r="D2332" t="s">
        <v>1808</v>
      </c>
      <c r="E2332" s="4">
        <f>IF(AND('Hybrid Questions'!$A$14&lt;&gt;"",(COUNTIF('Open Questions'!$A$2:$A$1001,'Hybrid Questions'!$A$14)+COUNTIF('Multiple Choice Questions'!$A$2:$A$1001,'Hybrid Questions'!$A$14)+COUNTIF('Hybrid Questions'!$A$2:$A$1001,'Hybrid Questions'!$A$14)+COUNTIF('Hybrid Questions'!$D$2:$D$1001,'Hybrid Questions'!$A$14))&gt;1),"Column '"&amp;'Hybrid Questions'!$A$14&amp;"' is already used by another row. Each Excel column should feed only one question.","")</f>
        <v>0</v>
      </c>
      <c r="F2332" s="4" t="s">
        <v>1812</v>
      </c>
    </row>
    <row r="2333" spans="1:6" ht="75" customHeight="1">
      <c r="A2333" t="s">
        <v>271</v>
      </c>
      <c r="B2333" t="s">
        <v>286</v>
      </c>
      <c r="C2333" t="s">
        <v>1811</v>
      </c>
      <c r="D2333" t="s">
        <v>1808</v>
      </c>
      <c r="E2333" s="4">
        <f>IF(AND('Hybrid Questions'!$D$14&lt;&gt;"",(COUNTIF('Open Questions'!$A$2:$A$1001,'Hybrid Questions'!$D$14)+COUNTIF('Multiple Choice Questions'!$A$2:$A$1001,'Hybrid Questions'!$D$14)+COUNTIF('Hybrid Questions'!$A$2:$A$1001,'Hybrid Questions'!$D$14)+COUNTIF('Hybrid Questions'!$D$2:$D$1001,'Hybrid Questions'!$D$14))&gt;1),"Column '"&amp;'Hybrid Questions'!$D$14&amp;"' is already used by another row. Each Excel column should feed only one question.","")</f>
        <v>0</v>
      </c>
      <c r="F2333" s="4" t="s">
        <v>1812</v>
      </c>
    </row>
    <row r="2334" spans="1:6" ht="75" customHeight="1">
      <c r="A2334" t="s">
        <v>271</v>
      </c>
      <c r="B2334" t="s">
        <v>179</v>
      </c>
      <c r="C2334" t="s">
        <v>1811</v>
      </c>
      <c r="D2334" t="s">
        <v>1808</v>
      </c>
      <c r="E2334" s="4">
        <f>IF(AND('Hybrid Questions'!$A$15&lt;&gt;"",(COUNTIF('Open Questions'!$A$2:$A$1001,'Hybrid Questions'!$A$15)+COUNTIF('Multiple Choice Questions'!$A$2:$A$1001,'Hybrid Questions'!$A$15)+COUNTIF('Hybrid Questions'!$A$2:$A$1001,'Hybrid Questions'!$A$15)+COUNTIF('Hybrid Questions'!$D$2:$D$1001,'Hybrid Questions'!$A$15))&gt;1),"Column '"&amp;'Hybrid Questions'!$A$15&amp;"' is already used by another row. Each Excel column should feed only one question.","")</f>
        <v>0</v>
      </c>
      <c r="F2334" s="4" t="s">
        <v>1812</v>
      </c>
    </row>
    <row r="2335" spans="1:6" ht="75" customHeight="1">
      <c r="A2335" t="s">
        <v>271</v>
      </c>
      <c r="B2335" t="s">
        <v>287</v>
      </c>
      <c r="C2335" t="s">
        <v>1811</v>
      </c>
      <c r="D2335" t="s">
        <v>1808</v>
      </c>
      <c r="E2335" s="4">
        <f>IF(AND('Hybrid Questions'!$D$15&lt;&gt;"",(COUNTIF('Open Questions'!$A$2:$A$1001,'Hybrid Questions'!$D$15)+COUNTIF('Multiple Choice Questions'!$A$2:$A$1001,'Hybrid Questions'!$D$15)+COUNTIF('Hybrid Questions'!$A$2:$A$1001,'Hybrid Questions'!$D$15)+COUNTIF('Hybrid Questions'!$D$2:$D$1001,'Hybrid Questions'!$D$15))&gt;1),"Column '"&amp;'Hybrid Questions'!$D$15&amp;"' is already used by another row. Each Excel column should feed only one question.","")</f>
        <v>0</v>
      </c>
      <c r="F2335" s="4" t="s">
        <v>1812</v>
      </c>
    </row>
    <row r="2336" spans="1:6" ht="75" customHeight="1">
      <c r="A2336" t="s">
        <v>271</v>
      </c>
      <c r="B2336" t="s">
        <v>180</v>
      </c>
      <c r="C2336" t="s">
        <v>1811</v>
      </c>
      <c r="D2336" t="s">
        <v>1808</v>
      </c>
      <c r="E2336" s="4">
        <f>IF(AND('Hybrid Questions'!$A$16&lt;&gt;"",(COUNTIF('Open Questions'!$A$2:$A$1001,'Hybrid Questions'!$A$16)+COUNTIF('Multiple Choice Questions'!$A$2:$A$1001,'Hybrid Questions'!$A$16)+COUNTIF('Hybrid Questions'!$A$2:$A$1001,'Hybrid Questions'!$A$16)+COUNTIF('Hybrid Questions'!$D$2:$D$1001,'Hybrid Questions'!$A$16))&gt;1),"Column '"&amp;'Hybrid Questions'!$A$16&amp;"' is already used by another row. Each Excel column should feed only one question.","")</f>
        <v>0</v>
      </c>
      <c r="F2336" s="4" t="s">
        <v>1812</v>
      </c>
    </row>
    <row r="2337" spans="1:6" ht="75" customHeight="1">
      <c r="A2337" t="s">
        <v>271</v>
      </c>
      <c r="B2337" t="s">
        <v>288</v>
      </c>
      <c r="C2337" t="s">
        <v>1811</v>
      </c>
      <c r="D2337" t="s">
        <v>1808</v>
      </c>
      <c r="E2337" s="4">
        <f>IF(AND('Hybrid Questions'!$D$16&lt;&gt;"",(COUNTIF('Open Questions'!$A$2:$A$1001,'Hybrid Questions'!$D$16)+COUNTIF('Multiple Choice Questions'!$A$2:$A$1001,'Hybrid Questions'!$D$16)+COUNTIF('Hybrid Questions'!$A$2:$A$1001,'Hybrid Questions'!$D$16)+COUNTIF('Hybrid Questions'!$D$2:$D$1001,'Hybrid Questions'!$D$16))&gt;1),"Column '"&amp;'Hybrid Questions'!$D$16&amp;"' is already used by another row. Each Excel column should feed only one question.","")</f>
        <v>0</v>
      </c>
      <c r="F2337" s="4" t="s">
        <v>1812</v>
      </c>
    </row>
    <row r="2338" spans="1:6" ht="75" customHeight="1">
      <c r="A2338" t="s">
        <v>271</v>
      </c>
      <c r="B2338" t="s">
        <v>181</v>
      </c>
      <c r="C2338" t="s">
        <v>1811</v>
      </c>
      <c r="D2338" t="s">
        <v>1808</v>
      </c>
      <c r="E2338" s="4">
        <f>IF(AND('Hybrid Questions'!$A$17&lt;&gt;"",(COUNTIF('Open Questions'!$A$2:$A$1001,'Hybrid Questions'!$A$17)+COUNTIF('Multiple Choice Questions'!$A$2:$A$1001,'Hybrid Questions'!$A$17)+COUNTIF('Hybrid Questions'!$A$2:$A$1001,'Hybrid Questions'!$A$17)+COUNTIF('Hybrid Questions'!$D$2:$D$1001,'Hybrid Questions'!$A$17))&gt;1),"Column '"&amp;'Hybrid Questions'!$A$17&amp;"' is already used by another row. Each Excel column should feed only one question.","")</f>
        <v>0</v>
      </c>
      <c r="F2338" s="4" t="s">
        <v>1812</v>
      </c>
    </row>
    <row r="2339" spans="1:6" ht="75" customHeight="1">
      <c r="A2339" t="s">
        <v>271</v>
      </c>
      <c r="B2339" t="s">
        <v>289</v>
      </c>
      <c r="C2339" t="s">
        <v>1811</v>
      </c>
      <c r="D2339" t="s">
        <v>1808</v>
      </c>
      <c r="E2339" s="4">
        <f>IF(AND('Hybrid Questions'!$D$17&lt;&gt;"",(COUNTIF('Open Questions'!$A$2:$A$1001,'Hybrid Questions'!$D$17)+COUNTIF('Multiple Choice Questions'!$A$2:$A$1001,'Hybrid Questions'!$D$17)+COUNTIF('Hybrid Questions'!$A$2:$A$1001,'Hybrid Questions'!$D$17)+COUNTIF('Hybrid Questions'!$D$2:$D$1001,'Hybrid Questions'!$D$17))&gt;1),"Column '"&amp;'Hybrid Questions'!$D$17&amp;"' is already used by another row. Each Excel column should feed only one question.","")</f>
        <v>0</v>
      </c>
      <c r="F2339" s="4" t="s">
        <v>1812</v>
      </c>
    </row>
    <row r="2340" spans="1:6" ht="75" customHeight="1">
      <c r="A2340" t="s">
        <v>271</v>
      </c>
      <c r="B2340" t="s">
        <v>182</v>
      </c>
      <c r="C2340" t="s">
        <v>1811</v>
      </c>
      <c r="D2340" t="s">
        <v>1808</v>
      </c>
      <c r="E2340" s="4">
        <f>IF(AND('Hybrid Questions'!$A$18&lt;&gt;"",(COUNTIF('Open Questions'!$A$2:$A$1001,'Hybrid Questions'!$A$18)+COUNTIF('Multiple Choice Questions'!$A$2:$A$1001,'Hybrid Questions'!$A$18)+COUNTIF('Hybrid Questions'!$A$2:$A$1001,'Hybrid Questions'!$A$18)+COUNTIF('Hybrid Questions'!$D$2:$D$1001,'Hybrid Questions'!$A$18))&gt;1),"Column '"&amp;'Hybrid Questions'!$A$18&amp;"' is already used by another row. Each Excel column should feed only one question.","")</f>
        <v>0</v>
      </c>
      <c r="F2340" s="4" t="s">
        <v>1812</v>
      </c>
    </row>
    <row r="2341" spans="1:6" ht="75" customHeight="1">
      <c r="A2341" t="s">
        <v>271</v>
      </c>
      <c r="B2341" t="s">
        <v>290</v>
      </c>
      <c r="C2341" t="s">
        <v>1811</v>
      </c>
      <c r="D2341" t="s">
        <v>1808</v>
      </c>
      <c r="E2341" s="4">
        <f>IF(AND('Hybrid Questions'!$D$18&lt;&gt;"",(COUNTIF('Open Questions'!$A$2:$A$1001,'Hybrid Questions'!$D$18)+COUNTIF('Multiple Choice Questions'!$A$2:$A$1001,'Hybrid Questions'!$D$18)+COUNTIF('Hybrid Questions'!$A$2:$A$1001,'Hybrid Questions'!$D$18)+COUNTIF('Hybrid Questions'!$D$2:$D$1001,'Hybrid Questions'!$D$18))&gt;1),"Column '"&amp;'Hybrid Questions'!$D$18&amp;"' is already used by another row. Each Excel column should feed only one question.","")</f>
        <v>0</v>
      </c>
      <c r="F2341" s="4" t="s">
        <v>1812</v>
      </c>
    </row>
    <row r="2342" spans="1:6" ht="75" customHeight="1">
      <c r="A2342" t="s">
        <v>271</v>
      </c>
      <c r="B2342" t="s">
        <v>183</v>
      </c>
      <c r="C2342" t="s">
        <v>1811</v>
      </c>
      <c r="D2342" t="s">
        <v>1808</v>
      </c>
      <c r="E2342" s="4">
        <f>IF(AND('Hybrid Questions'!$A$19&lt;&gt;"",(COUNTIF('Open Questions'!$A$2:$A$1001,'Hybrid Questions'!$A$19)+COUNTIF('Multiple Choice Questions'!$A$2:$A$1001,'Hybrid Questions'!$A$19)+COUNTIF('Hybrid Questions'!$A$2:$A$1001,'Hybrid Questions'!$A$19)+COUNTIF('Hybrid Questions'!$D$2:$D$1001,'Hybrid Questions'!$A$19))&gt;1),"Column '"&amp;'Hybrid Questions'!$A$19&amp;"' is already used by another row. Each Excel column should feed only one question.","")</f>
        <v>0</v>
      </c>
      <c r="F2342" s="4" t="s">
        <v>1812</v>
      </c>
    </row>
    <row r="2343" spans="1:6" ht="75" customHeight="1">
      <c r="A2343" t="s">
        <v>271</v>
      </c>
      <c r="B2343" t="s">
        <v>291</v>
      </c>
      <c r="C2343" t="s">
        <v>1811</v>
      </c>
      <c r="D2343" t="s">
        <v>1808</v>
      </c>
      <c r="E2343" s="4">
        <f>IF(AND('Hybrid Questions'!$D$19&lt;&gt;"",(COUNTIF('Open Questions'!$A$2:$A$1001,'Hybrid Questions'!$D$19)+COUNTIF('Multiple Choice Questions'!$A$2:$A$1001,'Hybrid Questions'!$D$19)+COUNTIF('Hybrid Questions'!$A$2:$A$1001,'Hybrid Questions'!$D$19)+COUNTIF('Hybrid Questions'!$D$2:$D$1001,'Hybrid Questions'!$D$19))&gt;1),"Column '"&amp;'Hybrid Questions'!$D$19&amp;"' is already used by another row. Each Excel column should feed only one question.","")</f>
        <v>0</v>
      </c>
      <c r="F2343" s="4" t="s">
        <v>1812</v>
      </c>
    </row>
    <row r="2344" spans="1:6" ht="75" customHeight="1">
      <c r="A2344" t="s">
        <v>271</v>
      </c>
      <c r="B2344" t="s">
        <v>184</v>
      </c>
      <c r="C2344" t="s">
        <v>1811</v>
      </c>
      <c r="D2344" t="s">
        <v>1808</v>
      </c>
      <c r="E2344" s="4">
        <f>IF(AND('Hybrid Questions'!$A$20&lt;&gt;"",(COUNTIF('Open Questions'!$A$2:$A$1001,'Hybrid Questions'!$A$20)+COUNTIF('Multiple Choice Questions'!$A$2:$A$1001,'Hybrid Questions'!$A$20)+COUNTIF('Hybrid Questions'!$A$2:$A$1001,'Hybrid Questions'!$A$20)+COUNTIF('Hybrid Questions'!$D$2:$D$1001,'Hybrid Questions'!$A$20))&gt;1),"Column '"&amp;'Hybrid Questions'!$A$20&amp;"' is already used by another row. Each Excel column should feed only one question.","")</f>
        <v>0</v>
      </c>
      <c r="F2344" s="4" t="s">
        <v>1812</v>
      </c>
    </row>
    <row r="2345" spans="1:6" ht="75" customHeight="1">
      <c r="A2345" t="s">
        <v>271</v>
      </c>
      <c r="B2345" t="s">
        <v>292</v>
      </c>
      <c r="C2345" t="s">
        <v>1811</v>
      </c>
      <c r="D2345" t="s">
        <v>1808</v>
      </c>
      <c r="E2345" s="4">
        <f>IF(AND('Hybrid Questions'!$D$20&lt;&gt;"",(COUNTIF('Open Questions'!$A$2:$A$1001,'Hybrid Questions'!$D$20)+COUNTIF('Multiple Choice Questions'!$A$2:$A$1001,'Hybrid Questions'!$D$20)+COUNTIF('Hybrid Questions'!$A$2:$A$1001,'Hybrid Questions'!$D$20)+COUNTIF('Hybrid Questions'!$D$2:$D$1001,'Hybrid Questions'!$D$20))&gt;1),"Column '"&amp;'Hybrid Questions'!$D$20&amp;"' is already used by another row. Each Excel column should feed only one question.","")</f>
        <v>0</v>
      </c>
      <c r="F2345" s="4" t="s">
        <v>1812</v>
      </c>
    </row>
    <row r="2346" spans="1:6" ht="75" customHeight="1">
      <c r="A2346" t="s">
        <v>271</v>
      </c>
      <c r="B2346" t="s">
        <v>185</v>
      </c>
      <c r="C2346" t="s">
        <v>1811</v>
      </c>
      <c r="D2346" t="s">
        <v>1808</v>
      </c>
      <c r="E2346" s="4">
        <f>IF(AND('Hybrid Questions'!$A$21&lt;&gt;"",(COUNTIF('Open Questions'!$A$2:$A$1001,'Hybrid Questions'!$A$21)+COUNTIF('Multiple Choice Questions'!$A$2:$A$1001,'Hybrid Questions'!$A$21)+COUNTIF('Hybrid Questions'!$A$2:$A$1001,'Hybrid Questions'!$A$21)+COUNTIF('Hybrid Questions'!$D$2:$D$1001,'Hybrid Questions'!$A$21))&gt;1),"Column '"&amp;'Hybrid Questions'!$A$21&amp;"' is already used by another row. Each Excel column should feed only one question.","")</f>
        <v>0</v>
      </c>
      <c r="F2346" s="4" t="s">
        <v>1812</v>
      </c>
    </row>
    <row r="2347" spans="1:6" ht="75" customHeight="1">
      <c r="A2347" t="s">
        <v>271</v>
      </c>
      <c r="B2347" t="s">
        <v>293</v>
      </c>
      <c r="C2347" t="s">
        <v>1811</v>
      </c>
      <c r="D2347" t="s">
        <v>1808</v>
      </c>
      <c r="E2347" s="4">
        <f>IF(AND('Hybrid Questions'!$D$21&lt;&gt;"",(COUNTIF('Open Questions'!$A$2:$A$1001,'Hybrid Questions'!$D$21)+COUNTIF('Multiple Choice Questions'!$A$2:$A$1001,'Hybrid Questions'!$D$21)+COUNTIF('Hybrid Questions'!$A$2:$A$1001,'Hybrid Questions'!$D$21)+COUNTIF('Hybrid Questions'!$D$2:$D$1001,'Hybrid Questions'!$D$21))&gt;1),"Column '"&amp;'Hybrid Questions'!$D$21&amp;"' is already used by another row. Each Excel column should feed only one question.","")</f>
        <v>0</v>
      </c>
      <c r="F2347" s="4" t="s">
        <v>1812</v>
      </c>
    </row>
    <row r="2348" spans="1:6" ht="75" customHeight="1">
      <c r="A2348" t="s">
        <v>271</v>
      </c>
      <c r="B2348" t="s">
        <v>186</v>
      </c>
      <c r="C2348" t="s">
        <v>1811</v>
      </c>
      <c r="D2348" t="s">
        <v>1808</v>
      </c>
      <c r="E2348" s="4">
        <f>IF(AND('Hybrid Questions'!$A$22&lt;&gt;"",(COUNTIF('Open Questions'!$A$2:$A$1001,'Hybrid Questions'!$A$22)+COUNTIF('Multiple Choice Questions'!$A$2:$A$1001,'Hybrid Questions'!$A$22)+COUNTIF('Hybrid Questions'!$A$2:$A$1001,'Hybrid Questions'!$A$22)+COUNTIF('Hybrid Questions'!$D$2:$D$1001,'Hybrid Questions'!$A$22))&gt;1),"Column '"&amp;'Hybrid Questions'!$A$22&amp;"' is already used by another row. Each Excel column should feed only one question.","")</f>
        <v>0</v>
      </c>
      <c r="F2348" s="4" t="s">
        <v>1812</v>
      </c>
    </row>
    <row r="2349" spans="1:6" ht="75" customHeight="1">
      <c r="A2349" t="s">
        <v>271</v>
      </c>
      <c r="B2349" t="s">
        <v>294</v>
      </c>
      <c r="C2349" t="s">
        <v>1811</v>
      </c>
      <c r="D2349" t="s">
        <v>1808</v>
      </c>
      <c r="E2349" s="4">
        <f>IF(AND('Hybrid Questions'!$D$22&lt;&gt;"",(COUNTIF('Open Questions'!$A$2:$A$1001,'Hybrid Questions'!$D$22)+COUNTIF('Multiple Choice Questions'!$A$2:$A$1001,'Hybrid Questions'!$D$22)+COUNTIF('Hybrid Questions'!$A$2:$A$1001,'Hybrid Questions'!$D$22)+COUNTIF('Hybrid Questions'!$D$2:$D$1001,'Hybrid Questions'!$D$22))&gt;1),"Column '"&amp;'Hybrid Questions'!$D$22&amp;"' is already used by another row. Each Excel column should feed only one question.","")</f>
        <v>0</v>
      </c>
      <c r="F2349" s="4" t="s">
        <v>1812</v>
      </c>
    </row>
    <row r="2350" spans="1:6" ht="75" customHeight="1">
      <c r="A2350" t="s">
        <v>271</v>
      </c>
      <c r="B2350" t="s">
        <v>187</v>
      </c>
      <c r="C2350" t="s">
        <v>1811</v>
      </c>
      <c r="D2350" t="s">
        <v>1808</v>
      </c>
      <c r="E2350" s="4">
        <f>IF(AND('Hybrid Questions'!$A$23&lt;&gt;"",(COUNTIF('Open Questions'!$A$2:$A$1001,'Hybrid Questions'!$A$23)+COUNTIF('Multiple Choice Questions'!$A$2:$A$1001,'Hybrid Questions'!$A$23)+COUNTIF('Hybrid Questions'!$A$2:$A$1001,'Hybrid Questions'!$A$23)+COUNTIF('Hybrid Questions'!$D$2:$D$1001,'Hybrid Questions'!$A$23))&gt;1),"Column '"&amp;'Hybrid Questions'!$A$23&amp;"' is already used by another row. Each Excel column should feed only one question.","")</f>
        <v>0</v>
      </c>
      <c r="F2350" s="4" t="s">
        <v>1812</v>
      </c>
    </row>
    <row r="2351" spans="1:6" ht="75" customHeight="1">
      <c r="A2351" t="s">
        <v>271</v>
      </c>
      <c r="B2351" t="s">
        <v>295</v>
      </c>
      <c r="C2351" t="s">
        <v>1811</v>
      </c>
      <c r="D2351" t="s">
        <v>1808</v>
      </c>
      <c r="E2351" s="4">
        <f>IF(AND('Hybrid Questions'!$D$23&lt;&gt;"",(COUNTIF('Open Questions'!$A$2:$A$1001,'Hybrid Questions'!$D$23)+COUNTIF('Multiple Choice Questions'!$A$2:$A$1001,'Hybrid Questions'!$D$23)+COUNTIF('Hybrid Questions'!$A$2:$A$1001,'Hybrid Questions'!$D$23)+COUNTIF('Hybrid Questions'!$D$2:$D$1001,'Hybrid Questions'!$D$23))&gt;1),"Column '"&amp;'Hybrid Questions'!$D$23&amp;"' is already used by another row. Each Excel column should feed only one question.","")</f>
        <v>0</v>
      </c>
      <c r="F2351" s="4" t="s">
        <v>1812</v>
      </c>
    </row>
    <row r="2352" spans="1:6" ht="75" customHeight="1">
      <c r="A2352" t="s">
        <v>271</v>
      </c>
      <c r="B2352" t="s">
        <v>188</v>
      </c>
      <c r="C2352" t="s">
        <v>1811</v>
      </c>
      <c r="D2352" t="s">
        <v>1808</v>
      </c>
      <c r="E2352" s="4">
        <f>IF(AND('Hybrid Questions'!$A$24&lt;&gt;"",(COUNTIF('Open Questions'!$A$2:$A$1001,'Hybrid Questions'!$A$24)+COUNTIF('Multiple Choice Questions'!$A$2:$A$1001,'Hybrid Questions'!$A$24)+COUNTIF('Hybrid Questions'!$A$2:$A$1001,'Hybrid Questions'!$A$24)+COUNTIF('Hybrid Questions'!$D$2:$D$1001,'Hybrid Questions'!$A$24))&gt;1),"Column '"&amp;'Hybrid Questions'!$A$24&amp;"' is already used by another row. Each Excel column should feed only one question.","")</f>
        <v>0</v>
      </c>
      <c r="F2352" s="4" t="s">
        <v>1812</v>
      </c>
    </row>
    <row r="2353" spans="1:6" ht="75" customHeight="1">
      <c r="A2353" t="s">
        <v>271</v>
      </c>
      <c r="B2353" t="s">
        <v>296</v>
      </c>
      <c r="C2353" t="s">
        <v>1811</v>
      </c>
      <c r="D2353" t="s">
        <v>1808</v>
      </c>
      <c r="E2353" s="4">
        <f>IF(AND('Hybrid Questions'!$D$24&lt;&gt;"",(COUNTIF('Open Questions'!$A$2:$A$1001,'Hybrid Questions'!$D$24)+COUNTIF('Multiple Choice Questions'!$A$2:$A$1001,'Hybrid Questions'!$D$24)+COUNTIF('Hybrid Questions'!$A$2:$A$1001,'Hybrid Questions'!$D$24)+COUNTIF('Hybrid Questions'!$D$2:$D$1001,'Hybrid Questions'!$D$24))&gt;1),"Column '"&amp;'Hybrid Questions'!$D$24&amp;"' is already used by another row. Each Excel column should feed only one question.","")</f>
        <v>0</v>
      </c>
      <c r="F2353" s="4" t="s">
        <v>1812</v>
      </c>
    </row>
    <row r="2354" spans="1:6" ht="75" customHeight="1">
      <c r="A2354" t="s">
        <v>271</v>
      </c>
      <c r="B2354" t="s">
        <v>189</v>
      </c>
      <c r="C2354" t="s">
        <v>1811</v>
      </c>
      <c r="D2354" t="s">
        <v>1808</v>
      </c>
      <c r="E2354" s="4">
        <f>IF(AND('Hybrid Questions'!$A$25&lt;&gt;"",(COUNTIF('Open Questions'!$A$2:$A$1001,'Hybrid Questions'!$A$25)+COUNTIF('Multiple Choice Questions'!$A$2:$A$1001,'Hybrid Questions'!$A$25)+COUNTIF('Hybrid Questions'!$A$2:$A$1001,'Hybrid Questions'!$A$25)+COUNTIF('Hybrid Questions'!$D$2:$D$1001,'Hybrid Questions'!$A$25))&gt;1),"Column '"&amp;'Hybrid Questions'!$A$25&amp;"' is already used by another row. Each Excel column should feed only one question.","")</f>
        <v>0</v>
      </c>
      <c r="F2354" s="4" t="s">
        <v>1812</v>
      </c>
    </row>
    <row r="2355" spans="1:6" ht="75" customHeight="1">
      <c r="A2355" t="s">
        <v>271</v>
      </c>
      <c r="B2355" t="s">
        <v>297</v>
      </c>
      <c r="C2355" t="s">
        <v>1811</v>
      </c>
      <c r="D2355" t="s">
        <v>1808</v>
      </c>
      <c r="E2355" s="4">
        <f>IF(AND('Hybrid Questions'!$D$25&lt;&gt;"",(COUNTIF('Open Questions'!$A$2:$A$1001,'Hybrid Questions'!$D$25)+COUNTIF('Multiple Choice Questions'!$A$2:$A$1001,'Hybrid Questions'!$D$25)+COUNTIF('Hybrid Questions'!$A$2:$A$1001,'Hybrid Questions'!$D$25)+COUNTIF('Hybrid Questions'!$D$2:$D$1001,'Hybrid Questions'!$D$25))&gt;1),"Column '"&amp;'Hybrid Questions'!$D$25&amp;"' is already used by another row. Each Excel column should feed only one question.","")</f>
        <v>0</v>
      </c>
      <c r="F2355" s="4" t="s">
        <v>1812</v>
      </c>
    </row>
    <row r="2356" spans="1:6" ht="75" customHeight="1">
      <c r="A2356" t="s">
        <v>271</v>
      </c>
      <c r="B2356" t="s">
        <v>190</v>
      </c>
      <c r="C2356" t="s">
        <v>1811</v>
      </c>
      <c r="D2356" t="s">
        <v>1808</v>
      </c>
      <c r="E2356" s="4">
        <f>IF(AND('Hybrid Questions'!$A$26&lt;&gt;"",(COUNTIF('Open Questions'!$A$2:$A$1001,'Hybrid Questions'!$A$26)+COUNTIF('Multiple Choice Questions'!$A$2:$A$1001,'Hybrid Questions'!$A$26)+COUNTIF('Hybrid Questions'!$A$2:$A$1001,'Hybrid Questions'!$A$26)+COUNTIF('Hybrid Questions'!$D$2:$D$1001,'Hybrid Questions'!$A$26))&gt;1),"Column '"&amp;'Hybrid Questions'!$A$26&amp;"' is already used by another row. Each Excel column should feed only one question.","")</f>
        <v>0</v>
      </c>
      <c r="F2356" s="4" t="s">
        <v>1812</v>
      </c>
    </row>
    <row r="2357" spans="1:6" ht="75" customHeight="1">
      <c r="A2357" t="s">
        <v>271</v>
      </c>
      <c r="B2357" t="s">
        <v>298</v>
      </c>
      <c r="C2357" t="s">
        <v>1811</v>
      </c>
      <c r="D2357" t="s">
        <v>1808</v>
      </c>
      <c r="E2357" s="4">
        <f>IF(AND('Hybrid Questions'!$D$26&lt;&gt;"",(COUNTIF('Open Questions'!$A$2:$A$1001,'Hybrid Questions'!$D$26)+COUNTIF('Multiple Choice Questions'!$A$2:$A$1001,'Hybrid Questions'!$D$26)+COUNTIF('Hybrid Questions'!$A$2:$A$1001,'Hybrid Questions'!$D$26)+COUNTIF('Hybrid Questions'!$D$2:$D$1001,'Hybrid Questions'!$D$26))&gt;1),"Column '"&amp;'Hybrid Questions'!$D$26&amp;"' is already used by another row. Each Excel column should feed only one question.","")</f>
        <v>0</v>
      </c>
      <c r="F2357" s="4" t="s">
        <v>1812</v>
      </c>
    </row>
    <row r="2358" spans="1:6" ht="75" customHeight="1">
      <c r="A2358" t="s">
        <v>271</v>
      </c>
      <c r="B2358" t="s">
        <v>191</v>
      </c>
      <c r="C2358" t="s">
        <v>1811</v>
      </c>
      <c r="D2358" t="s">
        <v>1808</v>
      </c>
      <c r="E2358" s="4">
        <f>IF(AND('Hybrid Questions'!$A$27&lt;&gt;"",(COUNTIF('Open Questions'!$A$2:$A$1001,'Hybrid Questions'!$A$27)+COUNTIF('Multiple Choice Questions'!$A$2:$A$1001,'Hybrid Questions'!$A$27)+COUNTIF('Hybrid Questions'!$A$2:$A$1001,'Hybrid Questions'!$A$27)+COUNTIF('Hybrid Questions'!$D$2:$D$1001,'Hybrid Questions'!$A$27))&gt;1),"Column '"&amp;'Hybrid Questions'!$A$27&amp;"' is already used by another row. Each Excel column should feed only one question.","")</f>
        <v>0</v>
      </c>
      <c r="F2358" s="4" t="s">
        <v>1812</v>
      </c>
    </row>
    <row r="2359" spans="1:6" ht="75" customHeight="1">
      <c r="A2359" t="s">
        <v>271</v>
      </c>
      <c r="B2359" t="s">
        <v>299</v>
      </c>
      <c r="C2359" t="s">
        <v>1811</v>
      </c>
      <c r="D2359" t="s">
        <v>1808</v>
      </c>
      <c r="E2359" s="4">
        <f>IF(AND('Hybrid Questions'!$D$27&lt;&gt;"",(COUNTIF('Open Questions'!$A$2:$A$1001,'Hybrid Questions'!$D$27)+COUNTIF('Multiple Choice Questions'!$A$2:$A$1001,'Hybrid Questions'!$D$27)+COUNTIF('Hybrid Questions'!$A$2:$A$1001,'Hybrid Questions'!$D$27)+COUNTIF('Hybrid Questions'!$D$2:$D$1001,'Hybrid Questions'!$D$27))&gt;1),"Column '"&amp;'Hybrid Questions'!$D$27&amp;"' is already used by another row. Each Excel column should feed only one question.","")</f>
        <v>0</v>
      </c>
      <c r="F2359" s="4" t="s">
        <v>1812</v>
      </c>
    </row>
    <row r="2360" spans="1:6" ht="75" customHeight="1">
      <c r="A2360" t="s">
        <v>271</v>
      </c>
      <c r="B2360" t="s">
        <v>192</v>
      </c>
      <c r="C2360" t="s">
        <v>1811</v>
      </c>
      <c r="D2360" t="s">
        <v>1808</v>
      </c>
      <c r="E2360" s="4">
        <f>IF(AND('Hybrid Questions'!$A$28&lt;&gt;"",(COUNTIF('Open Questions'!$A$2:$A$1001,'Hybrid Questions'!$A$28)+COUNTIF('Multiple Choice Questions'!$A$2:$A$1001,'Hybrid Questions'!$A$28)+COUNTIF('Hybrid Questions'!$A$2:$A$1001,'Hybrid Questions'!$A$28)+COUNTIF('Hybrid Questions'!$D$2:$D$1001,'Hybrid Questions'!$A$28))&gt;1),"Column '"&amp;'Hybrid Questions'!$A$28&amp;"' is already used by another row. Each Excel column should feed only one question.","")</f>
        <v>0</v>
      </c>
      <c r="F2360" s="4" t="s">
        <v>1812</v>
      </c>
    </row>
    <row r="2361" spans="1:6" ht="75" customHeight="1">
      <c r="A2361" t="s">
        <v>271</v>
      </c>
      <c r="B2361" t="s">
        <v>300</v>
      </c>
      <c r="C2361" t="s">
        <v>1811</v>
      </c>
      <c r="D2361" t="s">
        <v>1808</v>
      </c>
      <c r="E2361" s="4">
        <f>IF(AND('Hybrid Questions'!$D$28&lt;&gt;"",(COUNTIF('Open Questions'!$A$2:$A$1001,'Hybrid Questions'!$D$28)+COUNTIF('Multiple Choice Questions'!$A$2:$A$1001,'Hybrid Questions'!$D$28)+COUNTIF('Hybrid Questions'!$A$2:$A$1001,'Hybrid Questions'!$D$28)+COUNTIF('Hybrid Questions'!$D$2:$D$1001,'Hybrid Questions'!$D$28))&gt;1),"Column '"&amp;'Hybrid Questions'!$D$28&amp;"' is already used by another row. Each Excel column should feed only one question.","")</f>
        <v>0</v>
      </c>
      <c r="F2361" s="4" t="s">
        <v>1812</v>
      </c>
    </row>
    <row r="2362" spans="1:6" ht="75" customHeight="1">
      <c r="A2362" t="s">
        <v>271</v>
      </c>
      <c r="B2362" t="s">
        <v>193</v>
      </c>
      <c r="C2362" t="s">
        <v>1811</v>
      </c>
      <c r="D2362" t="s">
        <v>1808</v>
      </c>
      <c r="E2362" s="4">
        <f>IF(AND('Hybrid Questions'!$A$29&lt;&gt;"",(COUNTIF('Open Questions'!$A$2:$A$1001,'Hybrid Questions'!$A$29)+COUNTIF('Multiple Choice Questions'!$A$2:$A$1001,'Hybrid Questions'!$A$29)+COUNTIF('Hybrid Questions'!$A$2:$A$1001,'Hybrid Questions'!$A$29)+COUNTIF('Hybrid Questions'!$D$2:$D$1001,'Hybrid Questions'!$A$29))&gt;1),"Column '"&amp;'Hybrid Questions'!$A$29&amp;"' is already used by another row. Each Excel column should feed only one question.","")</f>
        <v>0</v>
      </c>
      <c r="F2362" s="4" t="s">
        <v>1812</v>
      </c>
    </row>
    <row r="2363" spans="1:6" ht="75" customHeight="1">
      <c r="A2363" t="s">
        <v>271</v>
      </c>
      <c r="B2363" t="s">
        <v>301</v>
      </c>
      <c r="C2363" t="s">
        <v>1811</v>
      </c>
      <c r="D2363" t="s">
        <v>1808</v>
      </c>
      <c r="E2363" s="4">
        <f>IF(AND('Hybrid Questions'!$D$29&lt;&gt;"",(COUNTIF('Open Questions'!$A$2:$A$1001,'Hybrid Questions'!$D$29)+COUNTIF('Multiple Choice Questions'!$A$2:$A$1001,'Hybrid Questions'!$D$29)+COUNTIF('Hybrid Questions'!$A$2:$A$1001,'Hybrid Questions'!$D$29)+COUNTIF('Hybrid Questions'!$D$2:$D$1001,'Hybrid Questions'!$D$29))&gt;1),"Column '"&amp;'Hybrid Questions'!$D$29&amp;"' is already used by another row. Each Excel column should feed only one question.","")</f>
        <v>0</v>
      </c>
      <c r="F2363" s="4" t="s">
        <v>1812</v>
      </c>
    </row>
    <row r="2364" spans="1:6" ht="75" customHeight="1">
      <c r="A2364" t="s">
        <v>271</v>
      </c>
      <c r="B2364" t="s">
        <v>194</v>
      </c>
      <c r="C2364" t="s">
        <v>1811</v>
      </c>
      <c r="D2364" t="s">
        <v>1808</v>
      </c>
      <c r="E2364" s="4">
        <f>IF(AND('Hybrid Questions'!$A$30&lt;&gt;"",(COUNTIF('Open Questions'!$A$2:$A$1001,'Hybrid Questions'!$A$30)+COUNTIF('Multiple Choice Questions'!$A$2:$A$1001,'Hybrid Questions'!$A$30)+COUNTIF('Hybrid Questions'!$A$2:$A$1001,'Hybrid Questions'!$A$30)+COUNTIF('Hybrid Questions'!$D$2:$D$1001,'Hybrid Questions'!$A$30))&gt;1),"Column '"&amp;'Hybrid Questions'!$A$30&amp;"' is already used by another row. Each Excel column should feed only one question.","")</f>
        <v>0</v>
      </c>
      <c r="F2364" s="4" t="s">
        <v>1812</v>
      </c>
    </row>
    <row r="2365" spans="1:6" ht="75" customHeight="1">
      <c r="A2365" t="s">
        <v>271</v>
      </c>
      <c r="B2365" t="s">
        <v>302</v>
      </c>
      <c r="C2365" t="s">
        <v>1811</v>
      </c>
      <c r="D2365" t="s">
        <v>1808</v>
      </c>
      <c r="E2365" s="4">
        <f>IF(AND('Hybrid Questions'!$D$30&lt;&gt;"",(COUNTIF('Open Questions'!$A$2:$A$1001,'Hybrid Questions'!$D$30)+COUNTIF('Multiple Choice Questions'!$A$2:$A$1001,'Hybrid Questions'!$D$30)+COUNTIF('Hybrid Questions'!$A$2:$A$1001,'Hybrid Questions'!$D$30)+COUNTIF('Hybrid Questions'!$D$2:$D$1001,'Hybrid Questions'!$D$30))&gt;1),"Column '"&amp;'Hybrid Questions'!$D$30&amp;"' is already used by another row. Each Excel column should feed only one question.","")</f>
        <v>0</v>
      </c>
      <c r="F2365" s="4" t="s">
        <v>1812</v>
      </c>
    </row>
    <row r="2366" spans="1:6" ht="75" customHeight="1">
      <c r="A2366" t="s">
        <v>271</v>
      </c>
      <c r="B2366" t="s">
        <v>195</v>
      </c>
      <c r="C2366" t="s">
        <v>1811</v>
      </c>
      <c r="D2366" t="s">
        <v>1808</v>
      </c>
      <c r="E2366" s="4">
        <f>IF(AND('Hybrid Questions'!$A$31&lt;&gt;"",(COUNTIF('Open Questions'!$A$2:$A$1001,'Hybrid Questions'!$A$31)+COUNTIF('Multiple Choice Questions'!$A$2:$A$1001,'Hybrid Questions'!$A$31)+COUNTIF('Hybrid Questions'!$A$2:$A$1001,'Hybrid Questions'!$A$31)+COUNTIF('Hybrid Questions'!$D$2:$D$1001,'Hybrid Questions'!$A$31))&gt;1),"Column '"&amp;'Hybrid Questions'!$A$31&amp;"' is already used by another row. Each Excel column should feed only one question.","")</f>
        <v>0</v>
      </c>
      <c r="F2366" s="4" t="s">
        <v>1812</v>
      </c>
    </row>
    <row r="2367" spans="1:6" ht="75" customHeight="1">
      <c r="A2367" t="s">
        <v>271</v>
      </c>
      <c r="B2367" t="s">
        <v>303</v>
      </c>
      <c r="C2367" t="s">
        <v>1811</v>
      </c>
      <c r="D2367" t="s">
        <v>1808</v>
      </c>
      <c r="E2367" s="4">
        <f>IF(AND('Hybrid Questions'!$D$31&lt;&gt;"",(COUNTIF('Open Questions'!$A$2:$A$1001,'Hybrid Questions'!$D$31)+COUNTIF('Multiple Choice Questions'!$A$2:$A$1001,'Hybrid Questions'!$D$31)+COUNTIF('Hybrid Questions'!$A$2:$A$1001,'Hybrid Questions'!$D$31)+COUNTIF('Hybrid Questions'!$D$2:$D$1001,'Hybrid Questions'!$D$31))&gt;1),"Column '"&amp;'Hybrid Questions'!$D$31&amp;"' is already used by another row. Each Excel column should feed only one question.","")</f>
        <v>0</v>
      </c>
      <c r="F2367" s="4" t="s">
        <v>1812</v>
      </c>
    </row>
    <row r="2368" spans="1:6" ht="75" customHeight="1">
      <c r="A2368" t="s">
        <v>271</v>
      </c>
      <c r="B2368" t="s">
        <v>196</v>
      </c>
      <c r="C2368" t="s">
        <v>1811</v>
      </c>
      <c r="D2368" t="s">
        <v>1808</v>
      </c>
      <c r="E2368" s="4">
        <f>IF(AND('Hybrid Questions'!$A$32&lt;&gt;"",(COUNTIF('Open Questions'!$A$2:$A$1001,'Hybrid Questions'!$A$32)+COUNTIF('Multiple Choice Questions'!$A$2:$A$1001,'Hybrid Questions'!$A$32)+COUNTIF('Hybrid Questions'!$A$2:$A$1001,'Hybrid Questions'!$A$32)+COUNTIF('Hybrid Questions'!$D$2:$D$1001,'Hybrid Questions'!$A$32))&gt;1),"Column '"&amp;'Hybrid Questions'!$A$32&amp;"' is already used by another row. Each Excel column should feed only one question.","")</f>
        <v>0</v>
      </c>
      <c r="F2368" s="4" t="s">
        <v>1812</v>
      </c>
    </row>
    <row r="2369" spans="1:6" ht="75" customHeight="1">
      <c r="A2369" t="s">
        <v>271</v>
      </c>
      <c r="B2369" t="s">
        <v>304</v>
      </c>
      <c r="C2369" t="s">
        <v>1811</v>
      </c>
      <c r="D2369" t="s">
        <v>1808</v>
      </c>
      <c r="E2369" s="4">
        <f>IF(AND('Hybrid Questions'!$D$32&lt;&gt;"",(COUNTIF('Open Questions'!$A$2:$A$1001,'Hybrid Questions'!$D$32)+COUNTIF('Multiple Choice Questions'!$A$2:$A$1001,'Hybrid Questions'!$D$32)+COUNTIF('Hybrid Questions'!$A$2:$A$1001,'Hybrid Questions'!$D$32)+COUNTIF('Hybrid Questions'!$D$2:$D$1001,'Hybrid Questions'!$D$32))&gt;1),"Column '"&amp;'Hybrid Questions'!$D$32&amp;"' is already used by another row. Each Excel column should feed only one question.","")</f>
        <v>0</v>
      </c>
      <c r="F2369" s="4" t="s">
        <v>1812</v>
      </c>
    </row>
    <row r="2370" spans="1:6" ht="75" customHeight="1">
      <c r="A2370" t="s">
        <v>271</v>
      </c>
      <c r="B2370" t="s">
        <v>197</v>
      </c>
      <c r="C2370" t="s">
        <v>1811</v>
      </c>
      <c r="D2370" t="s">
        <v>1808</v>
      </c>
      <c r="E2370" s="4">
        <f>IF(AND('Hybrid Questions'!$A$33&lt;&gt;"",(COUNTIF('Open Questions'!$A$2:$A$1001,'Hybrid Questions'!$A$33)+COUNTIF('Multiple Choice Questions'!$A$2:$A$1001,'Hybrid Questions'!$A$33)+COUNTIF('Hybrid Questions'!$A$2:$A$1001,'Hybrid Questions'!$A$33)+COUNTIF('Hybrid Questions'!$D$2:$D$1001,'Hybrid Questions'!$A$33))&gt;1),"Column '"&amp;'Hybrid Questions'!$A$33&amp;"' is already used by another row. Each Excel column should feed only one question.","")</f>
        <v>0</v>
      </c>
      <c r="F2370" s="4" t="s">
        <v>1812</v>
      </c>
    </row>
    <row r="2371" spans="1:6" ht="75" customHeight="1">
      <c r="A2371" t="s">
        <v>271</v>
      </c>
      <c r="B2371" t="s">
        <v>305</v>
      </c>
      <c r="C2371" t="s">
        <v>1811</v>
      </c>
      <c r="D2371" t="s">
        <v>1808</v>
      </c>
      <c r="E2371" s="4">
        <f>IF(AND('Hybrid Questions'!$D$33&lt;&gt;"",(COUNTIF('Open Questions'!$A$2:$A$1001,'Hybrid Questions'!$D$33)+COUNTIF('Multiple Choice Questions'!$A$2:$A$1001,'Hybrid Questions'!$D$33)+COUNTIF('Hybrid Questions'!$A$2:$A$1001,'Hybrid Questions'!$D$33)+COUNTIF('Hybrid Questions'!$D$2:$D$1001,'Hybrid Questions'!$D$33))&gt;1),"Column '"&amp;'Hybrid Questions'!$D$33&amp;"' is already used by another row. Each Excel column should feed only one question.","")</f>
        <v>0</v>
      </c>
      <c r="F2371" s="4" t="s">
        <v>1812</v>
      </c>
    </row>
    <row r="2372" spans="1:6" ht="75" customHeight="1">
      <c r="A2372" t="s">
        <v>271</v>
      </c>
      <c r="B2372" t="s">
        <v>198</v>
      </c>
      <c r="C2372" t="s">
        <v>1811</v>
      </c>
      <c r="D2372" t="s">
        <v>1808</v>
      </c>
      <c r="E2372" s="4">
        <f>IF(AND('Hybrid Questions'!$A$34&lt;&gt;"",(COUNTIF('Open Questions'!$A$2:$A$1001,'Hybrid Questions'!$A$34)+COUNTIF('Multiple Choice Questions'!$A$2:$A$1001,'Hybrid Questions'!$A$34)+COUNTIF('Hybrid Questions'!$A$2:$A$1001,'Hybrid Questions'!$A$34)+COUNTIF('Hybrid Questions'!$D$2:$D$1001,'Hybrid Questions'!$A$34))&gt;1),"Column '"&amp;'Hybrid Questions'!$A$34&amp;"' is already used by another row. Each Excel column should feed only one question.","")</f>
        <v>0</v>
      </c>
      <c r="F2372" s="4" t="s">
        <v>1812</v>
      </c>
    </row>
    <row r="2373" spans="1:6" ht="75" customHeight="1">
      <c r="A2373" t="s">
        <v>271</v>
      </c>
      <c r="B2373" t="s">
        <v>306</v>
      </c>
      <c r="C2373" t="s">
        <v>1811</v>
      </c>
      <c r="D2373" t="s">
        <v>1808</v>
      </c>
      <c r="E2373" s="4">
        <f>IF(AND('Hybrid Questions'!$D$34&lt;&gt;"",(COUNTIF('Open Questions'!$A$2:$A$1001,'Hybrid Questions'!$D$34)+COUNTIF('Multiple Choice Questions'!$A$2:$A$1001,'Hybrid Questions'!$D$34)+COUNTIF('Hybrid Questions'!$A$2:$A$1001,'Hybrid Questions'!$D$34)+COUNTIF('Hybrid Questions'!$D$2:$D$1001,'Hybrid Questions'!$D$34))&gt;1),"Column '"&amp;'Hybrid Questions'!$D$34&amp;"' is already used by another row. Each Excel column should feed only one question.","")</f>
        <v>0</v>
      </c>
      <c r="F2373" s="4" t="s">
        <v>1812</v>
      </c>
    </row>
    <row r="2374" spans="1:6" ht="75" customHeight="1">
      <c r="A2374" t="s">
        <v>271</v>
      </c>
      <c r="B2374" t="s">
        <v>199</v>
      </c>
      <c r="C2374" t="s">
        <v>1811</v>
      </c>
      <c r="D2374" t="s">
        <v>1808</v>
      </c>
      <c r="E2374" s="4">
        <f>IF(AND('Hybrid Questions'!$A$35&lt;&gt;"",(COUNTIF('Open Questions'!$A$2:$A$1001,'Hybrid Questions'!$A$35)+COUNTIF('Multiple Choice Questions'!$A$2:$A$1001,'Hybrid Questions'!$A$35)+COUNTIF('Hybrid Questions'!$A$2:$A$1001,'Hybrid Questions'!$A$35)+COUNTIF('Hybrid Questions'!$D$2:$D$1001,'Hybrid Questions'!$A$35))&gt;1),"Column '"&amp;'Hybrid Questions'!$A$35&amp;"' is already used by another row. Each Excel column should feed only one question.","")</f>
        <v>0</v>
      </c>
      <c r="F2374" s="4" t="s">
        <v>1812</v>
      </c>
    </row>
    <row r="2375" spans="1:6" ht="75" customHeight="1">
      <c r="A2375" t="s">
        <v>271</v>
      </c>
      <c r="B2375" t="s">
        <v>307</v>
      </c>
      <c r="C2375" t="s">
        <v>1811</v>
      </c>
      <c r="D2375" t="s">
        <v>1808</v>
      </c>
      <c r="E2375" s="4">
        <f>IF(AND('Hybrid Questions'!$D$35&lt;&gt;"",(COUNTIF('Open Questions'!$A$2:$A$1001,'Hybrid Questions'!$D$35)+COUNTIF('Multiple Choice Questions'!$A$2:$A$1001,'Hybrid Questions'!$D$35)+COUNTIF('Hybrid Questions'!$A$2:$A$1001,'Hybrid Questions'!$D$35)+COUNTIF('Hybrid Questions'!$D$2:$D$1001,'Hybrid Questions'!$D$35))&gt;1),"Column '"&amp;'Hybrid Questions'!$D$35&amp;"' is already used by another row. Each Excel column should feed only one question.","")</f>
        <v>0</v>
      </c>
      <c r="F2375" s="4" t="s">
        <v>1812</v>
      </c>
    </row>
    <row r="2376" spans="1:6" ht="75" customHeight="1">
      <c r="A2376" t="s">
        <v>271</v>
      </c>
      <c r="B2376" t="s">
        <v>200</v>
      </c>
      <c r="C2376" t="s">
        <v>1811</v>
      </c>
      <c r="D2376" t="s">
        <v>1808</v>
      </c>
      <c r="E2376" s="4">
        <f>IF(AND('Hybrid Questions'!$A$36&lt;&gt;"",(COUNTIF('Open Questions'!$A$2:$A$1001,'Hybrid Questions'!$A$36)+COUNTIF('Multiple Choice Questions'!$A$2:$A$1001,'Hybrid Questions'!$A$36)+COUNTIF('Hybrid Questions'!$A$2:$A$1001,'Hybrid Questions'!$A$36)+COUNTIF('Hybrid Questions'!$D$2:$D$1001,'Hybrid Questions'!$A$36))&gt;1),"Column '"&amp;'Hybrid Questions'!$A$36&amp;"' is already used by another row. Each Excel column should feed only one question.","")</f>
        <v>0</v>
      </c>
      <c r="F2376" s="4" t="s">
        <v>1812</v>
      </c>
    </row>
    <row r="2377" spans="1:6" ht="75" customHeight="1">
      <c r="A2377" t="s">
        <v>271</v>
      </c>
      <c r="B2377" t="s">
        <v>308</v>
      </c>
      <c r="C2377" t="s">
        <v>1811</v>
      </c>
      <c r="D2377" t="s">
        <v>1808</v>
      </c>
      <c r="E2377" s="4">
        <f>IF(AND('Hybrid Questions'!$D$36&lt;&gt;"",(COUNTIF('Open Questions'!$A$2:$A$1001,'Hybrid Questions'!$D$36)+COUNTIF('Multiple Choice Questions'!$A$2:$A$1001,'Hybrid Questions'!$D$36)+COUNTIF('Hybrid Questions'!$A$2:$A$1001,'Hybrid Questions'!$D$36)+COUNTIF('Hybrid Questions'!$D$2:$D$1001,'Hybrid Questions'!$D$36))&gt;1),"Column '"&amp;'Hybrid Questions'!$D$36&amp;"' is already used by another row. Each Excel column should feed only one question.","")</f>
        <v>0</v>
      </c>
      <c r="F2377" s="4" t="s">
        <v>1812</v>
      </c>
    </row>
    <row r="2378" spans="1:6" ht="75" customHeight="1">
      <c r="A2378" t="s">
        <v>271</v>
      </c>
      <c r="B2378" t="s">
        <v>201</v>
      </c>
      <c r="C2378" t="s">
        <v>1811</v>
      </c>
      <c r="D2378" t="s">
        <v>1808</v>
      </c>
      <c r="E2378" s="4">
        <f>IF(AND('Hybrid Questions'!$A$37&lt;&gt;"",(COUNTIF('Open Questions'!$A$2:$A$1001,'Hybrid Questions'!$A$37)+COUNTIF('Multiple Choice Questions'!$A$2:$A$1001,'Hybrid Questions'!$A$37)+COUNTIF('Hybrid Questions'!$A$2:$A$1001,'Hybrid Questions'!$A$37)+COUNTIF('Hybrid Questions'!$D$2:$D$1001,'Hybrid Questions'!$A$37))&gt;1),"Column '"&amp;'Hybrid Questions'!$A$37&amp;"' is already used by another row. Each Excel column should feed only one question.","")</f>
        <v>0</v>
      </c>
      <c r="F2378" s="4" t="s">
        <v>1812</v>
      </c>
    </row>
    <row r="2379" spans="1:6" ht="75" customHeight="1">
      <c r="A2379" t="s">
        <v>271</v>
      </c>
      <c r="B2379" t="s">
        <v>309</v>
      </c>
      <c r="C2379" t="s">
        <v>1811</v>
      </c>
      <c r="D2379" t="s">
        <v>1808</v>
      </c>
      <c r="E2379" s="4">
        <f>IF(AND('Hybrid Questions'!$D$37&lt;&gt;"",(COUNTIF('Open Questions'!$A$2:$A$1001,'Hybrid Questions'!$D$37)+COUNTIF('Multiple Choice Questions'!$A$2:$A$1001,'Hybrid Questions'!$D$37)+COUNTIF('Hybrid Questions'!$A$2:$A$1001,'Hybrid Questions'!$D$37)+COUNTIF('Hybrid Questions'!$D$2:$D$1001,'Hybrid Questions'!$D$37))&gt;1),"Column '"&amp;'Hybrid Questions'!$D$37&amp;"' is already used by another row. Each Excel column should feed only one question.","")</f>
        <v>0</v>
      </c>
      <c r="F2379" s="4" t="s">
        <v>1812</v>
      </c>
    </row>
    <row r="2380" spans="1:6" ht="75" customHeight="1">
      <c r="A2380" t="s">
        <v>271</v>
      </c>
      <c r="B2380" t="s">
        <v>202</v>
      </c>
      <c r="C2380" t="s">
        <v>1811</v>
      </c>
      <c r="D2380" t="s">
        <v>1808</v>
      </c>
      <c r="E2380" s="4">
        <f>IF(AND('Hybrid Questions'!$A$38&lt;&gt;"",(COUNTIF('Open Questions'!$A$2:$A$1001,'Hybrid Questions'!$A$38)+COUNTIF('Multiple Choice Questions'!$A$2:$A$1001,'Hybrid Questions'!$A$38)+COUNTIF('Hybrid Questions'!$A$2:$A$1001,'Hybrid Questions'!$A$38)+COUNTIF('Hybrid Questions'!$D$2:$D$1001,'Hybrid Questions'!$A$38))&gt;1),"Column '"&amp;'Hybrid Questions'!$A$38&amp;"' is already used by another row. Each Excel column should feed only one question.","")</f>
        <v>0</v>
      </c>
      <c r="F2380" s="4" t="s">
        <v>1812</v>
      </c>
    </row>
    <row r="2381" spans="1:6" ht="75" customHeight="1">
      <c r="A2381" t="s">
        <v>271</v>
      </c>
      <c r="B2381" t="s">
        <v>310</v>
      </c>
      <c r="C2381" t="s">
        <v>1811</v>
      </c>
      <c r="D2381" t="s">
        <v>1808</v>
      </c>
      <c r="E2381" s="4">
        <f>IF(AND('Hybrid Questions'!$D$38&lt;&gt;"",(COUNTIF('Open Questions'!$A$2:$A$1001,'Hybrid Questions'!$D$38)+COUNTIF('Multiple Choice Questions'!$A$2:$A$1001,'Hybrid Questions'!$D$38)+COUNTIF('Hybrid Questions'!$A$2:$A$1001,'Hybrid Questions'!$D$38)+COUNTIF('Hybrid Questions'!$D$2:$D$1001,'Hybrid Questions'!$D$38))&gt;1),"Column '"&amp;'Hybrid Questions'!$D$38&amp;"' is already used by another row. Each Excel column should feed only one question.","")</f>
        <v>0</v>
      </c>
      <c r="F2381" s="4" t="s">
        <v>1812</v>
      </c>
    </row>
    <row r="2382" spans="1:6" ht="75" customHeight="1">
      <c r="A2382" t="s">
        <v>271</v>
      </c>
      <c r="B2382" t="s">
        <v>203</v>
      </c>
      <c r="C2382" t="s">
        <v>1811</v>
      </c>
      <c r="D2382" t="s">
        <v>1808</v>
      </c>
      <c r="E2382" s="4">
        <f>IF(AND('Hybrid Questions'!$A$39&lt;&gt;"",(COUNTIF('Open Questions'!$A$2:$A$1001,'Hybrid Questions'!$A$39)+COUNTIF('Multiple Choice Questions'!$A$2:$A$1001,'Hybrid Questions'!$A$39)+COUNTIF('Hybrid Questions'!$A$2:$A$1001,'Hybrid Questions'!$A$39)+COUNTIF('Hybrid Questions'!$D$2:$D$1001,'Hybrid Questions'!$A$39))&gt;1),"Column '"&amp;'Hybrid Questions'!$A$39&amp;"' is already used by another row. Each Excel column should feed only one question.","")</f>
        <v>0</v>
      </c>
      <c r="F2382" s="4" t="s">
        <v>1812</v>
      </c>
    </row>
    <row r="2383" spans="1:6" ht="75" customHeight="1">
      <c r="A2383" t="s">
        <v>271</v>
      </c>
      <c r="B2383" t="s">
        <v>311</v>
      </c>
      <c r="C2383" t="s">
        <v>1811</v>
      </c>
      <c r="D2383" t="s">
        <v>1808</v>
      </c>
      <c r="E2383" s="4">
        <f>IF(AND('Hybrid Questions'!$D$39&lt;&gt;"",(COUNTIF('Open Questions'!$A$2:$A$1001,'Hybrid Questions'!$D$39)+COUNTIF('Multiple Choice Questions'!$A$2:$A$1001,'Hybrid Questions'!$D$39)+COUNTIF('Hybrid Questions'!$A$2:$A$1001,'Hybrid Questions'!$D$39)+COUNTIF('Hybrid Questions'!$D$2:$D$1001,'Hybrid Questions'!$D$39))&gt;1),"Column '"&amp;'Hybrid Questions'!$D$39&amp;"' is already used by another row. Each Excel column should feed only one question.","")</f>
        <v>0</v>
      </c>
      <c r="F2383" s="4" t="s">
        <v>1812</v>
      </c>
    </row>
    <row r="2384" spans="1:6" ht="75" customHeight="1">
      <c r="A2384" t="s">
        <v>271</v>
      </c>
      <c r="B2384" t="s">
        <v>204</v>
      </c>
      <c r="C2384" t="s">
        <v>1811</v>
      </c>
      <c r="D2384" t="s">
        <v>1808</v>
      </c>
      <c r="E2384" s="4">
        <f>IF(AND('Hybrid Questions'!$A$40&lt;&gt;"",(COUNTIF('Open Questions'!$A$2:$A$1001,'Hybrid Questions'!$A$40)+COUNTIF('Multiple Choice Questions'!$A$2:$A$1001,'Hybrid Questions'!$A$40)+COUNTIF('Hybrid Questions'!$A$2:$A$1001,'Hybrid Questions'!$A$40)+COUNTIF('Hybrid Questions'!$D$2:$D$1001,'Hybrid Questions'!$A$40))&gt;1),"Column '"&amp;'Hybrid Questions'!$A$40&amp;"' is already used by another row. Each Excel column should feed only one question.","")</f>
        <v>0</v>
      </c>
      <c r="F2384" s="4" t="s">
        <v>1812</v>
      </c>
    </row>
    <row r="2385" spans="1:6" ht="75" customHeight="1">
      <c r="A2385" t="s">
        <v>271</v>
      </c>
      <c r="B2385" t="s">
        <v>312</v>
      </c>
      <c r="C2385" t="s">
        <v>1811</v>
      </c>
      <c r="D2385" t="s">
        <v>1808</v>
      </c>
      <c r="E2385" s="4">
        <f>IF(AND('Hybrid Questions'!$D$40&lt;&gt;"",(COUNTIF('Open Questions'!$A$2:$A$1001,'Hybrid Questions'!$D$40)+COUNTIF('Multiple Choice Questions'!$A$2:$A$1001,'Hybrid Questions'!$D$40)+COUNTIF('Hybrid Questions'!$A$2:$A$1001,'Hybrid Questions'!$D$40)+COUNTIF('Hybrid Questions'!$D$2:$D$1001,'Hybrid Questions'!$D$40))&gt;1),"Column '"&amp;'Hybrid Questions'!$D$40&amp;"' is already used by another row. Each Excel column should feed only one question.","")</f>
        <v>0</v>
      </c>
      <c r="F2385" s="4" t="s">
        <v>1812</v>
      </c>
    </row>
    <row r="2386" spans="1:6" ht="75" customHeight="1">
      <c r="A2386" t="s">
        <v>271</v>
      </c>
      <c r="B2386" t="s">
        <v>205</v>
      </c>
      <c r="C2386" t="s">
        <v>1811</v>
      </c>
      <c r="D2386" t="s">
        <v>1808</v>
      </c>
      <c r="E2386" s="4">
        <f>IF(AND('Hybrid Questions'!$A$41&lt;&gt;"",(COUNTIF('Open Questions'!$A$2:$A$1001,'Hybrid Questions'!$A$41)+COUNTIF('Multiple Choice Questions'!$A$2:$A$1001,'Hybrid Questions'!$A$41)+COUNTIF('Hybrid Questions'!$A$2:$A$1001,'Hybrid Questions'!$A$41)+COUNTIF('Hybrid Questions'!$D$2:$D$1001,'Hybrid Questions'!$A$41))&gt;1),"Column '"&amp;'Hybrid Questions'!$A$41&amp;"' is already used by another row. Each Excel column should feed only one question.","")</f>
        <v>0</v>
      </c>
      <c r="F2386" s="4" t="s">
        <v>1812</v>
      </c>
    </row>
    <row r="2387" spans="1:6" ht="75" customHeight="1">
      <c r="A2387" t="s">
        <v>271</v>
      </c>
      <c r="B2387" t="s">
        <v>313</v>
      </c>
      <c r="C2387" t="s">
        <v>1811</v>
      </c>
      <c r="D2387" t="s">
        <v>1808</v>
      </c>
      <c r="E2387" s="4">
        <f>IF(AND('Hybrid Questions'!$D$41&lt;&gt;"",(COUNTIF('Open Questions'!$A$2:$A$1001,'Hybrid Questions'!$D$41)+COUNTIF('Multiple Choice Questions'!$A$2:$A$1001,'Hybrid Questions'!$D$41)+COUNTIF('Hybrid Questions'!$A$2:$A$1001,'Hybrid Questions'!$D$41)+COUNTIF('Hybrid Questions'!$D$2:$D$1001,'Hybrid Questions'!$D$41))&gt;1),"Column '"&amp;'Hybrid Questions'!$D$41&amp;"' is already used by another row. Each Excel column should feed only one question.","")</f>
        <v>0</v>
      </c>
      <c r="F2387" s="4" t="s">
        <v>1812</v>
      </c>
    </row>
    <row r="2388" spans="1:6" ht="75" customHeight="1">
      <c r="A2388" t="s">
        <v>271</v>
      </c>
      <c r="B2388" t="s">
        <v>206</v>
      </c>
      <c r="C2388" t="s">
        <v>1811</v>
      </c>
      <c r="D2388" t="s">
        <v>1808</v>
      </c>
      <c r="E2388" s="4">
        <f>IF(AND('Hybrid Questions'!$A$42&lt;&gt;"",(COUNTIF('Open Questions'!$A$2:$A$1001,'Hybrid Questions'!$A$42)+COUNTIF('Multiple Choice Questions'!$A$2:$A$1001,'Hybrid Questions'!$A$42)+COUNTIF('Hybrid Questions'!$A$2:$A$1001,'Hybrid Questions'!$A$42)+COUNTIF('Hybrid Questions'!$D$2:$D$1001,'Hybrid Questions'!$A$42))&gt;1),"Column '"&amp;'Hybrid Questions'!$A$42&amp;"' is already used by another row. Each Excel column should feed only one question.","")</f>
        <v>0</v>
      </c>
      <c r="F2388" s="4" t="s">
        <v>1812</v>
      </c>
    </row>
    <row r="2389" spans="1:6" ht="75" customHeight="1">
      <c r="A2389" t="s">
        <v>271</v>
      </c>
      <c r="B2389" t="s">
        <v>314</v>
      </c>
      <c r="C2389" t="s">
        <v>1811</v>
      </c>
      <c r="D2389" t="s">
        <v>1808</v>
      </c>
      <c r="E2389" s="4">
        <f>IF(AND('Hybrid Questions'!$D$42&lt;&gt;"",(COUNTIF('Open Questions'!$A$2:$A$1001,'Hybrid Questions'!$D$42)+COUNTIF('Multiple Choice Questions'!$A$2:$A$1001,'Hybrid Questions'!$D$42)+COUNTIF('Hybrid Questions'!$A$2:$A$1001,'Hybrid Questions'!$D$42)+COUNTIF('Hybrid Questions'!$D$2:$D$1001,'Hybrid Questions'!$D$42))&gt;1),"Column '"&amp;'Hybrid Questions'!$D$42&amp;"' is already used by another row. Each Excel column should feed only one question.","")</f>
        <v>0</v>
      </c>
      <c r="F2389" s="4" t="s">
        <v>1812</v>
      </c>
    </row>
    <row r="2390" spans="1:6" ht="75" customHeight="1">
      <c r="A2390" t="s">
        <v>271</v>
      </c>
      <c r="B2390" t="s">
        <v>207</v>
      </c>
      <c r="C2390" t="s">
        <v>1811</v>
      </c>
      <c r="D2390" t="s">
        <v>1808</v>
      </c>
      <c r="E2390" s="4">
        <f>IF(AND('Hybrid Questions'!$A$43&lt;&gt;"",(COUNTIF('Open Questions'!$A$2:$A$1001,'Hybrid Questions'!$A$43)+COUNTIF('Multiple Choice Questions'!$A$2:$A$1001,'Hybrid Questions'!$A$43)+COUNTIF('Hybrid Questions'!$A$2:$A$1001,'Hybrid Questions'!$A$43)+COUNTIF('Hybrid Questions'!$D$2:$D$1001,'Hybrid Questions'!$A$43))&gt;1),"Column '"&amp;'Hybrid Questions'!$A$43&amp;"' is already used by another row. Each Excel column should feed only one question.","")</f>
        <v>0</v>
      </c>
      <c r="F2390" s="4" t="s">
        <v>1812</v>
      </c>
    </row>
    <row r="2391" spans="1:6" ht="75" customHeight="1">
      <c r="A2391" t="s">
        <v>271</v>
      </c>
      <c r="B2391" t="s">
        <v>315</v>
      </c>
      <c r="C2391" t="s">
        <v>1811</v>
      </c>
      <c r="D2391" t="s">
        <v>1808</v>
      </c>
      <c r="E2391" s="4">
        <f>IF(AND('Hybrid Questions'!$D$43&lt;&gt;"",(COUNTIF('Open Questions'!$A$2:$A$1001,'Hybrid Questions'!$D$43)+COUNTIF('Multiple Choice Questions'!$A$2:$A$1001,'Hybrid Questions'!$D$43)+COUNTIF('Hybrid Questions'!$A$2:$A$1001,'Hybrid Questions'!$D$43)+COUNTIF('Hybrid Questions'!$D$2:$D$1001,'Hybrid Questions'!$D$43))&gt;1),"Column '"&amp;'Hybrid Questions'!$D$43&amp;"' is already used by another row. Each Excel column should feed only one question.","")</f>
        <v>0</v>
      </c>
      <c r="F2391" s="4" t="s">
        <v>1812</v>
      </c>
    </row>
    <row r="2392" spans="1:6" ht="75" customHeight="1">
      <c r="A2392" t="s">
        <v>271</v>
      </c>
      <c r="B2392" t="s">
        <v>208</v>
      </c>
      <c r="C2392" t="s">
        <v>1811</v>
      </c>
      <c r="D2392" t="s">
        <v>1808</v>
      </c>
      <c r="E2392" s="4">
        <f>IF(AND('Hybrid Questions'!$A$44&lt;&gt;"",(COUNTIF('Open Questions'!$A$2:$A$1001,'Hybrid Questions'!$A$44)+COUNTIF('Multiple Choice Questions'!$A$2:$A$1001,'Hybrid Questions'!$A$44)+COUNTIF('Hybrid Questions'!$A$2:$A$1001,'Hybrid Questions'!$A$44)+COUNTIF('Hybrid Questions'!$D$2:$D$1001,'Hybrid Questions'!$A$44))&gt;1),"Column '"&amp;'Hybrid Questions'!$A$44&amp;"' is already used by another row. Each Excel column should feed only one question.","")</f>
        <v>0</v>
      </c>
      <c r="F2392" s="4" t="s">
        <v>1812</v>
      </c>
    </row>
    <row r="2393" spans="1:6" ht="75" customHeight="1">
      <c r="A2393" t="s">
        <v>271</v>
      </c>
      <c r="B2393" t="s">
        <v>316</v>
      </c>
      <c r="C2393" t="s">
        <v>1811</v>
      </c>
      <c r="D2393" t="s">
        <v>1808</v>
      </c>
      <c r="E2393" s="4">
        <f>IF(AND('Hybrid Questions'!$D$44&lt;&gt;"",(COUNTIF('Open Questions'!$A$2:$A$1001,'Hybrid Questions'!$D$44)+COUNTIF('Multiple Choice Questions'!$A$2:$A$1001,'Hybrid Questions'!$D$44)+COUNTIF('Hybrid Questions'!$A$2:$A$1001,'Hybrid Questions'!$D$44)+COUNTIF('Hybrid Questions'!$D$2:$D$1001,'Hybrid Questions'!$D$44))&gt;1),"Column '"&amp;'Hybrid Questions'!$D$44&amp;"' is already used by another row. Each Excel column should feed only one question.","")</f>
        <v>0</v>
      </c>
      <c r="F2393" s="4" t="s">
        <v>1812</v>
      </c>
    </row>
    <row r="2394" spans="1:6" ht="75" customHeight="1">
      <c r="A2394" t="s">
        <v>271</v>
      </c>
      <c r="B2394" t="s">
        <v>209</v>
      </c>
      <c r="C2394" t="s">
        <v>1811</v>
      </c>
      <c r="D2394" t="s">
        <v>1808</v>
      </c>
      <c r="E2394" s="4">
        <f>IF(AND('Hybrid Questions'!$A$45&lt;&gt;"",(COUNTIF('Open Questions'!$A$2:$A$1001,'Hybrid Questions'!$A$45)+COUNTIF('Multiple Choice Questions'!$A$2:$A$1001,'Hybrid Questions'!$A$45)+COUNTIF('Hybrid Questions'!$A$2:$A$1001,'Hybrid Questions'!$A$45)+COUNTIF('Hybrid Questions'!$D$2:$D$1001,'Hybrid Questions'!$A$45))&gt;1),"Column '"&amp;'Hybrid Questions'!$A$45&amp;"' is already used by another row. Each Excel column should feed only one question.","")</f>
        <v>0</v>
      </c>
      <c r="F2394" s="4" t="s">
        <v>1812</v>
      </c>
    </row>
    <row r="2395" spans="1:6" ht="75" customHeight="1">
      <c r="A2395" t="s">
        <v>271</v>
      </c>
      <c r="B2395" t="s">
        <v>317</v>
      </c>
      <c r="C2395" t="s">
        <v>1811</v>
      </c>
      <c r="D2395" t="s">
        <v>1808</v>
      </c>
      <c r="E2395" s="4">
        <f>IF(AND('Hybrid Questions'!$D$45&lt;&gt;"",(COUNTIF('Open Questions'!$A$2:$A$1001,'Hybrid Questions'!$D$45)+COUNTIF('Multiple Choice Questions'!$A$2:$A$1001,'Hybrid Questions'!$D$45)+COUNTIF('Hybrid Questions'!$A$2:$A$1001,'Hybrid Questions'!$D$45)+COUNTIF('Hybrid Questions'!$D$2:$D$1001,'Hybrid Questions'!$D$45))&gt;1),"Column '"&amp;'Hybrid Questions'!$D$45&amp;"' is already used by another row. Each Excel column should feed only one question.","")</f>
        <v>0</v>
      </c>
      <c r="F2395" s="4" t="s">
        <v>1812</v>
      </c>
    </row>
    <row r="2396" spans="1:6" ht="75" customHeight="1">
      <c r="A2396" t="s">
        <v>271</v>
      </c>
      <c r="B2396" t="s">
        <v>210</v>
      </c>
      <c r="C2396" t="s">
        <v>1811</v>
      </c>
      <c r="D2396" t="s">
        <v>1808</v>
      </c>
      <c r="E2396" s="4">
        <f>IF(AND('Hybrid Questions'!$A$46&lt;&gt;"",(COUNTIF('Open Questions'!$A$2:$A$1001,'Hybrid Questions'!$A$46)+COUNTIF('Multiple Choice Questions'!$A$2:$A$1001,'Hybrid Questions'!$A$46)+COUNTIF('Hybrid Questions'!$A$2:$A$1001,'Hybrid Questions'!$A$46)+COUNTIF('Hybrid Questions'!$D$2:$D$1001,'Hybrid Questions'!$A$46))&gt;1),"Column '"&amp;'Hybrid Questions'!$A$46&amp;"' is already used by another row. Each Excel column should feed only one question.","")</f>
        <v>0</v>
      </c>
      <c r="F2396" s="4" t="s">
        <v>1812</v>
      </c>
    </row>
    <row r="2397" spans="1:6" ht="75" customHeight="1">
      <c r="A2397" t="s">
        <v>271</v>
      </c>
      <c r="B2397" t="s">
        <v>318</v>
      </c>
      <c r="C2397" t="s">
        <v>1811</v>
      </c>
      <c r="D2397" t="s">
        <v>1808</v>
      </c>
      <c r="E2397" s="4">
        <f>IF(AND('Hybrid Questions'!$D$46&lt;&gt;"",(COUNTIF('Open Questions'!$A$2:$A$1001,'Hybrid Questions'!$D$46)+COUNTIF('Multiple Choice Questions'!$A$2:$A$1001,'Hybrid Questions'!$D$46)+COUNTIF('Hybrid Questions'!$A$2:$A$1001,'Hybrid Questions'!$D$46)+COUNTIF('Hybrid Questions'!$D$2:$D$1001,'Hybrid Questions'!$D$46))&gt;1),"Column '"&amp;'Hybrid Questions'!$D$46&amp;"' is already used by another row. Each Excel column should feed only one question.","")</f>
        <v>0</v>
      </c>
      <c r="F2397" s="4" t="s">
        <v>1812</v>
      </c>
    </row>
    <row r="2398" spans="1:6" ht="75" customHeight="1">
      <c r="A2398" t="s">
        <v>271</v>
      </c>
      <c r="B2398" t="s">
        <v>211</v>
      </c>
      <c r="C2398" t="s">
        <v>1811</v>
      </c>
      <c r="D2398" t="s">
        <v>1808</v>
      </c>
      <c r="E2398" s="4">
        <f>IF(AND('Hybrid Questions'!$A$47&lt;&gt;"",(COUNTIF('Open Questions'!$A$2:$A$1001,'Hybrid Questions'!$A$47)+COUNTIF('Multiple Choice Questions'!$A$2:$A$1001,'Hybrid Questions'!$A$47)+COUNTIF('Hybrid Questions'!$A$2:$A$1001,'Hybrid Questions'!$A$47)+COUNTIF('Hybrid Questions'!$D$2:$D$1001,'Hybrid Questions'!$A$47))&gt;1),"Column '"&amp;'Hybrid Questions'!$A$47&amp;"' is already used by another row. Each Excel column should feed only one question.","")</f>
        <v>0</v>
      </c>
      <c r="F2398" s="4" t="s">
        <v>1812</v>
      </c>
    </row>
    <row r="2399" spans="1:6" ht="75" customHeight="1">
      <c r="A2399" t="s">
        <v>271</v>
      </c>
      <c r="B2399" t="s">
        <v>319</v>
      </c>
      <c r="C2399" t="s">
        <v>1811</v>
      </c>
      <c r="D2399" t="s">
        <v>1808</v>
      </c>
      <c r="E2399" s="4">
        <f>IF(AND('Hybrid Questions'!$D$47&lt;&gt;"",(COUNTIF('Open Questions'!$A$2:$A$1001,'Hybrid Questions'!$D$47)+COUNTIF('Multiple Choice Questions'!$A$2:$A$1001,'Hybrid Questions'!$D$47)+COUNTIF('Hybrid Questions'!$A$2:$A$1001,'Hybrid Questions'!$D$47)+COUNTIF('Hybrid Questions'!$D$2:$D$1001,'Hybrid Questions'!$D$47))&gt;1),"Column '"&amp;'Hybrid Questions'!$D$47&amp;"' is already used by another row. Each Excel column should feed only one question.","")</f>
        <v>0</v>
      </c>
      <c r="F2399" s="4" t="s">
        <v>1812</v>
      </c>
    </row>
    <row r="2400" spans="1:6" ht="75" customHeight="1">
      <c r="A2400" t="s">
        <v>271</v>
      </c>
      <c r="B2400" t="s">
        <v>212</v>
      </c>
      <c r="C2400" t="s">
        <v>1811</v>
      </c>
      <c r="D2400" t="s">
        <v>1808</v>
      </c>
      <c r="E2400" s="4">
        <f>IF(AND('Hybrid Questions'!$A$48&lt;&gt;"",(COUNTIF('Open Questions'!$A$2:$A$1001,'Hybrid Questions'!$A$48)+COUNTIF('Multiple Choice Questions'!$A$2:$A$1001,'Hybrid Questions'!$A$48)+COUNTIF('Hybrid Questions'!$A$2:$A$1001,'Hybrid Questions'!$A$48)+COUNTIF('Hybrid Questions'!$D$2:$D$1001,'Hybrid Questions'!$A$48))&gt;1),"Column '"&amp;'Hybrid Questions'!$A$48&amp;"' is already used by another row. Each Excel column should feed only one question.","")</f>
        <v>0</v>
      </c>
      <c r="F2400" s="4" t="s">
        <v>1812</v>
      </c>
    </row>
    <row r="2401" spans="1:6" ht="75" customHeight="1">
      <c r="A2401" t="s">
        <v>271</v>
      </c>
      <c r="B2401" t="s">
        <v>320</v>
      </c>
      <c r="C2401" t="s">
        <v>1811</v>
      </c>
      <c r="D2401" t="s">
        <v>1808</v>
      </c>
      <c r="E2401" s="4">
        <f>IF(AND('Hybrid Questions'!$D$48&lt;&gt;"",(COUNTIF('Open Questions'!$A$2:$A$1001,'Hybrid Questions'!$D$48)+COUNTIF('Multiple Choice Questions'!$A$2:$A$1001,'Hybrid Questions'!$D$48)+COUNTIF('Hybrid Questions'!$A$2:$A$1001,'Hybrid Questions'!$D$48)+COUNTIF('Hybrid Questions'!$D$2:$D$1001,'Hybrid Questions'!$D$48))&gt;1),"Column '"&amp;'Hybrid Questions'!$D$48&amp;"' is already used by another row. Each Excel column should feed only one question.","")</f>
        <v>0</v>
      </c>
      <c r="F2401" s="4" t="s">
        <v>1812</v>
      </c>
    </row>
    <row r="2402" spans="1:6" ht="75" customHeight="1">
      <c r="A2402" t="s">
        <v>271</v>
      </c>
      <c r="B2402" t="s">
        <v>213</v>
      </c>
      <c r="C2402" t="s">
        <v>1811</v>
      </c>
      <c r="D2402" t="s">
        <v>1808</v>
      </c>
      <c r="E2402" s="4">
        <f>IF(AND('Hybrid Questions'!$A$49&lt;&gt;"",(COUNTIF('Open Questions'!$A$2:$A$1001,'Hybrid Questions'!$A$49)+COUNTIF('Multiple Choice Questions'!$A$2:$A$1001,'Hybrid Questions'!$A$49)+COUNTIF('Hybrid Questions'!$A$2:$A$1001,'Hybrid Questions'!$A$49)+COUNTIF('Hybrid Questions'!$D$2:$D$1001,'Hybrid Questions'!$A$49))&gt;1),"Column '"&amp;'Hybrid Questions'!$A$49&amp;"' is already used by another row. Each Excel column should feed only one question.","")</f>
        <v>0</v>
      </c>
      <c r="F2402" s="4" t="s">
        <v>1812</v>
      </c>
    </row>
    <row r="2403" spans="1:6" ht="75" customHeight="1">
      <c r="A2403" t="s">
        <v>271</v>
      </c>
      <c r="B2403" t="s">
        <v>321</v>
      </c>
      <c r="C2403" t="s">
        <v>1811</v>
      </c>
      <c r="D2403" t="s">
        <v>1808</v>
      </c>
      <c r="E2403" s="4">
        <f>IF(AND('Hybrid Questions'!$D$49&lt;&gt;"",(COUNTIF('Open Questions'!$A$2:$A$1001,'Hybrid Questions'!$D$49)+COUNTIF('Multiple Choice Questions'!$A$2:$A$1001,'Hybrid Questions'!$D$49)+COUNTIF('Hybrid Questions'!$A$2:$A$1001,'Hybrid Questions'!$D$49)+COUNTIF('Hybrid Questions'!$D$2:$D$1001,'Hybrid Questions'!$D$49))&gt;1),"Column '"&amp;'Hybrid Questions'!$D$49&amp;"' is already used by another row. Each Excel column should feed only one question.","")</f>
        <v>0</v>
      </c>
      <c r="F2403" s="4" t="s">
        <v>1812</v>
      </c>
    </row>
    <row r="2404" spans="1:6" ht="75" customHeight="1">
      <c r="A2404" t="s">
        <v>271</v>
      </c>
      <c r="B2404" t="s">
        <v>214</v>
      </c>
      <c r="C2404" t="s">
        <v>1811</v>
      </c>
      <c r="D2404" t="s">
        <v>1808</v>
      </c>
      <c r="E2404" s="4">
        <f>IF(AND('Hybrid Questions'!$A$50&lt;&gt;"",(COUNTIF('Open Questions'!$A$2:$A$1001,'Hybrid Questions'!$A$50)+COUNTIF('Multiple Choice Questions'!$A$2:$A$1001,'Hybrid Questions'!$A$50)+COUNTIF('Hybrid Questions'!$A$2:$A$1001,'Hybrid Questions'!$A$50)+COUNTIF('Hybrid Questions'!$D$2:$D$1001,'Hybrid Questions'!$A$50))&gt;1),"Column '"&amp;'Hybrid Questions'!$A$50&amp;"' is already used by another row. Each Excel column should feed only one question.","")</f>
        <v>0</v>
      </c>
      <c r="F2404" s="4" t="s">
        <v>1812</v>
      </c>
    </row>
    <row r="2405" spans="1:6" ht="75" customHeight="1">
      <c r="A2405" t="s">
        <v>271</v>
      </c>
      <c r="B2405" t="s">
        <v>322</v>
      </c>
      <c r="C2405" t="s">
        <v>1811</v>
      </c>
      <c r="D2405" t="s">
        <v>1808</v>
      </c>
      <c r="E2405" s="4">
        <f>IF(AND('Hybrid Questions'!$D$50&lt;&gt;"",(COUNTIF('Open Questions'!$A$2:$A$1001,'Hybrid Questions'!$D$50)+COUNTIF('Multiple Choice Questions'!$A$2:$A$1001,'Hybrid Questions'!$D$50)+COUNTIF('Hybrid Questions'!$A$2:$A$1001,'Hybrid Questions'!$D$50)+COUNTIF('Hybrid Questions'!$D$2:$D$1001,'Hybrid Questions'!$D$50))&gt;1),"Column '"&amp;'Hybrid Questions'!$D$50&amp;"' is already used by another row. Each Excel column should feed only one question.","")</f>
        <v>0</v>
      </c>
      <c r="F2405" s="4" t="s">
        <v>1812</v>
      </c>
    </row>
    <row r="2406" spans="1:6" ht="75" customHeight="1">
      <c r="A2406" t="s">
        <v>271</v>
      </c>
      <c r="B2406" t="s">
        <v>215</v>
      </c>
      <c r="C2406" t="s">
        <v>1811</v>
      </c>
      <c r="D2406" t="s">
        <v>1808</v>
      </c>
      <c r="E2406" s="4">
        <f>IF(AND('Hybrid Questions'!$A$51&lt;&gt;"",(COUNTIF('Open Questions'!$A$2:$A$1001,'Hybrid Questions'!$A$51)+COUNTIF('Multiple Choice Questions'!$A$2:$A$1001,'Hybrid Questions'!$A$51)+COUNTIF('Hybrid Questions'!$A$2:$A$1001,'Hybrid Questions'!$A$51)+COUNTIF('Hybrid Questions'!$D$2:$D$1001,'Hybrid Questions'!$A$51))&gt;1),"Column '"&amp;'Hybrid Questions'!$A$51&amp;"' is already used by another row. Each Excel column should feed only one question.","")</f>
        <v>0</v>
      </c>
      <c r="F2406" s="4" t="s">
        <v>1812</v>
      </c>
    </row>
    <row r="2407" spans="1:6" ht="75" customHeight="1">
      <c r="A2407" t="s">
        <v>271</v>
      </c>
      <c r="B2407" t="s">
        <v>323</v>
      </c>
      <c r="C2407" t="s">
        <v>1811</v>
      </c>
      <c r="D2407" t="s">
        <v>1808</v>
      </c>
      <c r="E2407" s="4">
        <f>IF(AND('Hybrid Questions'!$D$51&lt;&gt;"",(COUNTIF('Open Questions'!$A$2:$A$1001,'Hybrid Questions'!$D$51)+COUNTIF('Multiple Choice Questions'!$A$2:$A$1001,'Hybrid Questions'!$D$51)+COUNTIF('Hybrid Questions'!$A$2:$A$1001,'Hybrid Questions'!$D$51)+COUNTIF('Hybrid Questions'!$D$2:$D$1001,'Hybrid Questions'!$D$51))&gt;1),"Column '"&amp;'Hybrid Questions'!$D$51&amp;"' is already used by another row. Each Excel column should feed only one question.","")</f>
        <v>0</v>
      </c>
      <c r="F2407" s="4" t="s">
        <v>1812</v>
      </c>
    </row>
    <row r="2408" spans="1:6" ht="75" customHeight="1">
      <c r="A2408" t="s">
        <v>216</v>
      </c>
      <c r="B2408" t="s">
        <v>163</v>
      </c>
      <c r="C2408" t="s">
        <v>1813</v>
      </c>
      <c r="D2408" t="s">
        <v>1808</v>
      </c>
      <c r="E2408" s="4">
        <f>IF(AND('Open Questions'!$A$2&lt;&gt;"",IFERROR(INDEX(_helpers!$2:$2,1,CHOOSE(LEN(TRIM('Open Questions'!$A$2)),CODE(TRIM('Open Questions'!$A$2))-64,(CODE(LEFT(TRIM('Open Questions'!$A$2),1))-64)*26+(CODE(RIGHT(TRIM('Open Questions'!$A$2),1))-64),(CODE(LEFT(TRIM('Open Questions'!$A$2),1))-64)*676+(CODE(MID(TRIM('Open Questions'!$A$2),2,1))-64)*26+(CODE(RIGHT(TRIM('Open Questions'!$A$2),1))-64))),0)&gt;0,IFERROR(INDEX(_helpers!$1:$1,1,CHOOSE(LEN(TRIM('Open Questions'!$A$2)),CODE(TRIM('Open Questions'!$A$2))-64,(CODE(LEFT(TRIM('Open Questions'!$A$2),1))-64)*26+(CODE(RIGHT(TRIM('Open Questions'!$A$2),1))-64),(CODE(LEFT(TRIM('Open Questions'!$A$2),1))-64)*676+(CODE(MID(TRIM('Open Questions'!$A$2),2,1))-64)*26+(CODE(RIGHT(TRIM('Open Questions'!$A$2),1))-64))),0)&lt;0.2),"Column '"&amp;'Open Questions'!$A$2&amp;"' has very few different answers (≤20% are unique). That usually means it's a multiple-choice question rather than free text.","")</f>
        <v>0</v>
      </c>
      <c r="F2408" s="4" t="s">
        <v>1814</v>
      </c>
    </row>
    <row r="2409" spans="1:6" ht="75" customHeight="1">
      <c r="A2409" t="s">
        <v>216</v>
      </c>
      <c r="B2409" t="s">
        <v>167</v>
      </c>
      <c r="C2409" t="s">
        <v>1813</v>
      </c>
      <c r="D2409" t="s">
        <v>1808</v>
      </c>
      <c r="E2409" s="4">
        <f>IF(AND('Open Questions'!$A$3&lt;&gt;"",IFERROR(INDEX(_helpers!$2:$2,1,CHOOSE(LEN(TRIM('Open Questions'!$A$3)),CODE(TRIM('Open Questions'!$A$3))-64,(CODE(LEFT(TRIM('Open Questions'!$A$3),1))-64)*26+(CODE(RIGHT(TRIM('Open Questions'!$A$3),1))-64),(CODE(LEFT(TRIM('Open Questions'!$A$3),1))-64)*676+(CODE(MID(TRIM('Open Questions'!$A$3),2,1))-64)*26+(CODE(RIGHT(TRIM('Open Questions'!$A$3),1))-64))),0)&gt;0,IFERROR(INDEX(_helpers!$1:$1,1,CHOOSE(LEN(TRIM('Open Questions'!$A$3)),CODE(TRIM('Open Questions'!$A$3))-64,(CODE(LEFT(TRIM('Open Questions'!$A$3),1))-64)*26+(CODE(RIGHT(TRIM('Open Questions'!$A$3),1))-64),(CODE(LEFT(TRIM('Open Questions'!$A$3),1))-64)*676+(CODE(MID(TRIM('Open Questions'!$A$3),2,1))-64)*26+(CODE(RIGHT(TRIM('Open Questions'!$A$3),1))-64))),0)&lt;0.2),"Column '"&amp;'Open Questions'!$A$3&amp;"' has very few different answers (≤20% are unique). That usually means it's a multiple-choice question rather than free text.","")</f>
        <v>0</v>
      </c>
      <c r="F2409" s="4" t="s">
        <v>1814</v>
      </c>
    </row>
    <row r="2410" spans="1:6" ht="75" customHeight="1">
      <c r="A2410" t="s">
        <v>216</v>
      </c>
      <c r="B2410" t="s">
        <v>168</v>
      </c>
      <c r="C2410" t="s">
        <v>1813</v>
      </c>
      <c r="D2410" t="s">
        <v>1808</v>
      </c>
      <c r="E2410" s="4">
        <f>IF(AND('Open Questions'!$A$4&lt;&gt;"",IFERROR(INDEX(_helpers!$2:$2,1,CHOOSE(LEN(TRIM('Open Questions'!$A$4)),CODE(TRIM('Open Questions'!$A$4))-64,(CODE(LEFT(TRIM('Open Questions'!$A$4),1))-64)*26+(CODE(RIGHT(TRIM('Open Questions'!$A$4),1))-64),(CODE(LEFT(TRIM('Open Questions'!$A$4),1))-64)*676+(CODE(MID(TRIM('Open Questions'!$A$4),2,1))-64)*26+(CODE(RIGHT(TRIM('Open Questions'!$A$4),1))-64))),0)&gt;0,IFERROR(INDEX(_helpers!$1:$1,1,CHOOSE(LEN(TRIM('Open Questions'!$A$4)),CODE(TRIM('Open Questions'!$A$4))-64,(CODE(LEFT(TRIM('Open Questions'!$A$4),1))-64)*26+(CODE(RIGHT(TRIM('Open Questions'!$A$4),1))-64),(CODE(LEFT(TRIM('Open Questions'!$A$4),1))-64)*676+(CODE(MID(TRIM('Open Questions'!$A$4),2,1))-64)*26+(CODE(RIGHT(TRIM('Open Questions'!$A$4),1))-64))),0)&lt;0.2),"Column '"&amp;'Open Questions'!$A$4&amp;"' has very few different answers (≤20% are unique). That usually means it's a multiple-choice question rather than free text.","")</f>
        <v>0</v>
      </c>
      <c r="F2410" s="4" t="s">
        <v>1814</v>
      </c>
    </row>
    <row r="2411" spans="1:6" ht="75" customHeight="1">
      <c r="A2411" t="s">
        <v>216</v>
      </c>
      <c r="B2411" t="s">
        <v>169</v>
      </c>
      <c r="C2411" t="s">
        <v>1813</v>
      </c>
      <c r="D2411" t="s">
        <v>1808</v>
      </c>
      <c r="E2411" s="4">
        <f>IF(AND('Open Questions'!$A$5&lt;&gt;"",IFERROR(INDEX(_helpers!$2:$2,1,CHOOSE(LEN(TRIM('Open Questions'!$A$5)),CODE(TRIM('Open Questions'!$A$5))-64,(CODE(LEFT(TRIM('Open Questions'!$A$5),1))-64)*26+(CODE(RIGHT(TRIM('Open Questions'!$A$5),1))-64),(CODE(LEFT(TRIM('Open Questions'!$A$5),1))-64)*676+(CODE(MID(TRIM('Open Questions'!$A$5),2,1))-64)*26+(CODE(RIGHT(TRIM('Open Questions'!$A$5),1))-64))),0)&gt;0,IFERROR(INDEX(_helpers!$1:$1,1,CHOOSE(LEN(TRIM('Open Questions'!$A$5)),CODE(TRIM('Open Questions'!$A$5))-64,(CODE(LEFT(TRIM('Open Questions'!$A$5),1))-64)*26+(CODE(RIGHT(TRIM('Open Questions'!$A$5),1))-64),(CODE(LEFT(TRIM('Open Questions'!$A$5),1))-64)*676+(CODE(MID(TRIM('Open Questions'!$A$5),2,1))-64)*26+(CODE(RIGHT(TRIM('Open Questions'!$A$5),1))-64))),0)&lt;0.2),"Column '"&amp;'Open Questions'!$A$5&amp;"' has very few different answers (≤20% are unique). That usually means it's a multiple-choice question rather than free text.","")</f>
        <v>0</v>
      </c>
      <c r="F2411" s="4" t="s">
        <v>1814</v>
      </c>
    </row>
    <row r="2412" spans="1:6" ht="75" customHeight="1">
      <c r="A2412" t="s">
        <v>216</v>
      </c>
      <c r="B2412" t="s">
        <v>170</v>
      </c>
      <c r="C2412" t="s">
        <v>1813</v>
      </c>
      <c r="D2412" t="s">
        <v>1808</v>
      </c>
      <c r="E2412" s="4">
        <f>IF(AND('Open Questions'!$A$6&lt;&gt;"",IFERROR(INDEX(_helpers!$2:$2,1,CHOOSE(LEN(TRIM('Open Questions'!$A$6)),CODE(TRIM('Open Questions'!$A$6))-64,(CODE(LEFT(TRIM('Open Questions'!$A$6),1))-64)*26+(CODE(RIGHT(TRIM('Open Questions'!$A$6),1))-64),(CODE(LEFT(TRIM('Open Questions'!$A$6),1))-64)*676+(CODE(MID(TRIM('Open Questions'!$A$6),2,1))-64)*26+(CODE(RIGHT(TRIM('Open Questions'!$A$6),1))-64))),0)&gt;0,IFERROR(INDEX(_helpers!$1:$1,1,CHOOSE(LEN(TRIM('Open Questions'!$A$6)),CODE(TRIM('Open Questions'!$A$6))-64,(CODE(LEFT(TRIM('Open Questions'!$A$6),1))-64)*26+(CODE(RIGHT(TRIM('Open Questions'!$A$6),1))-64),(CODE(LEFT(TRIM('Open Questions'!$A$6),1))-64)*676+(CODE(MID(TRIM('Open Questions'!$A$6),2,1))-64)*26+(CODE(RIGHT(TRIM('Open Questions'!$A$6),1))-64))),0)&lt;0.2),"Column '"&amp;'Open Questions'!$A$6&amp;"' has very few different answers (≤20% are unique). That usually means it's a multiple-choice question rather than free text.","")</f>
        <v>0</v>
      </c>
      <c r="F2412" s="4" t="s">
        <v>1814</v>
      </c>
    </row>
    <row r="2413" spans="1:6" ht="75" customHeight="1">
      <c r="A2413" t="s">
        <v>216</v>
      </c>
      <c r="B2413" t="s">
        <v>171</v>
      </c>
      <c r="C2413" t="s">
        <v>1813</v>
      </c>
      <c r="D2413" t="s">
        <v>1808</v>
      </c>
      <c r="E2413" s="4">
        <f>IF(AND('Open Questions'!$A$7&lt;&gt;"",IFERROR(INDEX(_helpers!$2:$2,1,CHOOSE(LEN(TRIM('Open Questions'!$A$7)),CODE(TRIM('Open Questions'!$A$7))-64,(CODE(LEFT(TRIM('Open Questions'!$A$7),1))-64)*26+(CODE(RIGHT(TRIM('Open Questions'!$A$7),1))-64),(CODE(LEFT(TRIM('Open Questions'!$A$7),1))-64)*676+(CODE(MID(TRIM('Open Questions'!$A$7),2,1))-64)*26+(CODE(RIGHT(TRIM('Open Questions'!$A$7),1))-64))),0)&gt;0,IFERROR(INDEX(_helpers!$1:$1,1,CHOOSE(LEN(TRIM('Open Questions'!$A$7)),CODE(TRIM('Open Questions'!$A$7))-64,(CODE(LEFT(TRIM('Open Questions'!$A$7),1))-64)*26+(CODE(RIGHT(TRIM('Open Questions'!$A$7),1))-64),(CODE(LEFT(TRIM('Open Questions'!$A$7),1))-64)*676+(CODE(MID(TRIM('Open Questions'!$A$7),2,1))-64)*26+(CODE(RIGHT(TRIM('Open Questions'!$A$7),1))-64))),0)&lt;0.2),"Column '"&amp;'Open Questions'!$A$7&amp;"' has very few different answers (≤20% are unique). That usually means it's a multiple-choice question rather than free text.","")</f>
        <v>0</v>
      </c>
      <c r="F2413" s="4" t="s">
        <v>1814</v>
      </c>
    </row>
    <row r="2414" spans="1:6" ht="75" customHeight="1">
      <c r="A2414" t="s">
        <v>216</v>
      </c>
      <c r="B2414" t="s">
        <v>172</v>
      </c>
      <c r="C2414" t="s">
        <v>1813</v>
      </c>
      <c r="D2414" t="s">
        <v>1808</v>
      </c>
      <c r="E2414" s="4">
        <f>IF(AND('Open Questions'!$A$8&lt;&gt;"",IFERROR(INDEX(_helpers!$2:$2,1,CHOOSE(LEN(TRIM('Open Questions'!$A$8)),CODE(TRIM('Open Questions'!$A$8))-64,(CODE(LEFT(TRIM('Open Questions'!$A$8),1))-64)*26+(CODE(RIGHT(TRIM('Open Questions'!$A$8),1))-64),(CODE(LEFT(TRIM('Open Questions'!$A$8),1))-64)*676+(CODE(MID(TRIM('Open Questions'!$A$8),2,1))-64)*26+(CODE(RIGHT(TRIM('Open Questions'!$A$8),1))-64))),0)&gt;0,IFERROR(INDEX(_helpers!$1:$1,1,CHOOSE(LEN(TRIM('Open Questions'!$A$8)),CODE(TRIM('Open Questions'!$A$8))-64,(CODE(LEFT(TRIM('Open Questions'!$A$8),1))-64)*26+(CODE(RIGHT(TRIM('Open Questions'!$A$8),1))-64),(CODE(LEFT(TRIM('Open Questions'!$A$8),1))-64)*676+(CODE(MID(TRIM('Open Questions'!$A$8),2,1))-64)*26+(CODE(RIGHT(TRIM('Open Questions'!$A$8),1))-64))),0)&lt;0.2),"Column '"&amp;'Open Questions'!$A$8&amp;"' has very few different answers (≤20% are unique). That usually means it's a multiple-choice question rather than free text.","")</f>
        <v>0</v>
      </c>
      <c r="F2414" s="4" t="s">
        <v>1814</v>
      </c>
    </row>
    <row r="2415" spans="1:6" ht="75" customHeight="1">
      <c r="A2415" t="s">
        <v>216</v>
      </c>
      <c r="B2415" t="s">
        <v>173</v>
      </c>
      <c r="C2415" t="s">
        <v>1813</v>
      </c>
      <c r="D2415" t="s">
        <v>1808</v>
      </c>
      <c r="E2415" s="4">
        <f>IF(AND('Open Questions'!$A$9&lt;&gt;"",IFERROR(INDEX(_helpers!$2:$2,1,CHOOSE(LEN(TRIM('Open Questions'!$A$9)),CODE(TRIM('Open Questions'!$A$9))-64,(CODE(LEFT(TRIM('Open Questions'!$A$9),1))-64)*26+(CODE(RIGHT(TRIM('Open Questions'!$A$9),1))-64),(CODE(LEFT(TRIM('Open Questions'!$A$9),1))-64)*676+(CODE(MID(TRIM('Open Questions'!$A$9),2,1))-64)*26+(CODE(RIGHT(TRIM('Open Questions'!$A$9),1))-64))),0)&gt;0,IFERROR(INDEX(_helpers!$1:$1,1,CHOOSE(LEN(TRIM('Open Questions'!$A$9)),CODE(TRIM('Open Questions'!$A$9))-64,(CODE(LEFT(TRIM('Open Questions'!$A$9),1))-64)*26+(CODE(RIGHT(TRIM('Open Questions'!$A$9),1))-64),(CODE(LEFT(TRIM('Open Questions'!$A$9),1))-64)*676+(CODE(MID(TRIM('Open Questions'!$A$9),2,1))-64)*26+(CODE(RIGHT(TRIM('Open Questions'!$A$9),1))-64))),0)&lt;0.2),"Column '"&amp;'Open Questions'!$A$9&amp;"' has very few different answers (≤20% are unique). That usually means it's a multiple-choice question rather than free text.","")</f>
        <v>0</v>
      </c>
      <c r="F2415" s="4" t="s">
        <v>1814</v>
      </c>
    </row>
    <row r="2416" spans="1:6" ht="75" customHeight="1">
      <c r="A2416" t="s">
        <v>216</v>
      </c>
      <c r="B2416" t="s">
        <v>174</v>
      </c>
      <c r="C2416" t="s">
        <v>1813</v>
      </c>
      <c r="D2416" t="s">
        <v>1808</v>
      </c>
      <c r="E2416" s="4">
        <f>IF(AND('Open Questions'!$A$10&lt;&gt;"",IFERROR(INDEX(_helpers!$2:$2,1,CHOOSE(LEN(TRIM('Open Questions'!$A$10)),CODE(TRIM('Open Questions'!$A$10))-64,(CODE(LEFT(TRIM('Open Questions'!$A$10),1))-64)*26+(CODE(RIGHT(TRIM('Open Questions'!$A$10),1))-64),(CODE(LEFT(TRIM('Open Questions'!$A$10),1))-64)*676+(CODE(MID(TRIM('Open Questions'!$A$10),2,1))-64)*26+(CODE(RIGHT(TRIM('Open Questions'!$A$10),1))-64))),0)&gt;0,IFERROR(INDEX(_helpers!$1:$1,1,CHOOSE(LEN(TRIM('Open Questions'!$A$10)),CODE(TRIM('Open Questions'!$A$10))-64,(CODE(LEFT(TRIM('Open Questions'!$A$10),1))-64)*26+(CODE(RIGHT(TRIM('Open Questions'!$A$10),1))-64),(CODE(LEFT(TRIM('Open Questions'!$A$10),1))-64)*676+(CODE(MID(TRIM('Open Questions'!$A$10),2,1))-64)*26+(CODE(RIGHT(TRIM('Open Questions'!$A$10),1))-64))),0)&lt;0.2),"Column '"&amp;'Open Questions'!$A$10&amp;"' has very few different answers (≤20% are unique). That usually means it's a multiple-choice question rather than free text.","")</f>
        <v>0</v>
      </c>
      <c r="F2416" s="4" t="s">
        <v>1814</v>
      </c>
    </row>
    <row r="2417" spans="1:6" ht="75" customHeight="1">
      <c r="A2417" t="s">
        <v>216</v>
      </c>
      <c r="B2417" t="s">
        <v>175</v>
      </c>
      <c r="C2417" t="s">
        <v>1813</v>
      </c>
      <c r="D2417" t="s">
        <v>1808</v>
      </c>
      <c r="E2417" s="4">
        <f>IF(AND('Open Questions'!$A$11&lt;&gt;"",IFERROR(INDEX(_helpers!$2:$2,1,CHOOSE(LEN(TRIM('Open Questions'!$A$11)),CODE(TRIM('Open Questions'!$A$11))-64,(CODE(LEFT(TRIM('Open Questions'!$A$11),1))-64)*26+(CODE(RIGHT(TRIM('Open Questions'!$A$11),1))-64),(CODE(LEFT(TRIM('Open Questions'!$A$11),1))-64)*676+(CODE(MID(TRIM('Open Questions'!$A$11),2,1))-64)*26+(CODE(RIGHT(TRIM('Open Questions'!$A$11),1))-64))),0)&gt;0,IFERROR(INDEX(_helpers!$1:$1,1,CHOOSE(LEN(TRIM('Open Questions'!$A$11)),CODE(TRIM('Open Questions'!$A$11))-64,(CODE(LEFT(TRIM('Open Questions'!$A$11),1))-64)*26+(CODE(RIGHT(TRIM('Open Questions'!$A$11),1))-64),(CODE(LEFT(TRIM('Open Questions'!$A$11),1))-64)*676+(CODE(MID(TRIM('Open Questions'!$A$11),2,1))-64)*26+(CODE(RIGHT(TRIM('Open Questions'!$A$11),1))-64))),0)&lt;0.2),"Column '"&amp;'Open Questions'!$A$11&amp;"' has very few different answers (≤20% are unique). That usually means it's a multiple-choice question rather than free text.","")</f>
        <v>0</v>
      </c>
      <c r="F2417" s="4" t="s">
        <v>1814</v>
      </c>
    </row>
    <row r="2418" spans="1:6" ht="75" customHeight="1">
      <c r="A2418" t="s">
        <v>216</v>
      </c>
      <c r="B2418" t="s">
        <v>176</v>
      </c>
      <c r="C2418" t="s">
        <v>1813</v>
      </c>
      <c r="D2418" t="s">
        <v>1808</v>
      </c>
      <c r="E2418" s="4">
        <f>IF(AND('Open Questions'!$A$12&lt;&gt;"",IFERROR(INDEX(_helpers!$2:$2,1,CHOOSE(LEN(TRIM('Open Questions'!$A$12)),CODE(TRIM('Open Questions'!$A$12))-64,(CODE(LEFT(TRIM('Open Questions'!$A$12),1))-64)*26+(CODE(RIGHT(TRIM('Open Questions'!$A$12),1))-64),(CODE(LEFT(TRIM('Open Questions'!$A$12),1))-64)*676+(CODE(MID(TRIM('Open Questions'!$A$12),2,1))-64)*26+(CODE(RIGHT(TRIM('Open Questions'!$A$12),1))-64))),0)&gt;0,IFERROR(INDEX(_helpers!$1:$1,1,CHOOSE(LEN(TRIM('Open Questions'!$A$12)),CODE(TRIM('Open Questions'!$A$12))-64,(CODE(LEFT(TRIM('Open Questions'!$A$12),1))-64)*26+(CODE(RIGHT(TRIM('Open Questions'!$A$12),1))-64),(CODE(LEFT(TRIM('Open Questions'!$A$12),1))-64)*676+(CODE(MID(TRIM('Open Questions'!$A$12),2,1))-64)*26+(CODE(RIGHT(TRIM('Open Questions'!$A$12),1))-64))),0)&lt;0.2),"Column '"&amp;'Open Questions'!$A$12&amp;"' has very few different answers (≤20% are unique). That usually means it's a multiple-choice question rather than free text.","")</f>
        <v>0</v>
      </c>
      <c r="F2418" s="4" t="s">
        <v>1814</v>
      </c>
    </row>
    <row r="2419" spans="1:6" ht="75" customHeight="1">
      <c r="A2419" t="s">
        <v>216</v>
      </c>
      <c r="B2419" t="s">
        <v>177</v>
      </c>
      <c r="C2419" t="s">
        <v>1813</v>
      </c>
      <c r="D2419" t="s">
        <v>1808</v>
      </c>
      <c r="E2419" s="4">
        <f>IF(AND('Open Questions'!$A$13&lt;&gt;"",IFERROR(INDEX(_helpers!$2:$2,1,CHOOSE(LEN(TRIM('Open Questions'!$A$13)),CODE(TRIM('Open Questions'!$A$13))-64,(CODE(LEFT(TRIM('Open Questions'!$A$13),1))-64)*26+(CODE(RIGHT(TRIM('Open Questions'!$A$13),1))-64),(CODE(LEFT(TRIM('Open Questions'!$A$13),1))-64)*676+(CODE(MID(TRIM('Open Questions'!$A$13),2,1))-64)*26+(CODE(RIGHT(TRIM('Open Questions'!$A$13),1))-64))),0)&gt;0,IFERROR(INDEX(_helpers!$1:$1,1,CHOOSE(LEN(TRIM('Open Questions'!$A$13)),CODE(TRIM('Open Questions'!$A$13))-64,(CODE(LEFT(TRIM('Open Questions'!$A$13),1))-64)*26+(CODE(RIGHT(TRIM('Open Questions'!$A$13),1))-64),(CODE(LEFT(TRIM('Open Questions'!$A$13),1))-64)*676+(CODE(MID(TRIM('Open Questions'!$A$13),2,1))-64)*26+(CODE(RIGHT(TRIM('Open Questions'!$A$13),1))-64))),0)&lt;0.2),"Column '"&amp;'Open Questions'!$A$13&amp;"' has very few different answers (≤20% are unique). That usually means it's a multiple-choice question rather than free text.","")</f>
        <v>0</v>
      </c>
      <c r="F2419" s="4" t="s">
        <v>1814</v>
      </c>
    </row>
    <row r="2420" spans="1:6" ht="75" customHeight="1">
      <c r="A2420" t="s">
        <v>216</v>
      </c>
      <c r="B2420" t="s">
        <v>178</v>
      </c>
      <c r="C2420" t="s">
        <v>1813</v>
      </c>
      <c r="D2420" t="s">
        <v>1808</v>
      </c>
      <c r="E2420" s="4">
        <f>IF(AND('Open Questions'!$A$14&lt;&gt;"",IFERROR(INDEX(_helpers!$2:$2,1,CHOOSE(LEN(TRIM('Open Questions'!$A$14)),CODE(TRIM('Open Questions'!$A$14))-64,(CODE(LEFT(TRIM('Open Questions'!$A$14),1))-64)*26+(CODE(RIGHT(TRIM('Open Questions'!$A$14),1))-64),(CODE(LEFT(TRIM('Open Questions'!$A$14),1))-64)*676+(CODE(MID(TRIM('Open Questions'!$A$14),2,1))-64)*26+(CODE(RIGHT(TRIM('Open Questions'!$A$14),1))-64))),0)&gt;0,IFERROR(INDEX(_helpers!$1:$1,1,CHOOSE(LEN(TRIM('Open Questions'!$A$14)),CODE(TRIM('Open Questions'!$A$14))-64,(CODE(LEFT(TRIM('Open Questions'!$A$14),1))-64)*26+(CODE(RIGHT(TRIM('Open Questions'!$A$14),1))-64),(CODE(LEFT(TRIM('Open Questions'!$A$14),1))-64)*676+(CODE(MID(TRIM('Open Questions'!$A$14),2,1))-64)*26+(CODE(RIGHT(TRIM('Open Questions'!$A$14),1))-64))),0)&lt;0.2),"Column '"&amp;'Open Questions'!$A$14&amp;"' has very few different answers (≤20% are unique). That usually means it's a multiple-choice question rather than free text.","")</f>
        <v>0</v>
      </c>
      <c r="F2420" s="4" t="s">
        <v>1814</v>
      </c>
    </row>
    <row r="2421" spans="1:6" ht="75" customHeight="1">
      <c r="A2421" t="s">
        <v>216</v>
      </c>
      <c r="B2421" t="s">
        <v>179</v>
      </c>
      <c r="C2421" t="s">
        <v>1813</v>
      </c>
      <c r="D2421" t="s">
        <v>1808</v>
      </c>
      <c r="E2421" s="4">
        <f>IF(AND('Open Questions'!$A$15&lt;&gt;"",IFERROR(INDEX(_helpers!$2:$2,1,CHOOSE(LEN(TRIM('Open Questions'!$A$15)),CODE(TRIM('Open Questions'!$A$15))-64,(CODE(LEFT(TRIM('Open Questions'!$A$15),1))-64)*26+(CODE(RIGHT(TRIM('Open Questions'!$A$15),1))-64),(CODE(LEFT(TRIM('Open Questions'!$A$15),1))-64)*676+(CODE(MID(TRIM('Open Questions'!$A$15),2,1))-64)*26+(CODE(RIGHT(TRIM('Open Questions'!$A$15),1))-64))),0)&gt;0,IFERROR(INDEX(_helpers!$1:$1,1,CHOOSE(LEN(TRIM('Open Questions'!$A$15)),CODE(TRIM('Open Questions'!$A$15))-64,(CODE(LEFT(TRIM('Open Questions'!$A$15),1))-64)*26+(CODE(RIGHT(TRIM('Open Questions'!$A$15),1))-64),(CODE(LEFT(TRIM('Open Questions'!$A$15),1))-64)*676+(CODE(MID(TRIM('Open Questions'!$A$15),2,1))-64)*26+(CODE(RIGHT(TRIM('Open Questions'!$A$15),1))-64))),0)&lt;0.2),"Column '"&amp;'Open Questions'!$A$15&amp;"' has very few different answers (≤20% are unique). That usually means it's a multiple-choice question rather than free text.","")</f>
        <v>0</v>
      </c>
      <c r="F2421" s="4" t="s">
        <v>1814</v>
      </c>
    </row>
    <row r="2422" spans="1:6" ht="75" customHeight="1">
      <c r="A2422" t="s">
        <v>216</v>
      </c>
      <c r="B2422" t="s">
        <v>180</v>
      </c>
      <c r="C2422" t="s">
        <v>1813</v>
      </c>
      <c r="D2422" t="s">
        <v>1808</v>
      </c>
      <c r="E2422" s="4">
        <f>IF(AND('Open Questions'!$A$16&lt;&gt;"",IFERROR(INDEX(_helpers!$2:$2,1,CHOOSE(LEN(TRIM('Open Questions'!$A$16)),CODE(TRIM('Open Questions'!$A$16))-64,(CODE(LEFT(TRIM('Open Questions'!$A$16),1))-64)*26+(CODE(RIGHT(TRIM('Open Questions'!$A$16),1))-64),(CODE(LEFT(TRIM('Open Questions'!$A$16),1))-64)*676+(CODE(MID(TRIM('Open Questions'!$A$16),2,1))-64)*26+(CODE(RIGHT(TRIM('Open Questions'!$A$16),1))-64))),0)&gt;0,IFERROR(INDEX(_helpers!$1:$1,1,CHOOSE(LEN(TRIM('Open Questions'!$A$16)),CODE(TRIM('Open Questions'!$A$16))-64,(CODE(LEFT(TRIM('Open Questions'!$A$16),1))-64)*26+(CODE(RIGHT(TRIM('Open Questions'!$A$16),1))-64),(CODE(LEFT(TRIM('Open Questions'!$A$16),1))-64)*676+(CODE(MID(TRIM('Open Questions'!$A$16),2,1))-64)*26+(CODE(RIGHT(TRIM('Open Questions'!$A$16),1))-64))),0)&lt;0.2),"Column '"&amp;'Open Questions'!$A$16&amp;"' has very few different answers (≤20% are unique). That usually means it's a multiple-choice question rather than free text.","")</f>
        <v>0</v>
      </c>
      <c r="F2422" s="4" t="s">
        <v>1814</v>
      </c>
    </row>
    <row r="2423" spans="1:6" ht="75" customHeight="1">
      <c r="A2423" t="s">
        <v>216</v>
      </c>
      <c r="B2423" t="s">
        <v>181</v>
      </c>
      <c r="C2423" t="s">
        <v>1813</v>
      </c>
      <c r="D2423" t="s">
        <v>1808</v>
      </c>
      <c r="E2423" s="4">
        <f>IF(AND('Open Questions'!$A$17&lt;&gt;"",IFERROR(INDEX(_helpers!$2:$2,1,CHOOSE(LEN(TRIM('Open Questions'!$A$17)),CODE(TRIM('Open Questions'!$A$17))-64,(CODE(LEFT(TRIM('Open Questions'!$A$17),1))-64)*26+(CODE(RIGHT(TRIM('Open Questions'!$A$17),1))-64),(CODE(LEFT(TRIM('Open Questions'!$A$17),1))-64)*676+(CODE(MID(TRIM('Open Questions'!$A$17),2,1))-64)*26+(CODE(RIGHT(TRIM('Open Questions'!$A$17),1))-64))),0)&gt;0,IFERROR(INDEX(_helpers!$1:$1,1,CHOOSE(LEN(TRIM('Open Questions'!$A$17)),CODE(TRIM('Open Questions'!$A$17))-64,(CODE(LEFT(TRIM('Open Questions'!$A$17),1))-64)*26+(CODE(RIGHT(TRIM('Open Questions'!$A$17),1))-64),(CODE(LEFT(TRIM('Open Questions'!$A$17),1))-64)*676+(CODE(MID(TRIM('Open Questions'!$A$17),2,1))-64)*26+(CODE(RIGHT(TRIM('Open Questions'!$A$17),1))-64))),0)&lt;0.2),"Column '"&amp;'Open Questions'!$A$17&amp;"' has very few different answers (≤20% are unique). That usually means it's a multiple-choice question rather than free text.","")</f>
        <v>0</v>
      </c>
      <c r="F2423" s="4" t="s">
        <v>1814</v>
      </c>
    </row>
    <row r="2424" spans="1:6" ht="75" customHeight="1">
      <c r="A2424" t="s">
        <v>216</v>
      </c>
      <c r="B2424" t="s">
        <v>182</v>
      </c>
      <c r="C2424" t="s">
        <v>1813</v>
      </c>
      <c r="D2424" t="s">
        <v>1808</v>
      </c>
      <c r="E2424" s="4">
        <f>IF(AND('Open Questions'!$A$18&lt;&gt;"",IFERROR(INDEX(_helpers!$2:$2,1,CHOOSE(LEN(TRIM('Open Questions'!$A$18)),CODE(TRIM('Open Questions'!$A$18))-64,(CODE(LEFT(TRIM('Open Questions'!$A$18),1))-64)*26+(CODE(RIGHT(TRIM('Open Questions'!$A$18),1))-64),(CODE(LEFT(TRIM('Open Questions'!$A$18),1))-64)*676+(CODE(MID(TRIM('Open Questions'!$A$18),2,1))-64)*26+(CODE(RIGHT(TRIM('Open Questions'!$A$18),1))-64))),0)&gt;0,IFERROR(INDEX(_helpers!$1:$1,1,CHOOSE(LEN(TRIM('Open Questions'!$A$18)),CODE(TRIM('Open Questions'!$A$18))-64,(CODE(LEFT(TRIM('Open Questions'!$A$18),1))-64)*26+(CODE(RIGHT(TRIM('Open Questions'!$A$18),1))-64),(CODE(LEFT(TRIM('Open Questions'!$A$18),1))-64)*676+(CODE(MID(TRIM('Open Questions'!$A$18),2,1))-64)*26+(CODE(RIGHT(TRIM('Open Questions'!$A$18),1))-64))),0)&lt;0.2),"Column '"&amp;'Open Questions'!$A$18&amp;"' has very few different answers (≤20% are unique). That usually means it's a multiple-choice question rather than free text.","")</f>
        <v>0</v>
      </c>
      <c r="F2424" s="4" t="s">
        <v>1814</v>
      </c>
    </row>
    <row r="2425" spans="1:6" ht="75" customHeight="1">
      <c r="A2425" t="s">
        <v>216</v>
      </c>
      <c r="B2425" t="s">
        <v>183</v>
      </c>
      <c r="C2425" t="s">
        <v>1813</v>
      </c>
      <c r="D2425" t="s">
        <v>1808</v>
      </c>
      <c r="E2425" s="4">
        <f>IF(AND('Open Questions'!$A$19&lt;&gt;"",IFERROR(INDEX(_helpers!$2:$2,1,CHOOSE(LEN(TRIM('Open Questions'!$A$19)),CODE(TRIM('Open Questions'!$A$19))-64,(CODE(LEFT(TRIM('Open Questions'!$A$19),1))-64)*26+(CODE(RIGHT(TRIM('Open Questions'!$A$19),1))-64),(CODE(LEFT(TRIM('Open Questions'!$A$19),1))-64)*676+(CODE(MID(TRIM('Open Questions'!$A$19),2,1))-64)*26+(CODE(RIGHT(TRIM('Open Questions'!$A$19),1))-64))),0)&gt;0,IFERROR(INDEX(_helpers!$1:$1,1,CHOOSE(LEN(TRIM('Open Questions'!$A$19)),CODE(TRIM('Open Questions'!$A$19))-64,(CODE(LEFT(TRIM('Open Questions'!$A$19),1))-64)*26+(CODE(RIGHT(TRIM('Open Questions'!$A$19),1))-64),(CODE(LEFT(TRIM('Open Questions'!$A$19),1))-64)*676+(CODE(MID(TRIM('Open Questions'!$A$19),2,1))-64)*26+(CODE(RIGHT(TRIM('Open Questions'!$A$19),1))-64))),0)&lt;0.2),"Column '"&amp;'Open Questions'!$A$19&amp;"' has very few different answers (≤20% are unique). That usually means it's a multiple-choice question rather than free text.","")</f>
        <v>0</v>
      </c>
      <c r="F2425" s="4" t="s">
        <v>1814</v>
      </c>
    </row>
    <row r="2426" spans="1:6" ht="75" customHeight="1">
      <c r="A2426" t="s">
        <v>216</v>
      </c>
      <c r="B2426" t="s">
        <v>184</v>
      </c>
      <c r="C2426" t="s">
        <v>1813</v>
      </c>
      <c r="D2426" t="s">
        <v>1808</v>
      </c>
      <c r="E2426" s="4">
        <f>IF(AND('Open Questions'!$A$20&lt;&gt;"",IFERROR(INDEX(_helpers!$2:$2,1,CHOOSE(LEN(TRIM('Open Questions'!$A$20)),CODE(TRIM('Open Questions'!$A$20))-64,(CODE(LEFT(TRIM('Open Questions'!$A$20),1))-64)*26+(CODE(RIGHT(TRIM('Open Questions'!$A$20),1))-64),(CODE(LEFT(TRIM('Open Questions'!$A$20),1))-64)*676+(CODE(MID(TRIM('Open Questions'!$A$20),2,1))-64)*26+(CODE(RIGHT(TRIM('Open Questions'!$A$20),1))-64))),0)&gt;0,IFERROR(INDEX(_helpers!$1:$1,1,CHOOSE(LEN(TRIM('Open Questions'!$A$20)),CODE(TRIM('Open Questions'!$A$20))-64,(CODE(LEFT(TRIM('Open Questions'!$A$20),1))-64)*26+(CODE(RIGHT(TRIM('Open Questions'!$A$20),1))-64),(CODE(LEFT(TRIM('Open Questions'!$A$20),1))-64)*676+(CODE(MID(TRIM('Open Questions'!$A$20),2,1))-64)*26+(CODE(RIGHT(TRIM('Open Questions'!$A$20),1))-64))),0)&lt;0.2),"Column '"&amp;'Open Questions'!$A$20&amp;"' has very few different answers (≤20% are unique). That usually means it's a multiple-choice question rather than free text.","")</f>
        <v>0</v>
      </c>
      <c r="F2426" s="4" t="s">
        <v>1814</v>
      </c>
    </row>
    <row r="2427" spans="1:6" ht="75" customHeight="1">
      <c r="A2427" t="s">
        <v>216</v>
      </c>
      <c r="B2427" t="s">
        <v>185</v>
      </c>
      <c r="C2427" t="s">
        <v>1813</v>
      </c>
      <c r="D2427" t="s">
        <v>1808</v>
      </c>
      <c r="E2427" s="4">
        <f>IF(AND('Open Questions'!$A$21&lt;&gt;"",IFERROR(INDEX(_helpers!$2:$2,1,CHOOSE(LEN(TRIM('Open Questions'!$A$21)),CODE(TRIM('Open Questions'!$A$21))-64,(CODE(LEFT(TRIM('Open Questions'!$A$21),1))-64)*26+(CODE(RIGHT(TRIM('Open Questions'!$A$21),1))-64),(CODE(LEFT(TRIM('Open Questions'!$A$21),1))-64)*676+(CODE(MID(TRIM('Open Questions'!$A$21),2,1))-64)*26+(CODE(RIGHT(TRIM('Open Questions'!$A$21),1))-64))),0)&gt;0,IFERROR(INDEX(_helpers!$1:$1,1,CHOOSE(LEN(TRIM('Open Questions'!$A$21)),CODE(TRIM('Open Questions'!$A$21))-64,(CODE(LEFT(TRIM('Open Questions'!$A$21),1))-64)*26+(CODE(RIGHT(TRIM('Open Questions'!$A$21),1))-64),(CODE(LEFT(TRIM('Open Questions'!$A$21),1))-64)*676+(CODE(MID(TRIM('Open Questions'!$A$21),2,1))-64)*26+(CODE(RIGHT(TRIM('Open Questions'!$A$21),1))-64))),0)&lt;0.2),"Column '"&amp;'Open Questions'!$A$21&amp;"' has very few different answers (≤20% are unique). That usually means it's a multiple-choice question rather than free text.","")</f>
        <v>0</v>
      </c>
      <c r="F2427" s="4" t="s">
        <v>1814</v>
      </c>
    </row>
    <row r="2428" spans="1:6" ht="75" customHeight="1">
      <c r="A2428" t="s">
        <v>216</v>
      </c>
      <c r="B2428" t="s">
        <v>186</v>
      </c>
      <c r="C2428" t="s">
        <v>1813</v>
      </c>
      <c r="D2428" t="s">
        <v>1808</v>
      </c>
      <c r="E2428" s="4">
        <f>IF(AND('Open Questions'!$A$22&lt;&gt;"",IFERROR(INDEX(_helpers!$2:$2,1,CHOOSE(LEN(TRIM('Open Questions'!$A$22)),CODE(TRIM('Open Questions'!$A$22))-64,(CODE(LEFT(TRIM('Open Questions'!$A$22),1))-64)*26+(CODE(RIGHT(TRIM('Open Questions'!$A$22),1))-64),(CODE(LEFT(TRIM('Open Questions'!$A$22),1))-64)*676+(CODE(MID(TRIM('Open Questions'!$A$22),2,1))-64)*26+(CODE(RIGHT(TRIM('Open Questions'!$A$22),1))-64))),0)&gt;0,IFERROR(INDEX(_helpers!$1:$1,1,CHOOSE(LEN(TRIM('Open Questions'!$A$22)),CODE(TRIM('Open Questions'!$A$22))-64,(CODE(LEFT(TRIM('Open Questions'!$A$22),1))-64)*26+(CODE(RIGHT(TRIM('Open Questions'!$A$22),1))-64),(CODE(LEFT(TRIM('Open Questions'!$A$22),1))-64)*676+(CODE(MID(TRIM('Open Questions'!$A$22),2,1))-64)*26+(CODE(RIGHT(TRIM('Open Questions'!$A$22),1))-64))),0)&lt;0.2),"Column '"&amp;'Open Questions'!$A$22&amp;"' has very few different answers (≤20% are unique). That usually means it's a multiple-choice question rather than free text.","")</f>
        <v>0</v>
      </c>
      <c r="F2428" s="4" t="s">
        <v>1814</v>
      </c>
    </row>
    <row r="2429" spans="1:6" ht="75" customHeight="1">
      <c r="A2429" t="s">
        <v>216</v>
      </c>
      <c r="B2429" t="s">
        <v>187</v>
      </c>
      <c r="C2429" t="s">
        <v>1813</v>
      </c>
      <c r="D2429" t="s">
        <v>1808</v>
      </c>
      <c r="E2429" s="4">
        <f>IF(AND('Open Questions'!$A$23&lt;&gt;"",IFERROR(INDEX(_helpers!$2:$2,1,CHOOSE(LEN(TRIM('Open Questions'!$A$23)),CODE(TRIM('Open Questions'!$A$23))-64,(CODE(LEFT(TRIM('Open Questions'!$A$23),1))-64)*26+(CODE(RIGHT(TRIM('Open Questions'!$A$23),1))-64),(CODE(LEFT(TRIM('Open Questions'!$A$23),1))-64)*676+(CODE(MID(TRIM('Open Questions'!$A$23),2,1))-64)*26+(CODE(RIGHT(TRIM('Open Questions'!$A$23),1))-64))),0)&gt;0,IFERROR(INDEX(_helpers!$1:$1,1,CHOOSE(LEN(TRIM('Open Questions'!$A$23)),CODE(TRIM('Open Questions'!$A$23))-64,(CODE(LEFT(TRIM('Open Questions'!$A$23),1))-64)*26+(CODE(RIGHT(TRIM('Open Questions'!$A$23),1))-64),(CODE(LEFT(TRIM('Open Questions'!$A$23),1))-64)*676+(CODE(MID(TRIM('Open Questions'!$A$23),2,1))-64)*26+(CODE(RIGHT(TRIM('Open Questions'!$A$23),1))-64))),0)&lt;0.2),"Column '"&amp;'Open Questions'!$A$23&amp;"' has very few different answers (≤20% are unique). That usually means it's a multiple-choice question rather than free text.","")</f>
        <v>0</v>
      </c>
      <c r="F2429" s="4" t="s">
        <v>1814</v>
      </c>
    </row>
    <row r="2430" spans="1:6" ht="75" customHeight="1">
      <c r="A2430" t="s">
        <v>216</v>
      </c>
      <c r="B2430" t="s">
        <v>188</v>
      </c>
      <c r="C2430" t="s">
        <v>1813</v>
      </c>
      <c r="D2430" t="s">
        <v>1808</v>
      </c>
      <c r="E2430" s="4">
        <f>IF(AND('Open Questions'!$A$24&lt;&gt;"",IFERROR(INDEX(_helpers!$2:$2,1,CHOOSE(LEN(TRIM('Open Questions'!$A$24)),CODE(TRIM('Open Questions'!$A$24))-64,(CODE(LEFT(TRIM('Open Questions'!$A$24),1))-64)*26+(CODE(RIGHT(TRIM('Open Questions'!$A$24),1))-64),(CODE(LEFT(TRIM('Open Questions'!$A$24),1))-64)*676+(CODE(MID(TRIM('Open Questions'!$A$24),2,1))-64)*26+(CODE(RIGHT(TRIM('Open Questions'!$A$24),1))-64))),0)&gt;0,IFERROR(INDEX(_helpers!$1:$1,1,CHOOSE(LEN(TRIM('Open Questions'!$A$24)),CODE(TRIM('Open Questions'!$A$24))-64,(CODE(LEFT(TRIM('Open Questions'!$A$24),1))-64)*26+(CODE(RIGHT(TRIM('Open Questions'!$A$24),1))-64),(CODE(LEFT(TRIM('Open Questions'!$A$24),1))-64)*676+(CODE(MID(TRIM('Open Questions'!$A$24),2,1))-64)*26+(CODE(RIGHT(TRIM('Open Questions'!$A$24),1))-64))),0)&lt;0.2),"Column '"&amp;'Open Questions'!$A$24&amp;"' has very few different answers (≤20% are unique). That usually means it's a multiple-choice question rather than free text.","")</f>
        <v>0</v>
      </c>
      <c r="F2430" s="4" t="s">
        <v>1814</v>
      </c>
    </row>
    <row r="2431" spans="1:6" ht="75" customHeight="1">
      <c r="A2431" t="s">
        <v>216</v>
      </c>
      <c r="B2431" t="s">
        <v>189</v>
      </c>
      <c r="C2431" t="s">
        <v>1813</v>
      </c>
      <c r="D2431" t="s">
        <v>1808</v>
      </c>
      <c r="E2431" s="4">
        <f>IF(AND('Open Questions'!$A$25&lt;&gt;"",IFERROR(INDEX(_helpers!$2:$2,1,CHOOSE(LEN(TRIM('Open Questions'!$A$25)),CODE(TRIM('Open Questions'!$A$25))-64,(CODE(LEFT(TRIM('Open Questions'!$A$25),1))-64)*26+(CODE(RIGHT(TRIM('Open Questions'!$A$25),1))-64),(CODE(LEFT(TRIM('Open Questions'!$A$25),1))-64)*676+(CODE(MID(TRIM('Open Questions'!$A$25),2,1))-64)*26+(CODE(RIGHT(TRIM('Open Questions'!$A$25),1))-64))),0)&gt;0,IFERROR(INDEX(_helpers!$1:$1,1,CHOOSE(LEN(TRIM('Open Questions'!$A$25)),CODE(TRIM('Open Questions'!$A$25))-64,(CODE(LEFT(TRIM('Open Questions'!$A$25),1))-64)*26+(CODE(RIGHT(TRIM('Open Questions'!$A$25),1))-64),(CODE(LEFT(TRIM('Open Questions'!$A$25),1))-64)*676+(CODE(MID(TRIM('Open Questions'!$A$25),2,1))-64)*26+(CODE(RIGHT(TRIM('Open Questions'!$A$25),1))-64))),0)&lt;0.2),"Column '"&amp;'Open Questions'!$A$25&amp;"' has very few different answers (≤20% are unique). That usually means it's a multiple-choice question rather than free text.","")</f>
        <v>0</v>
      </c>
      <c r="F2431" s="4" t="s">
        <v>1814</v>
      </c>
    </row>
    <row r="2432" spans="1:6" ht="75" customHeight="1">
      <c r="A2432" t="s">
        <v>216</v>
      </c>
      <c r="B2432" t="s">
        <v>190</v>
      </c>
      <c r="C2432" t="s">
        <v>1813</v>
      </c>
      <c r="D2432" t="s">
        <v>1808</v>
      </c>
      <c r="E2432" s="4">
        <f>IF(AND('Open Questions'!$A$26&lt;&gt;"",IFERROR(INDEX(_helpers!$2:$2,1,CHOOSE(LEN(TRIM('Open Questions'!$A$26)),CODE(TRIM('Open Questions'!$A$26))-64,(CODE(LEFT(TRIM('Open Questions'!$A$26),1))-64)*26+(CODE(RIGHT(TRIM('Open Questions'!$A$26),1))-64),(CODE(LEFT(TRIM('Open Questions'!$A$26),1))-64)*676+(CODE(MID(TRIM('Open Questions'!$A$26),2,1))-64)*26+(CODE(RIGHT(TRIM('Open Questions'!$A$26),1))-64))),0)&gt;0,IFERROR(INDEX(_helpers!$1:$1,1,CHOOSE(LEN(TRIM('Open Questions'!$A$26)),CODE(TRIM('Open Questions'!$A$26))-64,(CODE(LEFT(TRIM('Open Questions'!$A$26),1))-64)*26+(CODE(RIGHT(TRIM('Open Questions'!$A$26),1))-64),(CODE(LEFT(TRIM('Open Questions'!$A$26),1))-64)*676+(CODE(MID(TRIM('Open Questions'!$A$26),2,1))-64)*26+(CODE(RIGHT(TRIM('Open Questions'!$A$26),1))-64))),0)&lt;0.2),"Column '"&amp;'Open Questions'!$A$26&amp;"' has very few different answers (≤20% are unique). That usually means it's a multiple-choice question rather than free text.","")</f>
        <v>0</v>
      </c>
      <c r="F2432" s="4" t="s">
        <v>1814</v>
      </c>
    </row>
    <row r="2433" spans="1:6" ht="75" customHeight="1">
      <c r="A2433" t="s">
        <v>216</v>
      </c>
      <c r="B2433" t="s">
        <v>191</v>
      </c>
      <c r="C2433" t="s">
        <v>1813</v>
      </c>
      <c r="D2433" t="s">
        <v>1808</v>
      </c>
      <c r="E2433" s="4">
        <f>IF(AND('Open Questions'!$A$27&lt;&gt;"",IFERROR(INDEX(_helpers!$2:$2,1,CHOOSE(LEN(TRIM('Open Questions'!$A$27)),CODE(TRIM('Open Questions'!$A$27))-64,(CODE(LEFT(TRIM('Open Questions'!$A$27),1))-64)*26+(CODE(RIGHT(TRIM('Open Questions'!$A$27),1))-64),(CODE(LEFT(TRIM('Open Questions'!$A$27),1))-64)*676+(CODE(MID(TRIM('Open Questions'!$A$27),2,1))-64)*26+(CODE(RIGHT(TRIM('Open Questions'!$A$27),1))-64))),0)&gt;0,IFERROR(INDEX(_helpers!$1:$1,1,CHOOSE(LEN(TRIM('Open Questions'!$A$27)),CODE(TRIM('Open Questions'!$A$27))-64,(CODE(LEFT(TRIM('Open Questions'!$A$27),1))-64)*26+(CODE(RIGHT(TRIM('Open Questions'!$A$27),1))-64),(CODE(LEFT(TRIM('Open Questions'!$A$27),1))-64)*676+(CODE(MID(TRIM('Open Questions'!$A$27),2,1))-64)*26+(CODE(RIGHT(TRIM('Open Questions'!$A$27),1))-64))),0)&lt;0.2),"Column '"&amp;'Open Questions'!$A$27&amp;"' has very few different answers (≤20% are unique). That usually means it's a multiple-choice question rather than free text.","")</f>
        <v>0</v>
      </c>
      <c r="F2433" s="4" t="s">
        <v>1814</v>
      </c>
    </row>
    <row r="2434" spans="1:6" ht="75" customHeight="1">
      <c r="A2434" t="s">
        <v>216</v>
      </c>
      <c r="B2434" t="s">
        <v>192</v>
      </c>
      <c r="C2434" t="s">
        <v>1813</v>
      </c>
      <c r="D2434" t="s">
        <v>1808</v>
      </c>
      <c r="E2434" s="4">
        <f>IF(AND('Open Questions'!$A$28&lt;&gt;"",IFERROR(INDEX(_helpers!$2:$2,1,CHOOSE(LEN(TRIM('Open Questions'!$A$28)),CODE(TRIM('Open Questions'!$A$28))-64,(CODE(LEFT(TRIM('Open Questions'!$A$28),1))-64)*26+(CODE(RIGHT(TRIM('Open Questions'!$A$28),1))-64),(CODE(LEFT(TRIM('Open Questions'!$A$28),1))-64)*676+(CODE(MID(TRIM('Open Questions'!$A$28),2,1))-64)*26+(CODE(RIGHT(TRIM('Open Questions'!$A$28),1))-64))),0)&gt;0,IFERROR(INDEX(_helpers!$1:$1,1,CHOOSE(LEN(TRIM('Open Questions'!$A$28)),CODE(TRIM('Open Questions'!$A$28))-64,(CODE(LEFT(TRIM('Open Questions'!$A$28),1))-64)*26+(CODE(RIGHT(TRIM('Open Questions'!$A$28),1))-64),(CODE(LEFT(TRIM('Open Questions'!$A$28),1))-64)*676+(CODE(MID(TRIM('Open Questions'!$A$28),2,1))-64)*26+(CODE(RIGHT(TRIM('Open Questions'!$A$28),1))-64))),0)&lt;0.2),"Column '"&amp;'Open Questions'!$A$28&amp;"' has very few different answers (≤20% are unique). That usually means it's a multiple-choice question rather than free text.","")</f>
        <v>0</v>
      </c>
      <c r="F2434" s="4" t="s">
        <v>1814</v>
      </c>
    </row>
    <row r="2435" spans="1:6" ht="75" customHeight="1">
      <c r="A2435" t="s">
        <v>216</v>
      </c>
      <c r="B2435" t="s">
        <v>193</v>
      </c>
      <c r="C2435" t="s">
        <v>1813</v>
      </c>
      <c r="D2435" t="s">
        <v>1808</v>
      </c>
      <c r="E2435" s="4">
        <f>IF(AND('Open Questions'!$A$29&lt;&gt;"",IFERROR(INDEX(_helpers!$2:$2,1,CHOOSE(LEN(TRIM('Open Questions'!$A$29)),CODE(TRIM('Open Questions'!$A$29))-64,(CODE(LEFT(TRIM('Open Questions'!$A$29),1))-64)*26+(CODE(RIGHT(TRIM('Open Questions'!$A$29),1))-64),(CODE(LEFT(TRIM('Open Questions'!$A$29),1))-64)*676+(CODE(MID(TRIM('Open Questions'!$A$29),2,1))-64)*26+(CODE(RIGHT(TRIM('Open Questions'!$A$29),1))-64))),0)&gt;0,IFERROR(INDEX(_helpers!$1:$1,1,CHOOSE(LEN(TRIM('Open Questions'!$A$29)),CODE(TRIM('Open Questions'!$A$29))-64,(CODE(LEFT(TRIM('Open Questions'!$A$29),1))-64)*26+(CODE(RIGHT(TRIM('Open Questions'!$A$29),1))-64),(CODE(LEFT(TRIM('Open Questions'!$A$29),1))-64)*676+(CODE(MID(TRIM('Open Questions'!$A$29),2,1))-64)*26+(CODE(RIGHT(TRIM('Open Questions'!$A$29),1))-64))),0)&lt;0.2),"Column '"&amp;'Open Questions'!$A$29&amp;"' has very few different answers (≤20% are unique). That usually means it's a multiple-choice question rather than free text.","")</f>
        <v>0</v>
      </c>
      <c r="F2435" s="4" t="s">
        <v>1814</v>
      </c>
    </row>
    <row r="2436" spans="1:6" ht="75" customHeight="1">
      <c r="A2436" t="s">
        <v>216</v>
      </c>
      <c r="B2436" t="s">
        <v>194</v>
      </c>
      <c r="C2436" t="s">
        <v>1813</v>
      </c>
      <c r="D2436" t="s">
        <v>1808</v>
      </c>
      <c r="E2436" s="4">
        <f>IF(AND('Open Questions'!$A$30&lt;&gt;"",IFERROR(INDEX(_helpers!$2:$2,1,CHOOSE(LEN(TRIM('Open Questions'!$A$30)),CODE(TRIM('Open Questions'!$A$30))-64,(CODE(LEFT(TRIM('Open Questions'!$A$30),1))-64)*26+(CODE(RIGHT(TRIM('Open Questions'!$A$30),1))-64),(CODE(LEFT(TRIM('Open Questions'!$A$30),1))-64)*676+(CODE(MID(TRIM('Open Questions'!$A$30),2,1))-64)*26+(CODE(RIGHT(TRIM('Open Questions'!$A$30),1))-64))),0)&gt;0,IFERROR(INDEX(_helpers!$1:$1,1,CHOOSE(LEN(TRIM('Open Questions'!$A$30)),CODE(TRIM('Open Questions'!$A$30))-64,(CODE(LEFT(TRIM('Open Questions'!$A$30),1))-64)*26+(CODE(RIGHT(TRIM('Open Questions'!$A$30),1))-64),(CODE(LEFT(TRIM('Open Questions'!$A$30),1))-64)*676+(CODE(MID(TRIM('Open Questions'!$A$30),2,1))-64)*26+(CODE(RIGHT(TRIM('Open Questions'!$A$30),1))-64))),0)&lt;0.2),"Column '"&amp;'Open Questions'!$A$30&amp;"' has very few different answers (≤20% are unique). That usually means it's a multiple-choice question rather than free text.","")</f>
        <v>0</v>
      </c>
      <c r="F2436" s="4" t="s">
        <v>1814</v>
      </c>
    </row>
    <row r="2437" spans="1:6" ht="75" customHeight="1">
      <c r="A2437" t="s">
        <v>216</v>
      </c>
      <c r="B2437" t="s">
        <v>195</v>
      </c>
      <c r="C2437" t="s">
        <v>1813</v>
      </c>
      <c r="D2437" t="s">
        <v>1808</v>
      </c>
      <c r="E2437" s="4">
        <f>IF(AND('Open Questions'!$A$31&lt;&gt;"",IFERROR(INDEX(_helpers!$2:$2,1,CHOOSE(LEN(TRIM('Open Questions'!$A$31)),CODE(TRIM('Open Questions'!$A$31))-64,(CODE(LEFT(TRIM('Open Questions'!$A$31),1))-64)*26+(CODE(RIGHT(TRIM('Open Questions'!$A$31),1))-64),(CODE(LEFT(TRIM('Open Questions'!$A$31),1))-64)*676+(CODE(MID(TRIM('Open Questions'!$A$31),2,1))-64)*26+(CODE(RIGHT(TRIM('Open Questions'!$A$31),1))-64))),0)&gt;0,IFERROR(INDEX(_helpers!$1:$1,1,CHOOSE(LEN(TRIM('Open Questions'!$A$31)),CODE(TRIM('Open Questions'!$A$31))-64,(CODE(LEFT(TRIM('Open Questions'!$A$31),1))-64)*26+(CODE(RIGHT(TRIM('Open Questions'!$A$31),1))-64),(CODE(LEFT(TRIM('Open Questions'!$A$31),1))-64)*676+(CODE(MID(TRIM('Open Questions'!$A$31),2,1))-64)*26+(CODE(RIGHT(TRIM('Open Questions'!$A$31),1))-64))),0)&lt;0.2),"Column '"&amp;'Open Questions'!$A$31&amp;"' has very few different answers (≤20% are unique). That usually means it's a multiple-choice question rather than free text.","")</f>
        <v>0</v>
      </c>
      <c r="F2437" s="4" t="s">
        <v>1814</v>
      </c>
    </row>
    <row r="2438" spans="1:6" ht="75" customHeight="1">
      <c r="A2438" t="s">
        <v>216</v>
      </c>
      <c r="B2438" t="s">
        <v>196</v>
      </c>
      <c r="C2438" t="s">
        <v>1813</v>
      </c>
      <c r="D2438" t="s">
        <v>1808</v>
      </c>
      <c r="E2438" s="4">
        <f>IF(AND('Open Questions'!$A$32&lt;&gt;"",IFERROR(INDEX(_helpers!$2:$2,1,CHOOSE(LEN(TRIM('Open Questions'!$A$32)),CODE(TRIM('Open Questions'!$A$32))-64,(CODE(LEFT(TRIM('Open Questions'!$A$32),1))-64)*26+(CODE(RIGHT(TRIM('Open Questions'!$A$32),1))-64),(CODE(LEFT(TRIM('Open Questions'!$A$32),1))-64)*676+(CODE(MID(TRIM('Open Questions'!$A$32),2,1))-64)*26+(CODE(RIGHT(TRIM('Open Questions'!$A$32),1))-64))),0)&gt;0,IFERROR(INDEX(_helpers!$1:$1,1,CHOOSE(LEN(TRIM('Open Questions'!$A$32)),CODE(TRIM('Open Questions'!$A$32))-64,(CODE(LEFT(TRIM('Open Questions'!$A$32),1))-64)*26+(CODE(RIGHT(TRIM('Open Questions'!$A$32),1))-64),(CODE(LEFT(TRIM('Open Questions'!$A$32),1))-64)*676+(CODE(MID(TRIM('Open Questions'!$A$32),2,1))-64)*26+(CODE(RIGHT(TRIM('Open Questions'!$A$32),1))-64))),0)&lt;0.2),"Column '"&amp;'Open Questions'!$A$32&amp;"' has very few different answers (≤20% are unique). That usually means it's a multiple-choice question rather than free text.","")</f>
        <v>0</v>
      </c>
      <c r="F2438" s="4" t="s">
        <v>1814</v>
      </c>
    </row>
    <row r="2439" spans="1:6" ht="75" customHeight="1">
      <c r="A2439" t="s">
        <v>216</v>
      </c>
      <c r="B2439" t="s">
        <v>197</v>
      </c>
      <c r="C2439" t="s">
        <v>1813</v>
      </c>
      <c r="D2439" t="s">
        <v>1808</v>
      </c>
      <c r="E2439" s="4">
        <f>IF(AND('Open Questions'!$A$33&lt;&gt;"",IFERROR(INDEX(_helpers!$2:$2,1,CHOOSE(LEN(TRIM('Open Questions'!$A$33)),CODE(TRIM('Open Questions'!$A$33))-64,(CODE(LEFT(TRIM('Open Questions'!$A$33),1))-64)*26+(CODE(RIGHT(TRIM('Open Questions'!$A$33),1))-64),(CODE(LEFT(TRIM('Open Questions'!$A$33),1))-64)*676+(CODE(MID(TRIM('Open Questions'!$A$33),2,1))-64)*26+(CODE(RIGHT(TRIM('Open Questions'!$A$33),1))-64))),0)&gt;0,IFERROR(INDEX(_helpers!$1:$1,1,CHOOSE(LEN(TRIM('Open Questions'!$A$33)),CODE(TRIM('Open Questions'!$A$33))-64,(CODE(LEFT(TRIM('Open Questions'!$A$33),1))-64)*26+(CODE(RIGHT(TRIM('Open Questions'!$A$33),1))-64),(CODE(LEFT(TRIM('Open Questions'!$A$33),1))-64)*676+(CODE(MID(TRIM('Open Questions'!$A$33),2,1))-64)*26+(CODE(RIGHT(TRIM('Open Questions'!$A$33),1))-64))),0)&lt;0.2),"Column '"&amp;'Open Questions'!$A$33&amp;"' has very few different answers (≤20% are unique). That usually means it's a multiple-choice question rather than free text.","")</f>
        <v>0</v>
      </c>
      <c r="F2439" s="4" t="s">
        <v>1814</v>
      </c>
    </row>
    <row r="2440" spans="1:6" ht="75" customHeight="1">
      <c r="A2440" t="s">
        <v>216</v>
      </c>
      <c r="B2440" t="s">
        <v>198</v>
      </c>
      <c r="C2440" t="s">
        <v>1813</v>
      </c>
      <c r="D2440" t="s">
        <v>1808</v>
      </c>
      <c r="E2440" s="4">
        <f>IF(AND('Open Questions'!$A$34&lt;&gt;"",IFERROR(INDEX(_helpers!$2:$2,1,CHOOSE(LEN(TRIM('Open Questions'!$A$34)),CODE(TRIM('Open Questions'!$A$34))-64,(CODE(LEFT(TRIM('Open Questions'!$A$34),1))-64)*26+(CODE(RIGHT(TRIM('Open Questions'!$A$34),1))-64),(CODE(LEFT(TRIM('Open Questions'!$A$34),1))-64)*676+(CODE(MID(TRIM('Open Questions'!$A$34),2,1))-64)*26+(CODE(RIGHT(TRIM('Open Questions'!$A$34),1))-64))),0)&gt;0,IFERROR(INDEX(_helpers!$1:$1,1,CHOOSE(LEN(TRIM('Open Questions'!$A$34)),CODE(TRIM('Open Questions'!$A$34))-64,(CODE(LEFT(TRIM('Open Questions'!$A$34),1))-64)*26+(CODE(RIGHT(TRIM('Open Questions'!$A$34),1))-64),(CODE(LEFT(TRIM('Open Questions'!$A$34),1))-64)*676+(CODE(MID(TRIM('Open Questions'!$A$34),2,1))-64)*26+(CODE(RIGHT(TRIM('Open Questions'!$A$34),1))-64))),0)&lt;0.2),"Column '"&amp;'Open Questions'!$A$34&amp;"' has very few different answers (≤20% are unique). That usually means it's a multiple-choice question rather than free text.","")</f>
        <v>0</v>
      </c>
      <c r="F2440" s="4" t="s">
        <v>1814</v>
      </c>
    </row>
    <row r="2441" spans="1:6" ht="75" customHeight="1">
      <c r="A2441" t="s">
        <v>216</v>
      </c>
      <c r="B2441" t="s">
        <v>199</v>
      </c>
      <c r="C2441" t="s">
        <v>1813</v>
      </c>
      <c r="D2441" t="s">
        <v>1808</v>
      </c>
      <c r="E2441" s="4">
        <f>IF(AND('Open Questions'!$A$35&lt;&gt;"",IFERROR(INDEX(_helpers!$2:$2,1,CHOOSE(LEN(TRIM('Open Questions'!$A$35)),CODE(TRIM('Open Questions'!$A$35))-64,(CODE(LEFT(TRIM('Open Questions'!$A$35),1))-64)*26+(CODE(RIGHT(TRIM('Open Questions'!$A$35),1))-64),(CODE(LEFT(TRIM('Open Questions'!$A$35),1))-64)*676+(CODE(MID(TRIM('Open Questions'!$A$35),2,1))-64)*26+(CODE(RIGHT(TRIM('Open Questions'!$A$35),1))-64))),0)&gt;0,IFERROR(INDEX(_helpers!$1:$1,1,CHOOSE(LEN(TRIM('Open Questions'!$A$35)),CODE(TRIM('Open Questions'!$A$35))-64,(CODE(LEFT(TRIM('Open Questions'!$A$35),1))-64)*26+(CODE(RIGHT(TRIM('Open Questions'!$A$35),1))-64),(CODE(LEFT(TRIM('Open Questions'!$A$35),1))-64)*676+(CODE(MID(TRIM('Open Questions'!$A$35),2,1))-64)*26+(CODE(RIGHT(TRIM('Open Questions'!$A$35),1))-64))),0)&lt;0.2),"Column '"&amp;'Open Questions'!$A$35&amp;"' has very few different answers (≤20% are unique). That usually means it's a multiple-choice question rather than free text.","")</f>
        <v>0</v>
      </c>
      <c r="F2441" s="4" t="s">
        <v>1814</v>
      </c>
    </row>
    <row r="2442" spans="1:6" ht="75" customHeight="1">
      <c r="A2442" t="s">
        <v>216</v>
      </c>
      <c r="B2442" t="s">
        <v>200</v>
      </c>
      <c r="C2442" t="s">
        <v>1813</v>
      </c>
      <c r="D2442" t="s">
        <v>1808</v>
      </c>
      <c r="E2442" s="4">
        <f>IF(AND('Open Questions'!$A$36&lt;&gt;"",IFERROR(INDEX(_helpers!$2:$2,1,CHOOSE(LEN(TRIM('Open Questions'!$A$36)),CODE(TRIM('Open Questions'!$A$36))-64,(CODE(LEFT(TRIM('Open Questions'!$A$36),1))-64)*26+(CODE(RIGHT(TRIM('Open Questions'!$A$36),1))-64),(CODE(LEFT(TRIM('Open Questions'!$A$36),1))-64)*676+(CODE(MID(TRIM('Open Questions'!$A$36),2,1))-64)*26+(CODE(RIGHT(TRIM('Open Questions'!$A$36),1))-64))),0)&gt;0,IFERROR(INDEX(_helpers!$1:$1,1,CHOOSE(LEN(TRIM('Open Questions'!$A$36)),CODE(TRIM('Open Questions'!$A$36))-64,(CODE(LEFT(TRIM('Open Questions'!$A$36),1))-64)*26+(CODE(RIGHT(TRIM('Open Questions'!$A$36),1))-64),(CODE(LEFT(TRIM('Open Questions'!$A$36),1))-64)*676+(CODE(MID(TRIM('Open Questions'!$A$36),2,1))-64)*26+(CODE(RIGHT(TRIM('Open Questions'!$A$36),1))-64))),0)&lt;0.2),"Column '"&amp;'Open Questions'!$A$36&amp;"' has very few different answers (≤20% are unique). That usually means it's a multiple-choice question rather than free text.","")</f>
        <v>0</v>
      </c>
      <c r="F2442" s="4" t="s">
        <v>1814</v>
      </c>
    </row>
    <row r="2443" spans="1:6" ht="75" customHeight="1">
      <c r="A2443" t="s">
        <v>216</v>
      </c>
      <c r="B2443" t="s">
        <v>201</v>
      </c>
      <c r="C2443" t="s">
        <v>1813</v>
      </c>
      <c r="D2443" t="s">
        <v>1808</v>
      </c>
      <c r="E2443" s="4">
        <f>IF(AND('Open Questions'!$A$37&lt;&gt;"",IFERROR(INDEX(_helpers!$2:$2,1,CHOOSE(LEN(TRIM('Open Questions'!$A$37)),CODE(TRIM('Open Questions'!$A$37))-64,(CODE(LEFT(TRIM('Open Questions'!$A$37),1))-64)*26+(CODE(RIGHT(TRIM('Open Questions'!$A$37),1))-64),(CODE(LEFT(TRIM('Open Questions'!$A$37),1))-64)*676+(CODE(MID(TRIM('Open Questions'!$A$37),2,1))-64)*26+(CODE(RIGHT(TRIM('Open Questions'!$A$37),1))-64))),0)&gt;0,IFERROR(INDEX(_helpers!$1:$1,1,CHOOSE(LEN(TRIM('Open Questions'!$A$37)),CODE(TRIM('Open Questions'!$A$37))-64,(CODE(LEFT(TRIM('Open Questions'!$A$37),1))-64)*26+(CODE(RIGHT(TRIM('Open Questions'!$A$37),1))-64),(CODE(LEFT(TRIM('Open Questions'!$A$37),1))-64)*676+(CODE(MID(TRIM('Open Questions'!$A$37),2,1))-64)*26+(CODE(RIGHT(TRIM('Open Questions'!$A$37),1))-64))),0)&lt;0.2),"Column '"&amp;'Open Questions'!$A$37&amp;"' has very few different answers (≤20% are unique). That usually means it's a multiple-choice question rather than free text.","")</f>
        <v>0</v>
      </c>
      <c r="F2443" s="4" t="s">
        <v>1814</v>
      </c>
    </row>
    <row r="2444" spans="1:6" ht="75" customHeight="1">
      <c r="A2444" t="s">
        <v>216</v>
      </c>
      <c r="B2444" t="s">
        <v>202</v>
      </c>
      <c r="C2444" t="s">
        <v>1813</v>
      </c>
      <c r="D2444" t="s">
        <v>1808</v>
      </c>
      <c r="E2444" s="4">
        <f>IF(AND('Open Questions'!$A$38&lt;&gt;"",IFERROR(INDEX(_helpers!$2:$2,1,CHOOSE(LEN(TRIM('Open Questions'!$A$38)),CODE(TRIM('Open Questions'!$A$38))-64,(CODE(LEFT(TRIM('Open Questions'!$A$38),1))-64)*26+(CODE(RIGHT(TRIM('Open Questions'!$A$38),1))-64),(CODE(LEFT(TRIM('Open Questions'!$A$38),1))-64)*676+(CODE(MID(TRIM('Open Questions'!$A$38),2,1))-64)*26+(CODE(RIGHT(TRIM('Open Questions'!$A$38),1))-64))),0)&gt;0,IFERROR(INDEX(_helpers!$1:$1,1,CHOOSE(LEN(TRIM('Open Questions'!$A$38)),CODE(TRIM('Open Questions'!$A$38))-64,(CODE(LEFT(TRIM('Open Questions'!$A$38),1))-64)*26+(CODE(RIGHT(TRIM('Open Questions'!$A$38),1))-64),(CODE(LEFT(TRIM('Open Questions'!$A$38),1))-64)*676+(CODE(MID(TRIM('Open Questions'!$A$38),2,1))-64)*26+(CODE(RIGHT(TRIM('Open Questions'!$A$38),1))-64))),0)&lt;0.2),"Column '"&amp;'Open Questions'!$A$38&amp;"' has very few different answers (≤20% are unique). That usually means it's a multiple-choice question rather than free text.","")</f>
        <v>0</v>
      </c>
      <c r="F2444" s="4" t="s">
        <v>1814</v>
      </c>
    </row>
    <row r="2445" spans="1:6" ht="75" customHeight="1">
      <c r="A2445" t="s">
        <v>216</v>
      </c>
      <c r="B2445" t="s">
        <v>203</v>
      </c>
      <c r="C2445" t="s">
        <v>1813</v>
      </c>
      <c r="D2445" t="s">
        <v>1808</v>
      </c>
      <c r="E2445" s="4">
        <f>IF(AND('Open Questions'!$A$39&lt;&gt;"",IFERROR(INDEX(_helpers!$2:$2,1,CHOOSE(LEN(TRIM('Open Questions'!$A$39)),CODE(TRIM('Open Questions'!$A$39))-64,(CODE(LEFT(TRIM('Open Questions'!$A$39),1))-64)*26+(CODE(RIGHT(TRIM('Open Questions'!$A$39),1))-64),(CODE(LEFT(TRIM('Open Questions'!$A$39),1))-64)*676+(CODE(MID(TRIM('Open Questions'!$A$39),2,1))-64)*26+(CODE(RIGHT(TRIM('Open Questions'!$A$39),1))-64))),0)&gt;0,IFERROR(INDEX(_helpers!$1:$1,1,CHOOSE(LEN(TRIM('Open Questions'!$A$39)),CODE(TRIM('Open Questions'!$A$39))-64,(CODE(LEFT(TRIM('Open Questions'!$A$39),1))-64)*26+(CODE(RIGHT(TRIM('Open Questions'!$A$39),1))-64),(CODE(LEFT(TRIM('Open Questions'!$A$39),1))-64)*676+(CODE(MID(TRIM('Open Questions'!$A$39),2,1))-64)*26+(CODE(RIGHT(TRIM('Open Questions'!$A$39),1))-64))),0)&lt;0.2),"Column '"&amp;'Open Questions'!$A$39&amp;"' has very few different answers (≤20% are unique). That usually means it's a multiple-choice question rather than free text.","")</f>
        <v>0</v>
      </c>
      <c r="F2445" s="4" t="s">
        <v>1814</v>
      </c>
    </row>
    <row r="2446" spans="1:6" ht="75" customHeight="1">
      <c r="A2446" t="s">
        <v>216</v>
      </c>
      <c r="B2446" t="s">
        <v>204</v>
      </c>
      <c r="C2446" t="s">
        <v>1813</v>
      </c>
      <c r="D2446" t="s">
        <v>1808</v>
      </c>
      <c r="E2446" s="4">
        <f>IF(AND('Open Questions'!$A$40&lt;&gt;"",IFERROR(INDEX(_helpers!$2:$2,1,CHOOSE(LEN(TRIM('Open Questions'!$A$40)),CODE(TRIM('Open Questions'!$A$40))-64,(CODE(LEFT(TRIM('Open Questions'!$A$40),1))-64)*26+(CODE(RIGHT(TRIM('Open Questions'!$A$40),1))-64),(CODE(LEFT(TRIM('Open Questions'!$A$40),1))-64)*676+(CODE(MID(TRIM('Open Questions'!$A$40),2,1))-64)*26+(CODE(RIGHT(TRIM('Open Questions'!$A$40),1))-64))),0)&gt;0,IFERROR(INDEX(_helpers!$1:$1,1,CHOOSE(LEN(TRIM('Open Questions'!$A$40)),CODE(TRIM('Open Questions'!$A$40))-64,(CODE(LEFT(TRIM('Open Questions'!$A$40),1))-64)*26+(CODE(RIGHT(TRIM('Open Questions'!$A$40),1))-64),(CODE(LEFT(TRIM('Open Questions'!$A$40),1))-64)*676+(CODE(MID(TRIM('Open Questions'!$A$40),2,1))-64)*26+(CODE(RIGHT(TRIM('Open Questions'!$A$40),1))-64))),0)&lt;0.2),"Column '"&amp;'Open Questions'!$A$40&amp;"' has very few different answers (≤20% are unique). That usually means it's a multiple-choice question rather than free text.","")</f>
        <v>0</v>
      </c>
      <c r="F2446" s="4" t="s">
        <v>1814</v>
      </c>
    </row>
    <row r="2447" spans="1:6" ht="75" customHeight="1">
      <c r="A2447" t="s">
        <v>216</v>
      </c>
      <c r="B2447" t="s">
        <v>205</v>
      </c>
      <c r="C2447" t="s">
        <v>1813</v>
      </c>
      <c r="D2447" t="s">
        <v>1808</v>
      </c>
      <c r="E2447" s="4">
        <f>IF(AND('Open Questions'!$A$41&lt;&gt;"",IFERROR(INDEX(_helpers!$2:$2,1,CHOOSE(LEN(TRIM('Open Questions'!$A$41)),CODE(TRIM('Open Questions'!$A$41))-64,(CODE(LEFT(TRIM('Open Questions'!$A$41),1))-64)*26+(CODE(RIGHT(TRIM('Open Questions'!$A$41),1))-64),(CODE(LEFT(TRIM('Open Questions'!$A$41),1))-64)*676+(CODE(MID(TRIM('Open Questions'!$A$41),2,1))-64)*26+(CODE(RIGHT(TRIM('Open Questions'!$A$41),1))-64))),0)&gt;0,IFERROR(INDEX(_helpers!$1:$1,1,CHOOSE(LEN(TRIM('Open Questions'!$A$41)),CODE(TRIM('Open Questions'!$A$41))-64,(CODE(LEFT(TRIM('Open Questions'!$A$41),1))-64)*26+(CODE(RIGHT(TRIM('Open Questions'!$A$41),1))-64),(CODE(LEFT(TRIM('Open Questions'!$A$41),1))-64)*676+(CODE(MID(TRIM('Open Questions'!$A$41),2,1))-64)*26+(CODE(RIGHT(TRIM('Open Questions'!$A$41),1))-64))),0)&lt;0.2),"Column '"&amp;'Open Questions'!$A$41&amp;"' has very few different answers (≤20% are unique). That usually means it's a multiple-choice question rather than free text.","")</f>
        <v>0</v>
      </c>
      <c r="F2447" s="4" t="s">
        <v>1814</v>
      </c>
    </row>
    <row r="2448" spans="1:6" ht="75" customHeight="1">
      <c r="A2448" t="s">
        <v>216</v>
      </c>
      <c r="B2448" t="s">
        <v>206</v>
      </c>
      <c r="C2448" t="s">
        <v>1813</v>
      </c>
      <c r="D2448" t="s">
        <v>1808</v>
      </c>
      <c r="E2448" s="4">
        <f>IF(AND('Open Questions'!$A$42&lt;&gt;"",IFERROR(INDEX(_helpers!$2:$2,1,CHOOSE(LEN(TRIM('Open Questions'!$A$42)),CODE(TRIM('Open Questions'!$A$42))-64,(CODE(LEFT(TRIM('Open Questions'!$A$42),1))-64)*26+(CODE(RIGHT(TRIM('Open Questions'!$A$42),1))-64),(CODE(LEFT(TRIM('Open Questions'!$A$42),1))-64)*676+(CODE(MID(TRIM('Open Questions'!$A$42),2,1))-64)*26+(CODE(RIGHT(TRIM('Open Questions'!$A$42),1))-64))),0)&gt;0,IFERROR(INDEX(_helpers!$1:$1,1,CHOOSE(LEN(TRIM('Open Questions'!$A$42)),CODE(TRIM('Open Questions'!$A$42))-64,(CODE(LEFT(TRIM('Open Questions'!$A$42),1))-64)*26+(CODE(RIGHT(TRIM('Open Questions'!$A$42),1))-64),(CODE(LEFT(TRIM('Open Questions'!$A$42),1))-64)*676+(CODE(MID(TRIM('Open Questions'!$A$42),2,1))-64)*26+(CODE(RIGHT(TRIM('Open Questions'!$A$42),1))-64))),0)&lt;0.2),"Column '"&amp;'Open Questions'!$A$42&amp;"' has very few different answers (≤20% are unique). That usually means it's a multiple-choice question rather than free text.","")</f>
        <v>0</v>
      </c>
      <c r="F2448" s="4" t="s">
        <v>1814</v>
      </c>
    </row>
    <row r="2449" spans="1:6" ht="75" customHeight="1">
      <c r="A2449" t="s">
        <v>216</v>
      </c>
      <c r="B2449" t="s">
        <v>207</v>
      </c>
      <c r="C2449" t="s">
        <v>1813</v>
      </c>
      <c r="D2449" t="s">
        <v>1808</v>
      </c>
      <c r="E2449" s="4">
        <f>IF(AND('Open Questions'!$A$43&lt;&gt;"",IFERROR(INDEX(_helpers!$2:$2,1,CHOOSE(LEN(TRIM('Open Questions'!$A$43)),CODE(TRIM('Open Questions'!$A$43))-64,(CODE(LEFT(TRIM('Open Questions'!$A$43),1))-64)*26+(CODE(RIGHT(TRIM('Open Questions'!$A$43),1))-64),(CODE(LEFT(TRIM('Open Questions'!$A$43),1))-64)*676+(CODE(MID(TRIM('Open Questions'!$A$43),2,1))-64)*26+(CODE(RIGHT(TRIM('Open Questions'!$A$43),1))-64))),0)&gt;0,IFERROR(INDEX(_helpers!$1:$1,1,CHOOSE(LEN(TRIM('Open Questions'!$A$43)),CODE(TRIM('Open Questions'!$A$43))-64,(CODE(LEFT(TRIM('Open Questions'!$A$43),1))-64)*26+(CODE(RIGHT(TRIM('Open Questions'!$A$43),1))-64),(CODE(LEFT(TRIM('Open Questions'!$A$43),1))-64)*676+(CODE(MID(TRIM('Open Questions'!$A$43),2,1))-64)*26+(CODE(RIGHT(TRIM('Open Questions'!$A$43),1))-64))),0)&lt;0.2),"Column '"&amp;'Open Questions'!$A$43&amp;"' has very few different answers (≤20% are unique). That usually means it's a multiple-choice question rather than free text.","")</f>
        <v>0</v>
      </c>
      <c r="F2449" s="4" t="s">
        <v>1814</v>
      </c>
    </row>
    <row r="2450" spans="1:6" ht="75" customHeight="1">
      <c r="A2450" t="s">
        <v>216</v>
      </c>
      <c r="B2450" t="s">
        <v>208</v>
      </c>
      <c r="C2450" t="s">
        <v>1813</v>
      </c>
      <c r="D2450" t="s">
        <v>1808</v>
      </c>
      <c r="E2450" s="4">
        <f>IF(AND('Open Questions'!$A$44&lt;&gt;"",IFERROR(INDEX(_helpers!$2:$2,1,CHOOSE(LEN(TRIM('Open Questions'!$A$44)),CODE(TRIM('Open Questions'!$A$44))-64,(CODE(LEFT(TRIM('Open Questions'!$A$44),1))-64)*26+(CODE(RIGHT(TRIM('Open Questions'!$A$44),1))-64),(CODE(LEFT(TRIM('Open Questions'!$A$44),1))-64)*676+(CODE(MID(TRIM('Open Questions'!$A$44),2,1))-64)*26+(CODE(RIGHT(TRIM('Open Questions'!$A$44),1))-64))),0)&gt;0,IFERROR(INDEX(_helpers!$1:$1,1,CHOOSE(LEN(TRIM('Open Questions'!$A$44)),CODE(TRIM('Open Questions'!$A$44))-64,(CODE(LEFT(TRIM('Open Questions'!$A$44),1))-64)*26+(CODE(RIGHT(TRIM('Open Questions'!$A$44),1))-64),(CODE(LEFT(TRIM('Open Questions'!$A$44),1))-64)*676+(CODE(MID(TRIM('Open Questions'!$A$44),2,1))-64)*26+(CODE(RIGHT(TRIM('Open Questions'!$A$44),1))-64))),0)&lt;0.2),"Column '"&amp;'Open Questions'!$A$44&amp;"' has very few different answers (≤20% are unique). That usually means it's a multiple-choice question rather than free text.","")</f>
        <v>0</v>
      </c>
      <c r="F2450" s="4" t="s">
        <v>1814</v>
      </c>
    </row>
    <row r="2451" spans="1:6" ht="75" customHeight="1">
      <c r="A2451" t="s">
        <v>216</v>
      </c>
      <c r="B2451" t="s">
        <v>209</v>
      </c>
      <c r="C2451" t="s">
        <v>1813</v>
      </c>
      <c r="D2451" t="s">
        <v>1808</v>
      </c>
      <c r="E2451" s="4">
        <f>IF(AND('Open Questions'!$A$45&lt;&gt;"",IFERROR(INDEX(_helpers!$2:$2,1,CHOOSE(LEN(TRIM('Open Questions'!$A$45)),CODE(TRIM('Open Questions'!$A$45))-64,(CODE(LEFT(TRIM('Open Questions'!$A$45),1))-64)*26+(CODE(RIGHT(TRIM('Open Questions'!$A$45),1))-64),(CODE(LEFT(TRIM('Open Questions'!$A$45),1))-64)*676+(CODE(MID(TRIM('Open Questions'!$A$45),2,1))-64)*26+(CODE(RIGHT(TRIM('Open Questions'!$A$45),1))-64))),0)&gt;0,IFERROR(INDEX(_helpers!$1:$1,1,CHOOSE(LEN(TRIM('Open Questions'!$A$45)),CODE(TRIM('Open Questions'!$A$45))-64,(CODE(LEFT(TRIM('Open Questions'!$A$45),1))-64)*26+(CODE(RIGHT(TRIM('Open Questions'!$A$45),1))-64),(CODE(LEFT(TRIM('Open Questions'!$A$45),1))-64)*676+(CODE(MID(TRIM('Open Questions'!$A$45),2,1))-64)*26+(CODE(RIGHT(TRIM('Open Questions'!$A$45),1))-64))),0)&lt;0.2),"Column '"&amp;'Open Questions'!$A$45&amp;"' has very few different answers (≤20% are unique). That usually means it's a multiple-choice question rather than free text.","")</f>
        <v>0</v>
      </c>
      <c r="F2451" s="4" t="s">
        <v>1814</v>
      </c>
    </row>
    <row r="2452" spans="1:6" ht="75" customHeight="1">
      <c r="A2452" t="s">
        <v>216</v>
      </c>
      <c r="B2452" t="s">
        <v>210</v>
      </c>
      <c r="C2452" t="s">
        <v>1813</v>
      </c>
      <c r="D2452" t="s">
        <v>1808</v>
      </c>
      <c r="E2452" s="4">
        <f>IF(AND('Open Questions'!$A$46&lt;&gt;"",IFERROR(INDEX(_helpers!$2:$2,1,CHOOSE(LEN(TRIM('Open Questions'!$A$46)),CODE(TRIM('Open Questions'!$A$46))-64,(CODE(LEFT(TRIM('Open Questions'!$A$46),1))-64)*26+(CODE(RIGHT(TRIM('Open Questions'!$A$46),1))-64),(CODE(LEFT(TRIM('Open Questions'!$A$46),1))-64)*676+(CODE(MID(TRIM('Open Questions'!$A$46),2,1))-64)*26+(CODE(RIGHT(TRIM('Open Questions'!$A$46),1))-64))),0)&gt;0,IFERROR(INDEX(_helpers!$1:$1,1,CHOOSE(LEN(TRIM('Open Questions'!$A$46)),CODE(TRIM('Open Questions'!$A$46))-64,(CODE(LEFT(TRIM('Open Questions'!$A$46),1))-64)*26+(CODE(RIGHT(TRIM('Open Questions'!$A$46),1))-64),(CODE(LEFT(TRIM('Open Questions'!$A$46),1))-64)*676+(CODE(MID(TRIM('Open Questions'!$A$46),2,1))-64)*26+(CODE(RIGHT(TRIM('Open Questions'!$A$46),1))-64))),0)&lt;0.2),"Column '"&amp;'Open Questions'!$A$46&amp;"' has very few different answers (≤20% are unique). That usually means it's a multiple-choice question rather than free text.","")</f>
        <v>0</v>
      </c>
      <c r="F2452" s="4" t="s">
        <v>1814</v>
      </c>
    </row>
    <row r="2453" spans="1:6" ht="75" customHeight="1">
      <c r="A2453" t="s">
        <v>216</v>
      </c>
      <c r="B2453" t="s">
        <v>211</v>
      </c>
      <c r="C2453" t="s">
        <v>1813</v>
      </c>
      <c r="D2453" t="s">
        <v>1808</v>
      </c>
      <c r="E2453" s="4">
        <f>IF(AND('Open Questions'!$A$47&lt;&gt;"",IFERROR(INDEX(_helpers!$2:$2,1,CHOOSE(LEN(TRIM('Open Questions'!$A$47)),CODE(TRIM('Open Questions'!$A$47))-64,(CODE(LEFT(TRIM('Open Questions'!$A$47),1))-64)*26+(CODE(RIGHT(TRIM('Open Questions'!$A$47),1))-64),(CODE(LEFT(TRIM('Open Questions'!$A$47),1))-64)*676+(CODE(MID(TRIM('Open Questions'!$A$47),2,1))-64)*26+(CODE(RIGHT(TRIM('Open Questions'!$A$47),1))-64))),0)&gt;0,IFERROR(INDEX(_helpers!$1:$1,1,CHOOSE(LEN(TRIM('Open Questions'!$A$47)),CODE(TRIM('Open Questions'!$A$47))-64,(CODE(LEFT(TRIM('Open Questions'!$A$47),1))-64)*26+(CODE(RIGHT(TRIM('Open Questions'!$A$47),1))-64),(CODE(LEFT(TRIM('Open Questions'!$A$47),1))-64)*676+(CODE(MID(TRIM('Open Questions'!$A$47),2,1))-64)*26+(CODE(RIGHT(TRIM('Open Questions'!$A$47),1))-64))),0)&lt;0.2),"Column '"&amp;'Open Questions'!$A$47&amp;"' has very few different answers (≤20% are unique). That usually means it's a multiple-choice question rather than free text.","")</f>
        <v>0</v>
      </c>
      <c r="F2453" s="4" t="s">
        <v>1814</v>
      </c>
    </row>
    <row r="2454" spans="1:6" ht="75" customHeight="1">
      <c r="A2454" t="s">
        <v>216</v>
      </c>
      <c r="B2454" t="s">
        <v>212</v>
      </c>
      <c r="C2454" t="s">
        <v>1813</v>
      </c>
      <c r="D2454" t="s">
        <v>1808</v>
      </c>
      <c r="E2454" s="4">
        <f>IF(AND('Open Questions'!$A$48&lt;&gt;"",IFERROR(INDEX(_helpers!$2:$2,1,CHOOSE(LEN(TRIM('Open Questions'!$A$48)),CODE(TRIM('Open Questions'!$A$48))-64,(CODE(LEFT(TRIM('Open Questions'!$A$48),1))-64)*26+(CODE(RIGHT(TRIM('Open Questions'!$A$48),1))-64),(CODE(LEFT(TRIM('Open Questions'!$A$48),1))-64)*676+(CODE(MID(TRIM('Open Questions'!$A$48),2,1))-64)*26+(CODE(RIGHT(TRIM('Open Questions'!$A$48),1))-64))),0)&gt;0,IFERROR(INDEX(_helpers!$1:$1,1,CHOOSE(LEN(TRIM('Open Questions'!$A$48)),CODE(TRIM('Open Questions'!$A$48))-64,(CODE(LEFT(TRIM('Open Questions'!$A$48),1))-64)*26+(CODE(RIGHT(TRIM('Open Questions'!$A$48),1))-64),(CODE(LEFT(TRIM('Open Questions'!$A$48),1))-64)*676+(CODE(MID(TRIM('Open Questions'!$A$48),2,1))-64)*26+(CODE(RIGHT(TRIM('Open Questions'!$A$48),1))-64))),0)&lt;0.2),"Column '"&amp;'Open Questions'!$A$48&amp;"' has very few different answers (≤20% are unique). That usually means it's a multiple-choice question rather than free text.","")</f>
        <v>0</v>
      </c>
      <c r="F2454" s="4" t="s">
        <v>1814</v>
      </c>
    </row>
    <row r="2455" spans="1:6" ht="75" customHeight="1">
      <c r="A2455" t="s">
        <v>216</v>
      </c>
      <c r="B2455" t="s">
        <v>213</v>
      </c>
      <c r="C2455" t="s">
        <v>1813</v>
      </c>
      <c r="D2455" t="s">
        <v>1808</v>
      </c>
      <c r="E2455" s="4">
        <f>IF(AND('Open Questions'!$A$49&lt;&gt;"",IFERROR(INDEX(_helpers!$2:$2,1,CHOOSE(LEN(TRIM('Open Questions'!$A$49)),CODE(TRIM('Open Questions'!$A$49))-64,(CODE(LEFT(TRIM('Open Questions'!$A$49),1))-64)*26+(CODE(RIGHT(TRIM('Open Questions'!$A$49),1))-64),(CODE(LEFT(TRIM('Open Questions'!$A$49),1))-64)*676+(CODE(MID(TRIM('Open Questions'!$A$49),2,1))-64)*26+(CODE(RIGHT(TRIM('Open Questions'!$A$49),1))-64))),0)&gt;0,IFERROR(INDEX(_helpers!$1:$1,1,CHOOSE(LEN(TRIM('Open Questions'!$A$49)),CODE(TRIM('Open Questions'!$A$49))-64,(CODE(LEFT(TRIM('Open Questions'!$A$49),1))-64)*26+(CODE(RIGHT(TRIM('Open Questions'!$A$49),1))-64),(CODE(LEFT(TRIM('Open Questions'!$A$49),1))-64)*676+(CODE(MID(TRIM('Open Questions'!$A$49),2,1))-64)*26+(CODE(RIGHT(TRIM('Open Questions'!$A$49),1))-64))),0)&lt;0.2),"Column '"&amp;'Open Questions'!$A$49&amp;"' has very few different answers (≤20% are unique). That usually means it's a multiple-choice question rather than free text.","")</f>
        <v>0</v>
      </c>
      <c r="F2455" s="4" t="s">
        <v>1814</v>
      </c>
    </row>
    <row r="2456" spans="1:6" ht="75" customHeight="1">
      <c r="A2456" t="s">
        <v>216</v>
      </c>
      <c r="B2456" t="s">
        <v>214</v>
      </c>
      <c r="C2456" t="s">
        <v>1813</v>
      </c>
      <c r="D2456" t="s">
        <v>1808</v>
      </c>
      <c r="E2456" s="4">
        <f>IF(AND('Open Questions'!$A$50&lt;&gt;"",IFERROR(INDEX(_helpers!$2:$2,1,CHOOSE(LEN(TRIM('Open Questions'!$A$50)),CODE(TRIM('Open Questions'!$A$50))-64,(CODE(LEFT(TRIM('Open Questions'!$A$50),1))-64)*26+(CODE(RIGHT(TRIM('Open Questions'!$A$50),1))-64),(CODE(LEFT(TRIM('Open Questions'!$A$50),1))-64)*676+(CODE(MID(TRIM('Open Questions'!$A$50),2,1))-64)*26+(CODE(RIGHT(TRIM('Open Questions'!$A$50),1))-64))),0)&gt;0,IFERROR(INDEX(_helpers!$1:$1,1,CHOOSE(LEN(TRIM('Open Questions'!$A$50)),CODE(TRIM('Open Questions'!$A$50))-64,(CODE(LEFT(TRIM('Open Questions'!$A$50),1))-64)*26+(CODE(RIGHT(TRIM('Open Questions'!$A$50),1))-64),(CODE(LEFT(TRIM('Open Questions'!$A$50),1))-64)*676+(CODE(MID(TRIM('Open Questions'!$A$50),2,1))-64)*26+(CODE(RIGHT(TRIM('Open Questions'!$A$50),1))-64))),0)&lt;0.2),"Column '"&amp;'Open Questions'!$A$50&amp;"' has very few different answers (≤20% are unique). That usually means it's a multiple-choice question rather than free text.","")</f>
        <v>0</v>
      </c>
      <c r="F2456" s="4" t="s">
        <v>1814</v>
      </c>
    </row>
    <row r="2457" spans="1:6" ht="75" customHeight="1">
      <c r="A2457" t="s">
        <v>216</v>
      </c>
      <c r="B2457" t="s">
        <v>215</v>
      </c>
      <c r="C2457" t="s">
        <v>1813</v>
      </c>
      <c r="D2457" t="s">
        <v>1808</v>
      </c>
      <c r="E2457" s="4">
        <f>IF(AND('Open Questions'!$A$51&lt;&gt;"",IFERROR(INDEX(_helpers!$2:$2,1,CHOOSE(LEN(TRIM('Open Questions'!$A$51)),CODE(TRIM('Open Questions'!$A$51))-64,(CODE(LEFT(TRIM('Open Questions'!$A$51),1))-64)*26+(CODE(RIGHT(TRIM('Open Questions'!$A$51),1))-64),(CODE(LEFT(TRIM('Open Questions'!$A$51),1))-64)*676+(CODE(MID(TRIM('Open Questions'!$A$51),2,1))-64)*26+(CODE(RIGHT(TRIM('Open Questions'!$A$51),1))-64))),0)&gt;0,IFERROR(INDEX(_helpers!$1:$1,1,CHOOSE(LEN(TRIM('Open Questions'!$A$51)),CODE(TRIM('Open Questions'!$A$51))-64,(CODE(LEFT(TRIM('Open Questions'!$A$51),1))-64)*26+(CODE(RIGHT(TRIM('Open Questions'!$A$51),1))-64),(CODE(LEFT(TRIM('Open Questions'!$A$51),1))-64)*676+(CODE(MID(TRIM('Open Questions'!$A$51),2,1))-64)*26+(CODE(RIGHT(TRIM('Open Questions'!$A$51),1))-64))),0)&lt;0.2),"Column '"&amp;'Open Questions'!$A$51&amp;"' has very few different answers (≤20% are unique). That usually means it's a multiple-choice question rather than free text.","")</f>
        <v>0</v>
      </c>
      <c r="F2457" s="4" t="s">
        <v>1814</v>
      </c>
    </row>
    <row r="2458" spans="1:6" ht="75" customHeight="1">
      <c r="A2458" t="s">
        <v>271</v>
      </c>
      <c r="B2458" t="s">
        <v>163</v>
      </c>
      <c r="C2458" t="s">
        <v>1813</v>
      </c>
      <c r="D2458" t="s">
        <v>1808</v>
      </c>
      <c r="E2458" s="4">
        <f>IF(AND('Hybrid Questions'!$A$2&lt;&gt;"",IFERROR(INDEX(_helpers!$2:$2,1,CHOOSE(LEN(TRIM('Hybrid Questions'!$A$2)),CODE(TRIM('Hybrid Questions'!$A$2))-64,(CODE(LEFT(TRIM('Hybrid Questions'!$A$2),1))-64)*26+(CODE(RIGHT(TRIM('Hybrid Questions'!$A$2),1))-64),(CODE(LEFT(TRIM('Hybrid Questions'!$A$2),1))-64)*676+(CODE(MID(TRIM('Hybrid Questions'!$A$2),2,1))-64)*26+(CODE(RIGHT(TRIM('Hybrid Questions'!$A$2),1))-64))),0)&gt;0,IFERROR(INDEX(_helpers!$1:$1,1,CHOOSE(LEN(TRIM('Hybrid Questions'!$A$2)),CODE(TRIM('Hybrid Questions'!$A$2))-64,(CODE(LEFT(TRIM('Hybrid Questions'!$A$2),1))-64)*26+(CODE(RIGHT(TRIM('Hybrid Questions'!$A$2),1))-64),(CODE(LEFT(TRIM('Hybrid Questions'!$A$2),1))-64)*676+(CODE(MID(TRIM('Hybrid Questions'!$A$2),2,1))-64)*26+(CODE(RIGHT(TRIM('Hybrid Questions'!$A$2),1))-64))),0)&lt;0.2),"Column '"&amp;'Hybrid Questions'!$A$2&amp;"' has very few different answers (≤20% are unique), which looks more like multiple choice than free text.","")</f>
        <v>0</v>
      </c>
      <c r="F2458" s="4" t="s">
        <v>1815</v>
      </c>
    </row>
    <row r="2459" spans="1:6" ht="75" customHeight="1">
      <c r="A2459" t="s">
        <v>271</v>
      </c>
      <c r="B2459" t="s">
        <v>167</v>
      </c>
      <c r="C2459" t="s">
        <v>1813</v>
      </c>
      <c r="D2459" t="s">
        <v>1808</v>
      </c>
      <c r="E2459" s="4">
        <f>IF(AND('Hybrid Questions'!$A$3&lt;&gt;"",IFERROR(INDEX(_helpers!$2:$2,1,CHOOSE(LEN(TRIM('Hybrid Questions'!$A$3)),CODE(TRIM('Hybrid Questions'!$A$3))-64,(CODE(LEFT(TRIM('Hybrid Questions'!$A$3),1))-64)*26+(CODE(RIGHT(TRIM('Hybrid Questions'!$A$3),1))-64),(CODE(LEFT(TRIM('Hybrid Questions'!$A$3),1))-64)*676+(CODE(MID(TRIM('Hybrid Questions'!$A$3),2,1))-64)*26+(CODE(RIGHT(TRIM('Hybrid Questions'!$A$3),1))-64))),0)&gt;0,IFERROR(INDEX(_helpers!$1:$1,1,CHOOSE(LEN(TRIM('Hybrid Questions'!$A$3)),CODE(TRIM('Hybrid Questions'!$A$3))-64,(CODE(LEFT(TRIM('Hybrid Questions'!$A$3),1))-64)*26+(CODE(RIGHT(TRIM('Hybrid Questions'!$A$3),1))-64),(CODE(LEFT(TRIM('Hybrid Questions'!$A$3),1))-64)*676+(CODE(MID(TRIM('Hybrid Questions'!$A$3),2,1))-64)*26+(CODE(RIGHT(TRIM('Hybrid Questions'!$A$3),1))-64))),0)&lt;0.2),"Column '"&amp;'Hybrid Questions'!$A$3&amp;"' has very few different answers (≤20% are unique), which looks more like multiple choice than free text.","")</f>
        <v>0</v>
      </c>
      <c r="F2459" s="4" t="s">
        <v>1815</v>
      </c>
    </row>
    <row r="2460" spans="1:6" ht="75" customHeight="1">
      <c r="A2460" t="s">
        <v>271</v>
      </c>
      <c r="B2460" t="s">
        <v>168</v>
      </c>
      <c r="C2460" t="s">
        <v>1813</v>
      </c>
      <c r="D2460" t="s">
        <v>1808</v>
      </c>
      <c r="E2460" s="4">
        <f>IF(AND('Hybrid Questions'!$A$4&lt;&gt;"",IFERROR(INDEX(_helpers!$2:$2,1,CHOOSE(LEN(TRIM('Hybrid Questions'!$A$4)),CODE(TRIM('Hybrid Questions'!$A$4))-64,(CODE(LEFT(TRIM('Hybrid Questions'!$A$4),1))-64)*26+(CODE(RIGHT(TRIM('Hybrid Questions'!$A$4),1))-64),(CODE(LEFT(TRIM('Hybrid Questions'!$A$4),1))-64)*676+(CODE(MID(TRIM('Hybrid Questions'!$A$4),2,1))-64)*26+(CODE(RIGHT(TRIM('Hybrid Questions'!$A$4),1))-64))),0)&gt;0,IFERROR(INDEX(_helpers!$1:$1,1,CHOOSE(LEN(TRIM('Hybrid Questions'!$A$4)),CODE(TRIM('Hybrid Questions'!$A$4))-64,(CODE(LEFT(TRIM('Hybrid Questions'!$A$4),1))-64)*26+(CODE(RIGHT(TRIM('Hybrid Questions'!$A$4),1))-64),(CODE(LEFT(TRIM('Hybrid Questions'!$A$4),1))-64)*676+(CODE(MID(TRIM('Hybrid Questions'!$A$4),2,1))-64)*26+(CODE(RIGHT(TRIM('Hybrid Questions'!$A$4),1))-64))),0)&lt;0.2),"Column '"&amp;'Hybrid Questions'!$A$4&amp;"' has very few different answers (≤20% are unique), which looks more like multiple choice than free text.","")</f>
        <v>0</v>
      </c>
      <c r="F2460" s="4" t="s">
        <v>1815</v>
      </c>
    </row>
    <row r="2461" spans="1:6" ht="75" customHeight="1">
      <c r="A2461" t="s">
        <v>271</v>
      </c>
      <c r="B2461" t="s">
        <v>169</v>
      </c>
      <c r="C2461" t="s">
        <v>1813</v>
      </c>
      <c r="D2461" t="s">
        <v>1808</v>
      </c>
      <c r="E2461" s="4">
        <f>IF(AND('Hybrid Questions'!$A$5&lt;&gt;"",IFERROR(INDEX(_helpers!$2:$2,1,CHOOSE(LEN(TRIM('Hybrid Questions'!$A$5)),CODE(TRIM('Hybrid Questions'!$A$5))-64,(CODE(LEFT(TRIM('Hybrid Questions'!$A$5),1))-64)*26+(CODE(RIGHT(TRIM('Hybrid Questions'!$A$5),1))-64),(CODE(LEFT(TRIM('Hybrid Questions'!$A$5),1))-64)*676+(CODE(MID(TRIM('Hybrid Questions'!$A$5),2,1))-64)*26+(CODE(RIGHT(TRIM('Hybrid Questions'!$A$5),1))-64))),0)&gt;0,IFERROR(INDEX(_helpers!$1:$1,1,CHOOSE(LEN(TRIM('Hybrid Questions'!$A$5)),CODE(TRIM('Hybrid Questions'!$A$5))-64,(CODE(LEFT(TRIM('Hybrid Questions'!$A$5),1))-64)*26+(CODE(RIGHT(TRIM('Hybrid Questions'!$A$5),1))-64),(CODE(LEFT(TRIM('Hybrid Questions'!$A$5),1))-64)*676+(CODE(MID(TRIM('Hybrid Questions'!$A$5),2,1))-64)*26+(CODE(RIGHT(TRIM('Hybrid Questions'!$A$5),1))-64))),0)&lt;0.2),"Column '"&amp;'Hybrid Questions'!$A$5&amp;"' has very few different answers (≤20% are unique), which looks more like multiple choice than free text.","")</f>
        <v>0</v>
      </c>
      <c r="F2461" s="4" t="s">
        <v>1815</v>
      </c>
    </row>
    <row r="2462" spans="1:6" ht="75" customHeight="1">
      <c r="A2462" t="s">
        <v>271</v>
      </c>
      <c r="B2462" t="s">
        <v>170</v>
      </c>
      <c r="C2462" t="s">
        <v>1813</v>
      </c>
      <c r="D2462" t="s">
        <v>1808</v>
      </c>
      <c r="E2462" s="4">
        <f>IF(AND('Hybrid Questions'!$A$6&lt;&gt;"",IFERROR(INDEX(_helpers!$2:$2,1,CHOOSE(LEN(TRIM('Hybrid Questions'!$A$6)),CODE(TRIM('Hybrid Questions'!$A$6))-64,(CODE(LEFT(TRIM('Hybrid Questions'!$A$6),1))-64)*26+(CODE(RIGHT(TRIM('Hybrid Questions'!$A$6),1))-64),(CODE(LEFT(TRIM('Hybrid Questions'!$A$6),1))-64)*676+(CODE(MID(TRIM('Hybrid Questions'!$A$6),2,1))-64)*26+(CODE(RIGHT(TRIM('Hybrid Questions'!$A$6),1))-64))),0)&gt;0,IFERROR(INDEX(_helpers!$1:$1,1,CHOOSE(LEN(TRIM('Hybrid Questions'!$A$6)),CODE(TRIM('Hybrid Questions'!$A$6))-64,(CODE(LEFT(TRIM('Hybrid Questions'!$A$6),1))-64)*26+(CODE(RIGHT(TRIM('Hybrid Questions'!$A$6),1))-64),(CODE(LEFT(TRIM('Hybrid Questions'!$A$6),1))-64)*676+(CODE(MID(TRIM('Hybrid Questions'!$A$6),2,1))-64)*26+(CODE(RIGHT(TRIM('Hybrid Questions'!$A$6),1))-64))),0)&lt;0.2),"Column '"&amp;'Hybrid Questions'!$A$6&amp;"' has very few different answers (≤20% are unique), which looks more like multiple choice than free text.","")</f>
        <v>0</v>
      </c>
      <c r="F2462" s="4" t="s">
        <v>1815</v>
      </c>
    </row>
    <row r="2463" spans="1:6" ht="75" customHeight="1">
      <c r="A2463" t="s">
        <v>271</v>
      </c>
      <c r="B2463" t="s">
        <v>171</v>
      </c>
      <c r="C2463" t="s">
        <v>1813</v>
      </c>
      <c r="D2463" t="s">
        <v>1808</v>
      </c>
      <c r="E2463" s="4">
        <f>IF(AND('Hybrid Questions'!$A$7&lt;&gt;"",IFERROR(INDEX(_helpers!$2:$2,1,CHOOSE(LEN(TRIM('Hybrid Questions'!$A$7)),CODE(TRIM('Hybrid Questions'!$A$7))-64,(CODE(LEFT(TRIM('Hybrid Questions'!$A$7),1))-64)*26+(CODE(RIGHT(TRIM('Hybrid Questions'!$A$7),1))-64),(CODE(LEFT(TRIM('Hybrid Questions'!$A$7),1))-64)*676+(CODE(MID(TRIM('Hybrid Questions'!$A$7),2,1))-64)*26+(CODE(RIGHT(TRIM('Hybrid Questions'!$A$7),1))-64))),0)&gt;0,IFERROR(INDEX(_helpers!$1:$1,1,CHOOSE(LEN(TRIM('Hybrid Questions'!$A$7)),CODE(TRIM('Hybrid Questions'!$A$7))-64,(CODE(LEFT(TRIM('Hybrid Questions'!$A$7),1))-64)*26+(CODE(RIGHT(TRIM('Hybrid Questions'!$A$7),1))-64),(CODE(LEFT(TRIM('Hybrid Questions'!$A$7),1))-64)*676+(CODE(MID(TRIM('Hybrid Questions'!$A$7),2,1))-64)*26+(CODE(RIGHT(TRIM('Hybrid Questions'!$A$7),1))-64))),0)&lt;0.2),"Column '"&amp;'Hybrid Questions'!$A$7&amp;"' has very few different answers (≤20% are unique), which looks more like multiple choice than free text.","")</f>
        <v>0</v>
      </c>
      <c r="F2463" s="4" t="s">
        <v>1815</v>
      </c>
    </row>
    <row r="2464" spans="1:6" ht="75" customHeight="1">
      <c r="A2464" t="s">
        <v>271</v>
      </c>
      <c r="B2464" t="s">
        <v>172</v>
      </c>
      <c r="C2464" t="s">
        <v>1813</v>
      </c>
      <c r="D2464" t="s">
        <v>1808</v>
      </c>
      <c r="E2464" s="4">
        <f>IF(AND('Hybrid Questions'!$A$8&lt;&gt;"",IFERROR(INDEX(_helpers!$2:$2,1,CHOOSE(LEN(TRIM('Hybrid Questions'!$A$8)),CODE(TRIM('Hybrid Questions'!$A$8))-64,(CODE(LEFT(TRIM('Hybrid Questions'!$A$8),1))-64)*26+(CODE(RIGHT(TRIM('Hybrid Questions'!$A$8),1))-64),(CODE(LEFT(TRIM('Hybrid Questions'!$A$8),1))-64)*676+(CODE(MID(TRIM('Hybrid Questions'!$A$8),2,1))-64)*26+(CODE(RIGHT(TRIM('Hybrid Questions'!$A$8),1))-64))),0)&gt;0,IFERROR(INDEX(_helpers!$1:$1,1,CHOOSE(LEN(TRIM('Hybrid Questions'!$A$8)),CODE(TRIM('Hybrid Questions'!$A$8))-64,(CODE(LEFT(TRIM('Hybrid Questions'!$A$8),1))-64)*26+(CODE(RIGHT(TRIM('Hybrid Questions'!$A$8),1))-64),(CODE(LEFT(TRIM('Hybrid Questions'!$A$8),1))-64)*676+(CODE(MID(TRIM('Hybrid Questions'!$A$8),2,1))-64)*26+(CODE(RIGHT(TRIM('Hybrid Questions'!$A$8),1))-64))),0)&lt;0.2),"Column '"&amp;'Hybrid Questions'!$A$8&amp;"' has very few different answers (≤20% are unique), which looks more like multiple choice than free text.","")</f>
        <v>0</v>
      </c>
      <c r="F2464" s="4" t="s">
        <v>1815</v>
      </c>
    </row>
    <row r="2465" spans="1:6" ht="75" customHeight="1">
      <c r="A2465" t="s">
        <v>271</v>
      </c>
      <c r="B2465" t="s">
        <v>173</v>
      </c>
      <c r="C2465" t="s">
        <v>1813</v>
      </c>
      <c r="D2465" t="s">
        <v>1808</v>
      </c>
      <c r="E2465" s="4">
        <f>IF(AND('Hybrid Questions'!$A$9&lt;&gt;"",IFERROR(INDEX(_helpers!$2:$2,1,CHOOSE(LEN(TRIM('Hybrid Questions'!$A$9)),CODE(TRIM('Hybrid Questions'!$A$9))-64,(CODE(LEFT(TRIM('Hybrid Questions'!$A$9),1))-64)*26+(CODE(RIGHT(TRIM('Hybrid Questions'!$A$9),1))-64),(CODE(LEFT(TRIM('Hybrid Questions'!$A$9),1))-64)*676+(CODE(MID(TRIM('Hybrid Questions'!$A$9),2,1))-64)*26+(CODE(RIGHT(TRIM('Hybrid Questions'!$A$9),1))-64))),0)&gt;0,IFERROR(INDEX(_helpers!$1:$1,1,CHOOSE(LEN(TRIM('Hybrid Questions'!$A$9)),CODE(TRIM('Hybrid Questions'!$A$9))-64,(CODE(LEFT(TRIM('Hybrid Questions'!$A$9),1))-64)*26+(CODE(RIGHT(TRIM('Hybrid Questions'!$A$9),1))-64),(CODE(LEFT(TRIM('Hybrid Questions'!$A$9),1))-64)*676+(CODE(MID(TRIM('Hybrid Questions'!$A$9),2,1))-64)*26+(CODE(RIGHT(TRIM('Hybrid Questions'!$A$9),1))-64))),0)&lt;0.2),"Column '"&amp;'Hybrid Questions'!$A$9&amp;"' has very few different answers (≤20% are unique), which looks more like multiple choice than free text.","")</f>
        <v>0</v>
      </c>
      <c r="F2465" s="4" t="s">
        <v>1815</v>
      </c>
    </row>
    <row r="2466" spans="1:6" ht="75" customHeight="1">
      <c r="A2466" t="s">
        <v>271</v>
      </c>
      <c r="B2466" t="s">
        <v>174</v>
      </c>
      <c r="C2466" t="s">
        <v>1813</v>
      </c>
      <c r="D2466" t="s">
        <v>1808</v>
      </c>
      <c r="E2466" s="4">
        <f>IF(AND('Hybrid Questions'!$A$10&lt;&gt;"",IFERROR(INDEX(_helpers!$2:$2,1,CHOOSE(LEN(TRIM('Hybrid Questions'!$A$10)),CODE(TRIM('Hybrid Questions'!$A$10))-64,(CODE(LEFT(TRIM('Hybrid Questions'!$A$10),1))-64)*26+(CODE(RIGHT(TRIM('Hybrid Questions'!$A$10),1))-64),(CODE(LEFT(TRIM('Hybrid Questions'!$A$10),1))-64)*676+(CODE(MID(TRIM('Hybrid Questions'!$A$10),2,1))-64)*26+(CODE(RIGHT(TRIM('Hybrid Questions'!$A$10),1))-64))),0)&gt;0,IFERROR(INDEX(_helpers!$1:$1,1,CHOOSE(LEN(TRIM('Hybrid Questions'!$A$10)),CODE(TRIM('Hybrid Questions'!$A$10))-64,(CODE(LEFT(TRIM('Hybrid Questions'!$A$10),1))-64)*26+(CODE(RIGHT(TRIM('Hybrid Questions'!$A$10),1))-64),(CODE(LEFT(TRIM('Hybrid Questions'!$A$10),1))-64)*676+(CODE(MID(TRIM('Hybrid Questions'!$A$10),2,1))-64)*26+(CODE(RIGHT(TRIM('Hybrid Questions'!$A$10),1))-64))),0)&lt;0.2),"Column '"&amp;'Hybrid Questions'!$A$10&amp;"' has very few different answers (≤20% are unique), which looks more like multiple choice than free text.","")</f>
        <v>0</v>
      </c>
      <c r="F2466" s="4" t="s">
        <v>1815</v>
      </c>
    </row>
    <row r="2467" spans="1:6" ht="75" customHeight="1">
      <c r="A2467" t="s">
        <v>271</v>
      </c>
      <c r="B2467" t="s">
        <v>175</v>
      </c>
      <c r="C2467" t="s">
        <v>1813</v>
      </c>
      <c r="D2467" t="s">
        <v>1808</v>
      </c>
      <c r="E2467" s="4">
        <f>IF(AND('Hybrid Questions'!$A$11&lt;&gt;"",IFERROR(INDEX(_helpers!$2:$2,1,CHOOSE(LEN(TRIM('Hybrid Questions'!$A$11)),CODE(TRIM('Hybrid Questions'!$A$11))-64,(CODE(LEFT(TRIM('Hybrid Questions'!$A$11),1))-64)*26+(CODE(RIGHT(TRIM('Hybrid Questions'!$A$11),1))-64),(CODE(LEFT(TRIM('Hybrid Questions'!$A$11),1))-64)*676+(CODE(MID(TRIM('Hybrid Questions'!$A$11),2,1))-64)*26+(CODE(RIGHT(TRIM('Hybrid Questions'!$A$11),1))-64))),0)&gt;0,IFERROR(INDEX(_helpers!$1:$1,1,CHOOSE(LEN(TRIM('Hybrid Questions'!$A$11)),CODE(TRIM('Hybrid Questions'!$A$11))-64,(CODE(LEFT(TRIM('Hybrid Questions'!$A$11),1))-64)*26+(CODE(RIGHT(TRIM('Hybrid Questions'!$A$11),1))-64),(CODE(LEFT(TRIM('Hybrid Questions'!$A$11),1))-64)*676+(CODE(MID(TRIM('Hybrid Questions'!$A$11),2,1))-64)*26+(CODE(RIGHT(TRIM('Hybrid Questions'!$A$11),1))-64))),0)&lt;0.2),"Column '"&amp;'Hybrid Questions'!$A$11&amp;"' has very few different answers (≤20% are unique), which looks more like multiple choice than free text.","")</f>
        <v>0</v>
      </c>
      <c r="F2467" s="4" t="s">
        <v>1815</v>
      </c>
    </row>
    <row r="2468" spans="1:6" ht="75" customHeight="1">
      <c r="A2468" t="s">
        <v>271</v>
      </c>
      <c r="B2468" t="s">
        <v>176</v>
      </c>
      <c r="C2468" t="s">
        <v>1813</v>
      </c>
      <c r="D2468" t="s">
        <v>1808</v>
      </c>
      <c r="E2468" s="4">
        <f>IF(AND('Hybrid Questions'!$A$12&lt;&gt;"",IFERROR(INDEX(_helpers!$2:$2,1,CHOOSE(LEN(TRIM('Hybrid Questions'!$A$12)),CODE(TRIM('Hybrid Questions'!$A$12))-64,(CODE(LEFT(TRIM('Hybrid Questions'!$A$12),1))-64)*26+(CODE(RIGHT(TRIM('Hybrid Questions'!$A$12),1))-64),(CODE(LEFT(TRIM('Hybrid Questions'!$A$12),1))-64)*676+(CODE(MID(TRIM('Hybrid Questions'!$A$12),2,1))-64)*26+(CODE(RIGHT(TRIM('Hybrid Questions'!$A$12),1))-64))),0)&gt;0,IFERROR(INDEX(_helpers!$1:$1,1,CHOOSE(LEN(TRIM('Hybrid Questions'!$A$12)),CODE(TRIM('Hybrid Questions'!$A$12))-64,(CODE(LEFT(TRIM('Hybrid Questions'!$A$12),1))-64)*26+(CODE(RIGHT(TRIM('Hybrid Questions'!$A$12),1))-64),(CODE(LEFT(TRIM('Hybrid Questions'!$A$12),1))-64)*676+(CODE(MID(TRIM('Hybrid Questions'!$A$12),2,1))-64)*26+(CODE(RIGHT(TRIM('Hybrid Questions'!$A$12),1))-64))),0)&lt;0.2),"Column '"&amp;'Hybrid Questions'!$A$12&amp;"' has very few different answers (≤20% are unique), which looks more like multiple choice than free text.","")</f>
        <v>0</v>
      </c>
      <c r="F2468" s="4" t="s">
        <v>1815</v>
      </c>
    </row>
    <row r="2469" spans="1:6" ht="75" customHeight="1">
      <c r="A2469" t="s">
        <v>271</v>
      </c>
      <c r="B2469" t="s">
        <v>177</v>
      </c>
      <c r="C2469" t="s">
        <v>1813</v>
      </c>
      <c r="D2469" t="s">
        <v>1808</v>
      </c>
      <c r="E2469" s="4">
        <f>IF(AND('Hybrid Questions'!$A$13&lt;&gt;"",IFERROR(INDEX(_helpers!$2:$2,1,CHOOSE(LEN(TRIM('Hybrid Questions'!$A$13)),CODE(TRIM('Hybrid Questions'!$A$13))-64,(CODE(LEFT(TRIM('Hybrid Questions'!$A$13),1))-64)*26+(CODE(RIGHT(TRIM('Hybrid Questions'!$A$13),1))-64),(CODE(LEFT(TRIM('Hybrid Questions'!$A$13),1))-64)*676+(CODE(MID(TRIM('Hybrid Questions'!$A$13),2,1))-64)*26+(CODE(RIGHT(TRIM('Hybrid Questions'!$A$13),1))-64))),0)&gt;0,IFERROR(INDEX(_helpers!$1:$1,1,CHOOSE(LEN(TRIM('Hybrid Questions'!$A$13)),CODE(TRIM('Hybrid Questions'!$A$13))-64,(CODE(LEFT(TRIM('Hybrid Questions'!$A$13),1))-64)*26+(CODE(RIGHT(TRIM('Hybrid Questions'!$A$13),1))-64),(CODE(LEFT(TRIM('Hybrid Questions'!$A$13),1))-64)*676+(CODE(MID(TRIM('Hybrid Questions'!$A$13),2,1))-64)*26+(CODE(RIGHT(TRIM('Hybrid Questions'!$A$13),1))-64))),0)&lt;0.2),"Column '"&amp;'Hybrid Questions'!$A$13&amp;"' has very few different answers (≤20% are unique), which looks more like multiple choice than free text.","")</f>
        <v>0</v>
      </c>
      <c r="F2469" s="4" t="s">
        <v>1815</v>
      </c>
    </row>
    <row r="2470" spans="1:6" ht="75" customHeight="1">
      <c r="A2470" t="s">
        <v>271</v>
      </c>
      <c r="B2470" t="s">
        <v>178</v>
      </c>
      <c r="C2470" t="s">
        <v>1813</v>
      </c>
      <c r="D2470" t="s">
        <v>1808</v>
      </c>
      <c r="E2470" s="4">
        <f>IF(AND('Hybrid Questions'!$A$14&lt;&gt;"",IFERROR(INDEX(_helpers!$2:$2,1,CHOOSE(LEN(TRIM('Hybrid Questions'!$A$14)),CODE(TRIM('Hybrid Questions'!$A$14))-64,(CODE(LEFT(TRIM('Hybrid Questions'!$A$14),1))-64)*26+(CODE(RIGHT(TRIM('Hybrid Questions'!$A$14),1))-64),(CODE(LEFT(TRIM('Hybrid Questions'!$A$14),1))-64)*676+(CODE(MID(TRIM('Hybrid Questions'!$A$14),2,1))-64)*26+(CODE(RIGHT(TRIM('Hybrid Questions'!$A$14),1))-64))),0)&gt;0,IFERROR(INDEX(_helpers!$1:$1,1,CHOOSE(LEN(TRIM('Hybrid Questions'!$A$14)),CODE(TRIM('Hybrid Questions'!$A$14))-64,(CODE(LEFT(TRIM('Hybrid Questions'!$A$14),1))-64)*26+(CODE(RIGHT(TRIM('Hybrid Questions'!$A$14),1))-64),(CODE(LEFT(TRIM('Hybrid Questions'!$A$14),1))-64)*676+(CODE(MID(TRIM('Hybrid Questions'!$A$14),2,1))-64)*26+(CODE(RIGHT(TRIM('Hybrid Questions'!$A$14),1))-64))),0)&lt;0.2),"Column '"&amp;'Hybrid Questions'!$A$14&amp;"' has very few different answers (≤20% are unique), which looks more like multiple choice than free text.","")</f>
        <v>0</v>
      </c>
      <c r="F2470" s="4" t="s">
        <v>1815</v>
      </c>
    </row>
    <row r="2471" spans="1:6" ht="75" customHeight="1">
      <c r="A2471" t="s">
        <v>271</v>
      </c>
      <c r="B2471" t="s">
        <v>179</v>
      </c>
      <c r="C2471" t="s">
        <v>1813</v>
      </c>
      <c r="D2471" t="s">
        <v>1808</v>
      </c>
      <c r="E2471" s="4">
        <f>IF(AND('Hybrid Questions'!$A$15&lt;&gt;"",IFERROR(INDEX(_helpers!$2:$2,1,CHOOSE(LEN(TRIM('Hybrid Questions'!$A$15)),CODE(TRIM('Hybrid Questions'!$A$15))-64,(CODE(LEFT(TRIM('Hybrid Questions'!$A$15),1))-64)*26+(CODE(RIGHT(TRIM('Hybrid Questions'!$A$15),1))-64),(CODE(LEFT(TRIM('Hybrid Questions'!$A$15),1))-64)*676+(CODE(MID(TRIM('Hybrid Questions'!$A$15),2,1))-64)*26+(CODE(RIGHT(TRIM('Hybrid Questions'!$A$15),1))-64))),0)&gt;0,IFERROR(INDEX(_helpers!$1:$1,1,CHOOSE(LEN(TRIM('Hybrid Questions'!$A$15)),CODE(TRIM('Hybrid Questions'!$A$15))-64,(CODE(LEFT(TRIM('Hybrid Questions'!$A$15),1))-64)*26+(CODE(RIGHT(TRIM('Hybrid Questions'!$A$15),1))-64),(CODE(LEFT(TRIM('Hybrid Questions'!$A$15),1))-64)*676+(CODE(MID(TRIM('Hybrid Questions'!$A$15),2,1))-64)*26+(CODE(RIGHT(TRIM('Hybrid Questions'!$A$15),1))-64))),0)&lt;0.2),"Column '"&amp;'Hybrid Questions'!$A$15&amp;"' has very few different answers (≤20% are unique), which looks more like multiple choice than free text.","")</f>
        <v>0</v>
      </c>
      <c r="F2471" s="4" t="s">
        <v>1815</v>
      </c>
    </row>
    <row r="2472" spans="1:6" ht="75" customHeight="1">
      <c r="A2472" t="s">
        <v>271</v>
      </c>
      <c r="B2472" t="s">
        <v>180</v>
      </c>
      <c r="C2472" t="s">
        <v>1813</v>
      </c>
      <c r="D2472" t="s">
        <v>1808</v>
      </c>
      <c r="E2472" s="4">
        <f>IF(AND('Hybrid Questions'!$A$16&lt;&gt;"",IFERROR(INDEX(_helpers!$2:$2,1,CHOOSE(LEN(TRIM('Hybrid Questions'!$A$16)),CODE(TRIM('Hybrid Questions'!$A$16))-64,(CODE(LEFT(TRIM('Hybrid Questions'!$A$16),1))-64)*26+(CODE(RIGHT(TRIM('Hybrid Questions'!$A$16),1))-64),(CODE(LEFT(TRIM('Hybrid Questions'!$A$16),1))-64)*676+(CODE(MID(TRIM('Hybrid Questions'!$A$16),2,1))-64)*26+(CODE(RIGHT(TRIM('Hybrid Questions'!$A$16),1))-64))),0)&gt;0,IFERROR(INDEX(_helpers!$1:$1,1,CHOOSE(LEN(TRIM('Hybrid Questions'!$A$16)),CODE(TRIM('Hybrid Questions'!$A$16))-64,(CODE(LEFT(TRIM('Hybrid Questions'!$A$16),1))-64)*26+(CODE(RIGHT(TRIM('Hybrid Questions'!$A$16),1))-64),(CODE(LEFT(TRIM('Hybrid Questions'!$A$16),1))-64)*676+(CODE(MID(TRIM('Hybrid Questions'!$A$16),2,1))-64)*26+(CODE(RIGHT(TRIM('Hybrid Questions'!$A$16),1))-64))),0)&lt;0.2),"Column '"&amp;'Hybrid Questions'!$A$16&amp;"' has very few different answers (≤20% are unique), which looks more like multiple choice than free text.","")</f>
        <v>0</v>
      </c>
      <c r="F2472" s="4" t="s">
        <v>1815</v>
      </c>
    </row>
    <row r="2473" spans="1:6" ht="75" customHeight="1">
      <c r="A2473" t="s">
        <v>271</v>
      </c>
      <c r="B2473" t="s">
        <v>181</v>
      </c>
      <c r="C2473" t="s">
        <v>1813</v>
      </c>
      <c r="D2473" t="s">
        <v>1808</v>
      </c>
      <c r="E2473" s="4">
        <f>IF(AND('Hybrid Questions'!$A$17&lt;&gt;"",IFERROR(INDEX(_helpers!$2:$2,1,CHOOSE(LEN(TRIM('Hybrid Questions'!$A$17)),CODE(TRIM('Hybrid Questions'!$A$17))-64,(CODE(LEFT(TRIM('Hybrid Questions'!$A$17),1))-64)*26+(CODE(RIGHT(TRIM('Hybrid Questions'!$A$17),1))-64),(CODE(LEFT(TRIM('Hybrid Questions'!$A$17),1))-64)*676+(CODE(MID(TRIM('Hybrid Questions'!$A$17),2,1))-64)*26+(CODE(RIGHT(TRIM('Hybrid Questions'!$A$17),1))-64))),0)&gt;0,IFERROR(INDEX(_helpers!$1:$1,1,CHOOSE(LEN(TRIM('Hybrid Questions'!$A$17)),CODE(TRIM('Hybrid Questions'!$A$17))-64,(CODE(LEFT(TRIM('Hybrid Questions'!$A$17),1))-64)*26+(CODE(RIGHT(TRIM('Hybrid Questions'!$A$17),1))-64),(CODE(LEFT(TRIM('Hybrid Questions'!$A$17),1))-64)*676+(CODE(MID(TRIM('Hybrid Questions'!$A$17),2,1))-64)*26+(CODE(RIGHT(TRIM('Hybrid Questions'!$A$17),1))-64))),0)&lt;0.2),"Column '"&amp;'Hybrid Questions'!$A$17&amp;"' has very few different answers (≤20% are unique), which looks more like multiple choice than free text.","")</f>
        <v>0</v>
      </c>
      <c r="F2473" s="4" t="s">
        <v>1815</v>
      </c>
    </row>
    <row r="2474" spans="1:6" ht="75" customHeight="1">
      <c r="A2474" t="s">
        <v>271</v>
      </c>
      <c r="B2474" t="s">
        <v>182</v>
      </c>
      <c r="C2474" t="s">
        <v>1813</v>
      </c>
      <c r="D2474" t="s">
        <v>1808</v>
      </c>
      <c r="E2474" s="4">
        <f>IF(AND('Hybrid Questions'!$A$18&lt;&gt;"",IFERROR(INDEX(_helpers!$2:$2,1,CHOOSE(LEN(TRIM('Hybrid Questions'!$A$18)),CODE(TRIM('Hybrid Questions'!$A$18))-64,(CODE(LEFT(TRIM('Hybrid Questions'!$A$18),1))-64)*26+(CODE(RIGHT(TRIM('Hybrid Questions'!$A$18),1))-64),(CODE(LEFT(TRIM('Hybrid Questions'!$A$18),1))-64)*676+(CODE(MID(TRIM('Hybrid Questions'!$A$18),2,1))-64)*26+(CODE(RIGHT(TRIM('Hybrid Questions'!$A$18),1))-64))),0)&gt;0,IFERROR(INDEX(_helpers!$1:$1,1,CHOOSE(LEN(TRIM('Hybrid Questions'!$A$18)),CODE(TRIM('Hybrid Questions'!$A$18))-64,(CODE(LEFT(TRIM('Hybrid Questions'!$A$18),1))-64)*26+(CODE(RIGHT(TRIM('Hybrid Questions'!$A$18),1))-64),(CODE(LEFT(TRIM('Hybrid Questions'!$A$18),1))-64)*676+(CODE(MID(TRIM('Hybrid Questions'!$A$18),2,1))-64)*26+(CODE(RIGHT(TRIM('Hybrid Questions'!$A$18),1))-64))),0)&lt;0.2),"Column '"&amp;'Hybrid Questions'!$A$18&amp;"' has very few different answers (≤20% are unique), which looks more like multiple choice than free text.","")</f>
        <v>0</v>
      </c>
      <c r="F2474" s="4" t="s">
        <v>1815</v>
      </c>
    </row>
    <row r="2475" spans="1:6" ht="75" customHeight="1">
      <c r="A2475" t="s">
        <v>271</v>
      </c>
      <c r="B2475" t="s">
        <v>183</v>
      </c>
      <c r="C2475" t="s">
        <v>1813</v>
      </c>
      <c r="D2475" t="s">
        <v>1808</v>
      </c>
      <c r="E2475" s="4">
        <f>IF(AND('Hybrid Questions'!$A$19&lt;&gt;"",IFERROR(INDEX(_helpers!$2:$2,1,CHOOSE(LEN(TRIM('Hybrid Questions'!$A$19)),CODE(TRIM('Hybrid Questions'!$A$19))-64,(CODE(LEFT(TRIM('Hybrid Questions'!$A$19),1))-64)*26+(CODE(RIGHT(TRIM('Hybrid Questions'!$A$19),1))-64),(CODE(LEFT(TRIM('Hybrid Questions'!$A$19),1))-64)*676+(CODE(MID(TRIM('Hybrid Questions'!$A$19),2,1))-64)*26+(CODE(RIGHT(TRIM('Hybrid Questions'!$A$19),1))-64))),0)&gt;0,IFERROR(INDEX(_helpers!$1:$1,1,CHOOSE(LEN(TRIM('Hybrid Questions'!$A$19)),CODE(TRIM('Hybrid Questions'!$A$19))-64,(CODE(LEFT(TRIM('Hybrid Questions'!$A$19),1))-64)*26+(CODE(RIGHT(TRIM('Hybrid Questions'!$A$19),1))-64),(CODE(LEFT(TRIM('Hybrid Questions'!$A$19),1))-64)*676+(CODE(MID(TRIM('Hybrid Questions'!$A$19),2,1))-64)*26+(CODE(RIGHT(TRIM('Hybrid Questions'!$A$19),1))-64))),0)&lt;0.2),"Column '"&amp;'Hybrid Questions'!$A$19&amp;"' has very few different answers (≤20% are unique), which looks more like multiple choice than free text.","")</f>
        <v>0</v>
      </c>
      <c r="F2475" s="4" t="s">
        <v>1815</v>
      </c>
    </row>
    <row r="2476" spans="1:6" ht="75" customHeight="1">
      <c r="A2476" t="s">
        <v>271</v>
      </c>
      <c r="B2476" t="s">
        <v>184</v>
      </c>
      <c r="C2476" t="s">
        <v>1813</v>
      </c>
      <c r="D2476" t="s">
        <v>1808</v>
      </c>
      <c r="E2476" s="4">
        <f>IF(AND('Hybrid Questions'!$A$20&lt;&gt;"",IFERROR(INDEX(_helpers!$2:$2,1,CHOOSE(LEN(TRIM('Hybrid Questions'!$A$20)),CODE(TRIM('Hybrid Questions'!$A$20))-64,(CODE(LEFT(TRIM('Hybrid Questions'!$A$20),1))-64)*26+(CODE(RIGHT(TRIM('Hybrid Questions'!$A$20),1))-64),(CODE(LEFT(TRIM('Hybrid Questions'!$A$20),1))-64)*676+(CODE(MID(TRIM('Hybrid Questions'!$A$20),2,1))-64)*26+(CODE(RIGHT(TRIM('Hybrid Questions'!$A$20),1))-64))),0)&gt;0,IFERROR(INDEX(_helpers!$1:$1,1,CHOOSE(LEN(TRIM('Hybrid Questions'!$A$20)),CODE(TRIM('Hybrid Questions'!$A$20))-64,(CODE(LEFT(TRIM('Hybrid Questions'!$A$20),1))-64)*26+(CODE(RIGHT(TRIM('Hybrid Questions'!$A$20),1))-64),(CODE(LEFT(TRIM('Hybrid Questions'!$A$20),1))-64)*676+(CODE(MID(TRIM('Hybrid Questions'!$A$20),2,1))-64)*26+(CODE(RIGHT(TRIM('Hybrid Questions'!$A$20),1))-64))),0)&lt;0.2),"Column '"&amp;'Hybrid Questions'!$A$20&amp;"' has very few different answers (≤20% are unique), which looks more like multiple choice than free text.","")</f>
        <v>0</v>
      </c>
      <c r="F2476" s="4" t="s">
        <v>1815</v>
      </c>
    </row>
    <row r="2477" spans="1:6" ht="75" customHeight="1">
      <c r="A2477" t="s">
        <v>271</v>
      </c>
      <c r="B2477" t="s">
        <v>185</v>
      </c>
      <c r="C2477" t="s">
        <v>1813</v>
      </c>
      <c r="D2477" t="s">
        <v>1808</v>
      </c>
      <c r="E2477" s="4">
        <f>IF(AND('Hybrid Questions'!$A$21&lt;&gt;"",IFERROR(INDEX(_helpers!$2:$2,1,CHOOSE(LEN(TRIM('Hybrid Questions'!$A$21)),CODE(TRIM('Hybrid Questions'!$A$21))-64,(CODE(LEFT(TRIM('Hybrid Questions'!$A$21),1))-64)*26+(CODE(RIGHT(TRIM('Hybrid Questions'!$A$21),1))-64),(CODE(LEFT(TRIM('Hybrid Questions'!$A$21),1))-64)*676+(CODE(MID(TRIM('Hybrid Questions'!$A$21),2,1))-64)*26+(CODE(RIGHT(TRIM('Hybrid Questions'!$A$21),1))-64))),0)&gt;0,IFERROR(INDEX(_helpers!$1:$1,1,CHOOSE(LEN(TRIM('Hybrid Questions'!$A$21)),CODE(TRIM('Hybrid Questions'!$A$21))-64,(CODE(LEFT(TRIM('Hybrid Questions'!$A$21),1))-64)*26+(CODE(RIGHT(TRIM('Hybrid Questions'!$A$21),1))-64),(CODE(LEFT(TRIM('Hybrid Questions'!$A$21),1))-64)*676+(CODE(MID(TRIM('Hybrid Questions'!$A$21),2,1))-64)*26+(CODE(RIGHT(TRIM('Hybrid Questions'!$A$21),1))-64))),0)&lt;0.2),"Column '"&amp;'Hybrid Questions'!$A$21&amp;"' has very few different answers (≤20% are unique), which looks more like multiple choice than free text.","")</f>
        <v>0</v>
      </c>
      <c r="F2477" s="4" t="s">
        <v>1815</v>
      </c>
    </row>
    <row r="2478" spans="1:6" ht="75" customHeight="1">
      <c r="A2478" t="s">
        <v>271</v>
      </c>
      <c r="B2478" t="s">
        <v>186</v>
      </c>
      <c r="C2478" t="s">
        <v>1813</v>
      </c>
      <c r="D2478" t="s">
        <v>1808</v>
      </c>
      <c r="E2478" s="4">
        <f>IF(AND('Hybrid Questions'!$A$22&lt;&gt;"",IFERROR(INDEX(_helpers!$2:$2,1,CHOOSE(LEN(TRIM('Hybrid Questions'!$A$22)),CODE(TRIM('Hybrid Questions'!$A$22))-64,(CODE(LEFT(TRIM('Hybrid Questions'!$A$22),1))-64)*26+(CODE(RIGHT(TRIM('Hybrid Questions'!$A$22),1))-64),(CODE(LEFT(TRIM('Hybrid Questions'!$A$22),1))-64)*676+(CODE(MID(TRIM('Hybrid Questions'!$A$22),2,1))-64)*26+(CODE(RIGHT(TRIM('Hybrid Questions'!$A$22),1))-64))),0)&gt;0,IFERROR(INDEX(_helpers!$1:$1,1,CHOOSE(LEN(TRIM('Hybrid Questions'!$A$22)),CODE(TRIM('Hybrid Questions'!$A$22))-64,(CODE(LEFT(TRIM('Hybrid Questions'!$A$22),1))-64)*26+(CODE(RIGHT(TRIM('Hybrid Questions'!$A$22),1))-64),(CODE(LEFT(TRIM('Hybrid Questions'!$A$22),1))-64)*676+(CODE(MID(TRIM('Hybrid Questions'!$A$22),2,1))-64)*26+(CODE(RIGHT(TRIM('Hybrid Questions'!$A$22),1))-64))),0)&lt;0.2),"Column '"&amp;'Hybrid Questions'!$A$22&amp;"' has very few different answers (≤20% are unique), which looks more like multiple choice than free text.","")</f>
        <v>0</v>
      </c>
      <c r="F2478" s="4" t="s">
        <v>1815</v>
      </c>
    </row>
    <row r="2479" spans="1:6" ht="75" customHeight="1">
      <c r="A2479" t="s">
        <v>271</v>
      </c>
      <c r="B2479" t="s">
        <v>187</v>
      </c>
      <c r="C2479" t="s">
        <v>1813</v>
      </c>
      <c r="D2479" t="s">
        <v>1808</v>
      </c>
      <c r="E2479" s="4">
        <f>IF(AND('Hybrid Questions'!$A$23&lt;&gt;"",IFERROR(INDEX(_helpers!$2:$2,1,CHOOSE(LEN(TRIM('Hybrid Questions'!$A$23)),CODE(TRIM('Hybrid Questions'!$A$23))-64,(CODE(LEFT(TRIM('Hybrid Questions'!$A$23),1))-64)*26+(CODE(RIGHT(TRIM('Hybrid Questions'!$A$23),1))-64),(CODE(LEFT(TRIM('Hybrid Questions'!$A$23),1))-64)*676+(CODE(MID(TRIM('Hybrid Questions'!$A$23),2,1))-64)*26+(CODE(RIGHT(TRIM('Hybrid Questions'!$A$23),1))-64))),0)&gt;0,IFERROR(INDEX(_helpers!$1:$1,1,CHOOSE(LEN(TRIM('Hybrid Questions'!$A$23)),CODE(TRIM('Hybrid Questions'!$A$23))-64,(CODE(LEFT(TRIM('Hybrid Questions'!$A$23),1))-64)*26+(CODE(RIGHT(TRIM('Hybrid Questions'!$A$23),1))-64),(CODE(LEFT(TRIM('Hybrid Questions'!$A$23),1))-64)*676+(CODE(MID(TRIM('Hybrid Questions'!$A$23),2,1))-64)*26+(CODE(RIGHT(TRIM('Hybrid Questions'!$A$23),1))-64))),0)&lt;0.2),"Column '"&amp;'Hybrid Questions'!$A$23&amp;"' has very few different answers (≤20% are unique), which looks more like multiple choice than free text.","")</f>
        <v>0</v>
      </c>
      <c r="F2479" s="4" t="s">
        <v>1815</v>
      </c>
    </row>
    <row r="2480" spans="1:6" ht="75" customHeight="1">
      <c r="A2480" t="s">
        <v>271</v>
      </c>
      <c r="B2480" t="s">
        <v>188</v>
      </c>
      <c r="C2480" t="s">
        <v>1813</v>
      </c>
      <c r="D2480" t="s">
        <v>1808</v>
      </c>
      <c r="E2480" s="4">
        <f>IF(AND('Hybrid Questions'!$A$24&lt;&gt;"",IFERROR(INDEX(_helpers!$2:$2,1,CHOOSE(LEN(TRIM('Hybrid Questions'!$A$24)),CODE(TRIM('Hybrid Questions'!$A$24))-64,(CODE(LEFT(TRIM('Hybrid Questions'!$A$24),1))-64)*26+(CODE(RIGHT(TRIM('Hybrid Questions'!$A$24),1))-64),(CODE(LEFT(TRIM('Hybrid Questions'!$A$24),1))-64)*676+(CODE(MID(TRIM('Hybrid Questions'!$A$24),2,1))-64)*26+(CODE(RIGHT(TRIM('Hybrid Questions'!$A$24),1))-64))),0)&gt;0,IFERROR(INDEX(_helpers!$1:$1,1,CHOOSE(LEN(TRIM('Hybrid Questions'!$A$24)),CODE(TRIM('Hybrid Questions'!$A$24))-64,(CODE(LEFT(TRIM('Hybrid Questions'!$A$24),1))-64)*26+(CODE(RIGHT(TRIM('Hybrid Questions'!$A$24),1))-64),(CODE(LEFT(TRIM('Hybrid Questions'!$A$24),1))-64)*676+(CODE(MID(TRIM('Hybrid Questions'!$A$24),2,1))-64)*26+(CODE(RIGHT(TRIM('Hybrid Questions'!$A$24),1))-64))),0)&lt;0.2),"Column '"&amp;'Hybrid Questions'!$A$24&amp;"' has very few different answers (≤20% are unique), which looks more like multiple choice than free text.","")</f>
        <v>0</v>
      </c>
      <c r="F2480" s="4" t="s">
        <v>1815</v>
      </c>
    </row>
    <row r="2481" spans="1:6" ht="75" customHeight="1">
      <c r="A2481" t="s">
        <v>271</v>
      </c>
      <c r="B2481" t="s">
        <v>189</v>
      </c>
      <c r="C2481" t="s">
        <v>1813</v>
      </c>
      <c r="D2481" t="s">
        <v>1808</v>
      </c>
      <c r="E2481" s="4">
        <f>IF(AND('Hybrid Questions'!$A$25&lt;&gt;"",IFERROR(INDEX(_helpers!$2:$2,1,CHOOSE(LEN(TRIM('Hybrid Questions'!$A$25)),CODE(TRIM('Hybrid Questions'!$A$25))-64,(CODE(LEFT(TRIM('Hybrid Questions'!$A$25),1))-64)*26+(CODE(RIGHT(TRIM('Hybrid Questions'!$A$25),1))-64),(CODE(LEFT(TRIM('Hybrid Questions'!$A$25),1))-64)*676+(CODE(MID(TRIM('Hybrid Questions'!$A$25),2,1))-64)*26+(CODE(RIGHT(TRIM('Hybrid Questions'!$A$25),1))-64))),0)&gt;0,IFERROR(INDEX(_helpers!$1:$1,1,CHOOSE(LEN(TRIM('Hybrid Questions'!$A$25)),CODE(TRIM('Hybrid Questions'!$A$25))-64,(CODE(LEFT(TRIM('Hybrid Questions'!$A$25),1))-64)*26+(CODE(RIGHT(TRIM('Hybrid Questions'!$A$25),1))-64),(CODE(LEFT(TRIM('Hybrid Questions'!$A$25),1))-64)*676+(CODE(MID(TRIM('Hybrid Questions'!$A$25),2,1))-64)*26+(CODE(RIGHT(TRIM('Hybrid Questions'!$A$25),1))-64))),0)&lt;0.2),"Column '"&amp;'Hybrid Questions'!$A$25&amp;"' has very few different answers (≤20% are unique), which looks more like multiple choice than free text.","")</f>
        <v>0</v>
      </c>
      <c r="F2481" s="4" t="s">
        <v>1815</v>
      </c>
    </row>
    <row r="2482" spans="1:6" ht="75" customHeight="1">
      <c r="A2482" t="s">
        <v>271</v>
      </c>
      <c r="B2482" t="s">
        <v>190</v>
      </c>
      <c r="C2482" t="s">
        <v>1813</v>
      </c>
      <c r="D2482" t="s">
        <v>1808</v>
      </c>
      <c r="E2482" s="4">
        <f>IF(AND('Hybrid Questions'!$A$26&lt;&gt;"",IFERROR(INDEX(_helpers!$2:$2,1,CHOOSE(LEN(TRIM('Hybrid Questions'!$A$26)),CODE(TRIM('Hybrid Questions'!$A$26))-64,(CODE(LEFT(TRIM('Hybrid Questions'!$A$26),1))-64)*26+(CODE(RIGHT(TRIM('Hybrid Questions'!$A$26),1))-64),(CODE(LEFT(TRIM('Hybrid Questions'!$A$26),1))-64)*676+(CODE(MID(TRIM('Hybrid Questions'!$A$26),2,1))-64)*26+(CODE(RIGHT(TRIM('Hybrid Questions'!$A$26),1))-64))),0)&gt;0,IFERROR(INDEX(_helpers!$1:$1,1,CHOOSE(LEN(TRIM('Hybrid Questions'!$A$26)),CODE(TRIM('Hybrid Questions'!$A$26))-64,(CODE(LEFT(TRIM('Hybrid Questions'!$A$26),1))-64)*26+(CODE(RIGHT(TRIM('Hybrid Questions'!$A$26),1))-64),(CODE(LEFT(TRIM('Hybrid Questions'!$A$26),1))-64)*676+(CODE(MID(TRIM('Hybrid Questions'!$A$26),2,1))-64)*26+(CODE(RIGHT(TRIM('Hybrid Questions'!$A$26),1))-64))),0)&lt;0.2),"Column '"&amp;'Hybrid Questions'!$A$26&amp;"' has very few different answers (≤20% are unique), which looks more like multiple choice than free text.","")</f>
        <v>0</v>
      </c>
      <c r="F2482" s="4" t="s">
        <v>1815</v>
      </c>
    </row>
    <row r="2483" spans="1:6" ht="75" customHeight="1">
      <c r="A2483" t="s">
        <v>271</v>
      </c>
      <c r="B2483" t="s">
        <v>191</v>
      </c>
      <c r="C2483" t="s">
        <v>1813</v>
      </c>
      <c r="D2483" t="s">
        <v>1808</v>
      </c>
      <c r="E2483" s="4">
        <f>IF(AND('Hybrid Questions'!$A$27&lt;&gt;"",IFERROR(INDEX(_helpers!$2:$2,1,CHOOSE(LEN(TRIM('Hybrid Questions'!$A$27)),CODE(TRIM('Hybrid Questions'!$A$27))-64,(CODE(LEFT(TRIM('Hybrid Questions'!$A$27),1))-64)*26+(CODE(RIGHT(TRIM('Hybrid Questions'!$A$27),1))-64),(CODE(LEFT(TRIM('Hybrid Questions'!$A$27),1))-64)*676+(CODE(MID(TRIM('Hybrid Questions'!$A$27),2,1))-64)*26+(CODE(RIGHT(TRIM('Hybrid Questions'!$A$27),1))-64))),0)&gt;0,IFERROR(INDEX(_helpers!$1:$1,1,CHOOSE(LEN(TRIM('Hybrid Questions'!$A$27)),CODE(TRIM('Hybrid Questions'!$A$27))-64,(CODE(LEFT(TRIM('Hybrid Questions'!$A$27),1))-64)*26+(CODE(RIGHT(TRIM('Hybrid Questions'!$A$27),1))-64),(CODE(LEFT(TRIM('Hybrid Questions'!$A$27),1))-64)*676+(CODE(MID(TRIM('Hybrid Questions'!$A$27),2,1))-64)*26+(CODE(RIGHT(TRIM('Hybrid Questions'!$A$27),1))-64))),0)&lt;0.2),"Column '"&amp;'Hybrid Questions'!$A$27&amp;"' has very few different answers (≤20% are unique), which looks more like multiple choice than free text.","")</f>
        <v>0</v>
      </c>
      <c r="F2483" s="4" t="s">
        <v>1815</v>
      </c>
    </row>
    <row r="2484" spans="1:6" ht="75" customHeight="1">
      <c r="A2484" t="s">
        <v>271</v>
      </c>
      <c r="B2484" t="s">
        <v>192</v>
      </c>
      <c r="C2484" t="s">
        <v>1813</v>
      </c>
      <c r="D2484" t="s">
        <v>1808</v>
      </c>
      <c r="E2484" s="4">
        <f>IF(AND('Hybrid Questions'!$A$28&lt;&gt;"",IFERROR(INDEX(_helpers!$2:$2,1,CHOOSE(LEN(TRIM('Hybrid Questions'!$A$28)),CODE(TRIM('Hybrid Questions'!$A$28))-64,(CODE(LEFT(TRIM('Hybrid Questions'!$A$28),1))-64)*26+(CODE(RIGHT(TRIM('Hybrid Questions'!$A$28),1))-64),(CODE(LEFT(TRIM('Hybrid Questions'!$A$28),1))-64)*676+(CODE(MID(TRIM('Hybrid Questions'!$A$28),2,1))-64)*26+(CODE(RIGHT(TRIM('Hybrid Questions'!$A$28),1))-64))),0)&gt;0,IFERROR(INDEX(_helpers!$1:$1,1,CHOOSE(LEN(TRIM('Hybrid Questions'!$A$28)),CODE(TRIM('Hybrid Questions'!$A$28))-64,(CODE(LEFT(TRIM('Hybrid Questions'!$A$28),1))-64)*26+(CODE(RIGHT(TRIM('Hybrid Questions'!$A$28),1))-64),(CODE(LEFT(TRIM('Hybrid Questions'!$A$28),1))-64)*676+(CODE(MID(TRIM('Hybrid Questions'!$A$28),2,1))-64)*26+(CODE(RIGHT(TRIM('Hybrid Questions'!$A$28),1))-64))),0)&lt;0.2),"Column '"&amp;'Hybrid Questions'!$A$28&amp;"' has very few different answers (≤20% are unique), which looks more like multiple choice than free text.","")</f>
        <v>0</v>
      </c>
      <c r="F2484" s="4" t="s">
        <v>1815</v>
      </c>
    </row>
    <row r="2485" spans="1:6" ht="75" customHeight="1">
      <c r="A2485" t="s">
        <v>271</v>
      </c>
      <c r="B2485" t="s">
        <v>193</v>
      </c>
      <c r="C2485" t="s">
        <v>1813</v>
      </c>
      <c r="D2485" t="s">
        <v>1808</v>
      </c>
      <c r="E2485" s="4">
        <f>IF(AND('Hybrid Questions'!$A$29&lt;&gt;"",IFERROR(INDEX(_helpers!$2:$2,1,CHOOSE(LEN(TRIM('Hybrid Questions'!$A$29)),CODE(TRIM('Hybrid Questions'!$A$29))-64,(CODE(LEFT(TRIM('Hybrid Questions'!$A$29),1))-64)*26+(CODE(RIGHT(TRIM('Hybrid Questions'!$A$29),1))-64),(CODE(LEFT(TRIM('Hybrid Questions'!$A$29),1))-64)*676+(CODE(MID(TRIM('Hybrid Questions'!$A$29),2,1))-64)*26+(CODE(RIGHT(TRIM('Hybrid Questions'!$A$29),1))-64))),0)&gt;0,IFERROR(INDEX(_helpers!$1:$1,1,CHOOSE(LEN(TRIM('Hybrid Questions'!$A$29)),CODE(TRIM('Hybrid Questions'!$A$29))-64,(CODE(LEFT(TRIM('Hybrid Questions'!$A$29),1))-64)*26+(CODE(RIGHT(TRIM('Hybrid Questions'!$A$29),1))-64),(CODE(LEFT(TRIM('Hybrid Questions'!$A$29),1))-64)*676+(CODE(MID(TRIM('Hybrid Questions'!$A$29),2,1))-64)*26+(CODE(RIGHT(TRIM('Hybrid Questions'!$A$29),1))-64))),0)&lt;0.2),"Column '"&amp;'Hybrid Questions'!$A$29&amp;"' has very few different answers (≤20% are unique), which looks more like multiple choice than free text.","")</f>
        <v>0</v>
      </c>
      <c r="F2485" s="4" t="s">
        <v>1815</v>
      </c>
    </row>
    <row r="2486" spans="1:6" ht="75" customHeight="1">
      <c r="A2486" t="s">
        <v>271</v>
      </c>
      <c r="B2486" t="s">
        <v>194</v>
      </c>
      <c r="C2486" t="s">
        <v>1813</v>
      </c>
      <c r="D2486" t="s">
        <v>1808</v>
      </c>
      <c r="E2486" s="4">
        <f>IF(AND('Hybrid Questions'!$A$30&lt;&gt;"",IFERROR(INDEX(_helpers!$2:$2,1,CHOOSE(LEN(TRIM('Hybrid Questions'!$A$30)),CODE(TRIM('Hybrid Questions'!$A$30))-64,(CODE(LEFT(TRIM('Hybrid Questions'!$A$30),1))-64)*26+(CODE(RIGHT(TRIM('Hybrid Questions'!$A$30),1))-64),(CODE(LEFT(TRIM('Hybrid Questions'!$A$30),1))-64)*676+(CODE(MID(TRIM('Hybrid Questions'!$A$30),2,1))-64)*26+(CODE(RIGHT(TRIM('Hybrid Questions'!$A$30),1))-64))),0)&gt;0,IFERROR(INDEX(_helpers!$1:$1,1,CHOOSE(LEN(TRIM('Hybrid Questions'!$A$30)),CODE(TRIM('Hybrid Questions'!$A$30))-64,(CODE(LEFT(TRIM('Hybrid Questions'!$A$30),1))-64)*26+(CODE(RIGHT(TRIM('Hybrid Questions'!$A$30),1))-64),(CODE(LEFT(TRIM('Hybrid Questions'!$A$30),1))-64)*676+(CODE(MID(TRIM('Hybrid Questions'!$A$30),2,1))-64)*26+(CODE(RIGHT(TRIM('Hybrid Questions'!$A$30),1))-64))),0)&lt;0.2),"Column '"&amp;'Hybrid Questions'!$A$30&amp;"' has very few different answers (≤20% are unique), which looks more like multiple choice than free text.","")</f>
        <v>0</v>
      </c>
      <c r="F2486" s="4" t="s">
        <v>1815</v>
      </c>
    </row>
    <row r="2487" spans="1:6" ht="75" customHeight="1">
      <c r="A2487" t="s">
        <v>271</v>
      </c>
      <c r="B2487" t="s">
        <v>195</v>
      </c>
      <c r="C2487" t="s">
        <v>1813</v>
      </c>
      <c r="D2487" t="s">
        <v>1808</v>
      </c>
      <c r="E2487" s="4">
        <f>IF(AND('Hybrid Questions'!$A$31&lt;&gt;"",IFERROR(INDEX(_helpers!$2:$2,1,CHOOSE(LEN(TRIM('Hybrid Questions'!$A$31)),CODE(TRIM('Hybrid Questions'!$A$31))-64,(CODE(LEFT(TRIM('Hybrid Questions'!$A$31),1))-64)*26+(CODE(RIGHT(TRIM('Hybrid Questions'!$A$31),1))-64),(CODE(LEFT(TRIM('Hybrid Questions'!$A$31),1))-64)*676+(CODE(MID(TRIM('Hybrid Questions'!$A$31),2,1))-64)*26+(CODE(RIGHT(TRIM('Hybrid Questions'!$A$31),1))-64))),0)&gt;0,IFERROR(INDEX(_helpers!$1:$1,1,CHOOSE(LEN(TRIM('Hybrid Questions'!$A$31)),CODE(TRIM('Hybrid Questions'!$A$31))-64,(CODE(LEFT(TRIM('Hybrid Questions'!$A$31),1))-64)*26+(CODE(RIGHT(TRIM('Hybrid Questions'!$A$31),1))-64),(CODE(LEFT(TRIM('Hybrid Questions'!$A$31),1))-64)*676+(CODE(MID(TRIM('Hybrid Questions'!$A$31),2,1))-64)*26+(CODE(RIGHT(TRIM('Hybrid Questions'!$A$31),1))-64))),0)&lt;0.2),"Column '"&amp;'Hybrid Questions'!$A$31&amp;"' has very few different answers (≤20% are unique), which looks more like multiple choice than free text.","")</f>
        <v>0</v>
      </c>
      <c r="F2487" s="4" t="s">
        <v>1815</v>
      </c>
    </row>
    <row r="2488" spans="1:6" ht="75" customHeight="1">
      <c r="A2488" t="s">
        <v>271</v>
      </c>
      <c r="B2488" t="s">
        <v>196</v>
      </c>
      <c r="C2488" t="s">
        <v>1813</v>
      </c>
      <c r="D2488" t="s">
        <v>1808</v>
      </c>
      <c r="E2488" s="4">
        <f>IF(AND('Hybrid Questions'!$A$32&lt;&gt;"",IFERROR(INDEX(_helpers!$2:$2,1,CHOOSE(LEN(TRIM('Hybrid Questions'!$A$32)),CODE(TRIM('Hybrid Questions'!$A$32))-64,(CODE(LEFT(TRIM('Hybrid Questions'!$A$32),1))-64)*26+(CODE(RIGHT(TRIM('Hybrid Questions'!$A$32),1))-64),(CODE(LEFT(TRIM('Hybrid Questions'!$A$32),1))-64)*676+(CODE(MID(TRIM('Hybrid Questions'!$A$32),2,1))-64)*26+(CODE(RIGHT(TRIM('Hybrid Questions'!$A$32),1))-64))),0)&gt;0,IFERROR(INDEX(_helpers!$1:$1,1,CHOOSE(LEN(TRIM('Hybrid Questions'!$A$32)),CODE(TRIM('Hybrid Questions'!$A$32))-64,(CODE(LEFT(TRIM('Hybrid Questions'!$A$32),1))-64)*26+(CODE(RIGHT(TRIM('Hybrid Questions'!$A$32),1))-64),(CODE(LEFT(TRIM('Hybrid Questions'!$A$32),1))-64)*676+(CODE(MID(TRIM('Hybrid Questions'!$A$32),2,1))-64)*26+(CODE(RIGHT(TRIM('Hybrid Questions'!$A$32),1))-64))),0)&lt;0.2),"Column '"&amp;'Hybrid Questions'!$A$32&amp;"' has very few different answers (≤20% are unique), which looks more like multiple choice than free text.","")</f>
        <v>0</v>
      </c>
      <c r="F2488" s="4" t="s">
        <v>1815</v>
      </c>
    </row>
    <row r="2489" spans="1:6" ht="75" customHeight="1">
      <c r="A2489" t="s">
        <v>271</v>
      </c>
      <c r="B2489" t="s">
        <v>197</v>
      </c>
      <c r="C2489" t="s">
        <v>1813</v>
      </c>
      <c r="D2489" t="s">
        <v>1808</v>
      </c>
      <c r="E2489" s="4">
        <f>IF(AND('Hybrid Questions'!$A$33&lt;&gt;"",IFERROR(INDEX(_helpers!$2:$2,1,CHOOSE(LEN(TRIM('Hybrid Questions'!$A$33)),CODE(TRIM('Hybrid Questions'!$A$33))-64,(CODE(LEFT(TRIM('Hybrid Questions'!$A$33),1))-64)*26+(CODE(RIGHT(TRIM('Hybrid Questions'!$A$33),1))-64),(CODE(LEFT(TRIM('Hybrid Questions'!$A$33),1))-64)*676+(CODE(MID(TRIM('Hybrid Questions'!$A$33),2,1))-64)*26+(CODE(RIGHT(TRIM('Hybrid Questions'!$A$33),1))-64))),0)&gt;0,IFERROR(INDEX(_helpers!$1:$1,1,CHOOSE(LEN(TRIM('Hybrid Questions'!$A$33)),CODE(TRIM('Hybrid Questions'!$A$33))-64,(CODE(LEFT(TRIM('Hybrid Questions'!$A$33),1))-64)*26+(CODE(RIGHT(TRIM('Hybrid Questions'!$A$33),1))-64),(CODE(LEFT(TRIM('Hybrid Questions'!$A$33),1))-64)*676+(CODE(MID(TRIM('Hybrid Questions'!$A$33),2,1))-64)*26+(CODE(RIGHT(TRIM('Hybrid Questions'!$A$33),1))-64))),0)&lt;0.2),"Column '"&amp;'Hybrid Questions'!$A$33&amp;"' has very few different answers (≤20% are unique), which looks more like multiple choice than free text.","")</f>
        <v>0</v>
      </c>
      <c r="F2489" s="4" t="s">
        <v>1815</v>
      </c>
    </row>
    <row r="2490" spans="1:6" ht="75" customHeight="1">
      <c r="A2490" t="s">
        <v>271</v>
      </c>
      <c r="B2490" t="s">
        <v>198</v>
      </c>
      <c r="C2490" t="s">
        <v>1813</v>
      </c>
      <c r="D2490" t="s">
        <v>1808</v>
      </c>
      <c r="E2490" s="4">
        <f>IF(AND('Hybrid Questions'!$A$34&lt;&gt;"",IFERROR(INDEX(_helpers!$2:$2,1,CHOOSE(LEN(TRIM('Hybrid Questions'!$A$34)),CODE(TRIM('Hybrid Questions'!$A$34))-64,(CODE(LEFT(TRIM('Hybrid Questions'!$A$34),1))-64)*26+(CODE(RIGHT(TRIM('Hybrid Questions'!$A$34),1))-64),(CODE(LEFT(TRIM('Hybrid Questions'!$A$34),1))-64)*676+(CODE(MID(TRIM('Hybrid Questions'!$A$34),2,1))-64)*26+(CODE(RIGHT(TRIM('Hybrid Questions'!$A$34),1))-64))),0)&gt;0,IFERROR(INDEX(_helpers!$1:$1,1,CHOOSE(LEN(TRIM('Hybrid Questions'!$A$34)),CODE(TRIM('Hybrid Questions'!$A$34))-64,(CODE(LEFT(TRIM('Hybrid Questions'!$A$34),1))-64)*26+(CODE(RIGHT(TRIM('Hybrid Questions'!$A$34),1))-64),(CODE(LEFT(TRIM('Hybrid Questions'!$A$34),1))-64)*676+(CODE(MID(TRIM('Hybrid Questions'!$A$34),2,1))-64)*26+(CODE(RIGHT(TRIM('Hybrid Questions'!$A$34),1))-64))),0)&lt;0.2),"Column '"&amp;'Hybrid Questions'!$A$34&amp;"' has very few different answers (≤20% are unique), which looks more like multiple choice than free text.","")</f>
        <v>0</v>
      </c>
      <c r="F2490" s="4" t="s">
        <v>1815</v>
      </c>
    </row>
    <row r="2491" spans="1:6" ht="75" customHeight="1">
      <c r="A2491" t="s">
        <v>271</v>
      </c>
      <c r="B2491" t="s">
        <v>199</v>
      </c>
      <c r="C2491" t="s">
        <v>1813</v>
      </c>
      <c r="D2491" t="s">
        <v>1808</v>
      </c>
      <c r="E2491" s="4">
        <f>IF(AND('Hybrid Questions'!$A$35&lt;&gt;"",IFERROR(INDEX(_helpers!$2:$2,1,CHOOSE(LEN(TRIM('Hybrid Questions'!$A$35)),CODE(TRIM('Hybrid Questions'!$A$35))-64,(CODE(LEFT(TRIM('Hybrid Questions'!$A$35),1))-64)*26+(CODE(RIGHT(TRIM('Hybrid Questions'!$A$35),1))-64),(CODE(LEFT(TRIM('Hybrid Questions'!$A$35),1))-64)*676+(CODE(MID(TRIM('Hybrid Questions'!$A$35),2,1))-64)*26+(CODE(RIGHT(TRIM('Hybrid Questions'!$A$35),1))-64))),0)&gt;0,IFERROR(INDEX(_helpers!$1:$1,1,CHOOSE(LEN(TRIM('Hybrid Questions'!$A$35)),CODE(TRIM('Hybrid Questions'!$A$35))-64,(CODE(LEFT(TRIM('Hybrid Questions'!$A$35),1))-64)*26+(CODE(RIGHT(TRIM('Hybrid Questions'!$A$35),1))-64),(CODE(LEFT(TRIM('Hybrid Questions'!$A$35),1))-64)*676+(CODE(MID(TRIM('Hybrid Questions'!$A$35),2,1))-64)*26+(CODE(RIGHT(TRIM('Hybrid Questions'!$A$35),1))-64))),0)&lt;0.2),"Column '"&amp;'Hybrid Questions'!$A$35&amp;"' has very few different answers (≤20% are unique), which looks more like multiple choice than free text.","")</f>
        <v>0</v>
      </c>
      <c r="F2491" s="4" t="s">
        <v>1815</v>
      </c>
    </row>
    <row r="2492" spans="1:6" ht="75" customHeight="1">
      <c r="A2492" t="s">
        <v>271</v>
      </c>
      <c r="B2492" t="s">
        <v>200</v>
      </c>
      <c r="C2492" t="s">
        <v>1813</v>
      </c>
      <c r="D2492" t="s">
        <v>1808</v>
      </c>
      <c r="E2492" s="4">
        <f>IF(AND('Hybrid Questions'!$A$36&lt;&gt;"",IFERROR(INDEX(_helpers!$2:$2,1,CHOOSE(LEN(TRIM('Hybrid Questions'!$A$36)),CODE(TRIM('Hybrid Questions'!$A$36))-64,(CODE(LEFT(TRIM('Hybrid Questions'!$A$36),1))-64)*26+(CODE(RIGHT(TRIM('Hybrid Questions'!$A$36),1))-64),(CODE(LEFT(TRIM('Hybrid Questions'!$A$36),1))-64)*676+(CODE(MID(TRIM('Hybrid Questions'!$A$36),2,1))-64)*26+(CODE(RIGHT(TRIM('Hybrid Questions'!$A$36),1))-64))),0)&gt;0,IFERROR(INDEX(_helpers!$1:$1,1,CHOOSE(LEN(TRIM('Hybrid Questions'!$A$36)),CODE(TRIM('Hybrid Questions'!$A$36))-64,(CODE(LEFT(TRIM('Hybrid Questions'!$A$36),1))-64)*26+(CODE(RIGHT(TRIM('Hybrid Questions'!$A$36),1))-64),(CODE(LEFT(TRIM('Hybrid Questions'!$A$36),1))-64)*676+(CODE(MID(TRIM('Hybrid Questions'!$A$36),2,1))-64)*26+(CODE(RIGHT(TRIM('Hybrid Questions'!$A$36),1))-64))),0)&lt;0.2),"Column '"&amp;'Hybrid Questions'!$A$36&amp;"' has very few different answers (≤20% are unique), which looks more like multiple choice than free text.","")</f>
        <v>0</v>
      </c>
      <c r="F2492" s="4" t="s">
        <v>1815</v>
      </c>
    </row>
    <row r="2493" spans="1:6" ht="75" customHeight="1">
      <c r="A2493" t="s">
        <v>271</v>
      </c>
      <c r="B2493" t="s">
        <v>201</v>
      </c>
      <c r="C2493" t="s">
        <v>1813</v>
      </c>
      <c r="D2493" t="s">
        <v>1808</v>
      </c>
      <c r="E2493" s="4">
        <f>IF(AND('Hybrid Questions'!$A$37&lt;&gt;"",IFERROR(INDEX(_helpers!$2:$2,1,CHOOSE(LEN(TRIM('Hybrid Questions'!$A$37)),CODE(TRIM('Hybrid Questions'!$A$37))-64,(CODE(LEFT(TRIM('Hybrid Questions'!$A$37),1))-64)*26+(CODE(RIGHT(TRIM('Hybrid Questions'!$A$37),1))-64),(CODE(LEFT(TRIM('Hybrid Questions'!$A$37),1))-64)*676+(CODE(MID(TRIM('Hybrid Questions'!$A$37),2,1))-64)*26+(CODE(RIGHT(TRIM('Hybrid Questions'!$A$37),1))-64))),0)&gt;0,IFERROR(INDEX(_helpers!$1:$1,1,CHOOSE(LEN(TRIM('Hybrid Questions'!$A$37)),CODE(TRIM('Hybrid Questions'!$A$37))-64,(CODE(LEFT(TRIM('Hybrid Questions'!$A$37),1))-64)*26+(CODE(RIGHT(TRIM('Hybrid Questions'!$A$37),1))-64),(CODE(LEFT(TRIM('Hybrid Questions'!$A$37),1))-64)*676+(CODE(MID(TRIM('Hybrid Questions'!$A$37),2,1))-64)*26+(CODE(RIGHT(TRIM('Hybrid Questions'!$A$37),1))-64))),0)&lt;0.2),"Column '"&amp;'Hybrid Questions'!$A$37&amp;"' has very few different answers (≤20% are unique), which looks more like multiple choice than free text.","")</f>
        <v>0</v>
      </c>
      <c r="F2493" s="4" t="s">
        <v>1815</v>
      </c>
    </row>
    <row r="2494" spans="1:6" ht="75" customHeight="1">
      <c r="A2494" t="s">
        <v>271</v>
      </c>
      <c r="B2494" t="s">
        <v>202</v>
      </c>
      <c r="C2494" t="s">
        <v>1813</v>
      </c>
      <c r="D2494" t="s">
        <v>1808</v>
      </c>
      <c r="E2494" s="4">
        <f>IF(AND('Hybrid Questions'!$A$38&lt;&gt;"",IFERROR(INDEX(_helpers!$2:$2,1,CHOOSE(LEN(TRIM('Hybrid Questions'!$A$38)),CODE(TRIM('Hybrid Questions'!$A$38))-64,(CODE(LEFT(TRIM('Hybrid Questions'!$A$38),1))-64)*26+(CODE(RIGHT(TRIM('Hybrid Questions'!$A$38),1))-64),(CODE(LEFT(TRIM('Hybrid Questions'!$A$38),1))-64)*676+(CODE(MID(TRIM('Hybrid Questions'!$A$38),2,1))-64)*26+(CODE(RIGHT(TRIM('Hybrid Questions'!$A$38),1))-64))),0)&gt;0,IFERROR(INDEX(_helpers!$1:$1,1,CHOOSE(LEN(TRIM('Hybrid Questions'!$A$38)),CODE(TRIM('Hybrid Questions'!$A$38))-64,(CODE(LEFT(TRIM('Hybrid Questions'!$A$38),1))-64)*26+(CODE(RIGHT(TRIM('Hybrid Questions'!$A$38),1))-64),(CODE(LEFT(TRIM('Hybrid Questions'!$A$38),1))-64)*676+(CODE(MID(TRIM('Hybrid Questions'!$A$38),2,1))-64)*26+(CODE(RIGHT(TRIM('Hybrid Questions'!$A$38),1))-64))),0)&lt;0.2),"Column '"&amp;'Hybrid Questions'!$A$38&amp;"' has very few different answers (≤20% are unique), which looks more like multiple choice than free text.","")</f>
        <v>0</v>
      </c>
      <c r="F2494" s="4" t="s">
        <v>1815</v>
      </c>
    </row>
    <row r="2495" spans="1:6" ht="75" customHeight="1">
      <c r="A2495" t="s">
        <v>271</v>
      </c>
      <c r="B2495" t="s">
        <v>203</v>
      </c>
      <c r="C2495" t="s">
        <v>1813</v>
      </c>
      <c r="D2495" t="s">
        <v>1808</v>
      </c>
      <c r="E2495" s="4">
        <f>IF(AND('Hybrid Questions'!$A$39&lt;&gt;"",IFERROR(INDEX(_helpers!$2:$2,1,CHOOSE(LEN(TRIM('Hybrid Questions'!$A$39)),CODE(TRIM('Hybrid Questions'!$A$39))-64,(CODE(LEFT(TRIM('Hybrid Questions'!$A$39),1))-64)*26+(CODE(RIGHT(TRIM('Hybrid Questions'!$A$39),1))-64),(CODE(LEFT(TRIM('Hybrid Questions'!$A$39),1))-64)*676+(CODE(MID(TRIM('Hybrid Questions'!$A$39),2,1))-64)*26+(CODE(RIGHT(TRIM('Hybrid Questions'!$A$39),1))-64))),0)&gt;0,IFERROR(INDEX(_helpers!$1:$1,1,CHOOSE(LEN(TRIM('Hybrid Questions'!$A$39)),CODE(TRIM('Hybrid Questions'!$A$39))-64,(CODE(LEFT(TRIM('Hybrid Questions'!$A$39),1))-64)*26+(CODE(RIGHT(TRIM('Hybrid Questions'!$A$39),1))-64),(CODE(LEFT(TRIM('Hybrid Questions'!$A$39),1))-64)*676+(CODE(MID(TRIM('Hybrid Questions'!$A$39),2,1))-64)*26+(CODE(RIGHT(TRIM('Hybrid Questions'!$A$39),1))-64))),0)&lt;0.2),"Column '"&amp;'Hybrid Questions'!$A$39&amp;"' has very few different answers (≤20% are unique), which looks more like multiple choice than free text.","")</f>
        <v>0</v>
      </c>
      <c r="F2495" s="4" t="s">
        <v>1815</v>
      </c>
    </row>
    <row r="2496" spans="1:6" ht="75" customHeight="1">
      <c r="A2496" t="s">
        <v>271</v>
      </c>
      <c r="B2496" t="s">
        <v>204</v>
      </c>
      <c r="C2496" t="s">
        <v>1813</v>
      </c>
      <c r="D2496" t="s">
        <v>1808</v>
      </c>
      <c r="E2496" s="4">
        <f>IF(AND('Hybrid Questions'!$A$40&lt;&gt;"",IFERROR(INDEX(_helpers!$2:$2,1,CHOOSE(LEN(TRIM('Hybrid Questions'!$A$40)),CODE(TRIM('Hybrid Questions'!$A$40))-64,(CODE(LEFT(TRIM('Hybrid Questions'!$A$40),1))-64)*26+(CODE(RIGHT(TRIM('Hybrid Questions'!$A$40),1))-64),(CODE(LEFT(TRIM('Hybrid Questions'!$A$40),1))-64)*676+(CODE(MID(TRIM('Hybrid Questions'!$A$40),2,1))-64)*26+(CODE(RIGHT(TRIM('Hybrid Questions'!$A$40),1))-64))),0)&gt;0,IFERROR(INDEX(_helpers!$1:$1,1,CHOOSE(LEN(TRIM('Hybrid Questions'!$A$40)),CODE(TRIM('Hybrid Questions'!$A$40))-64,(CODE(LEFT(TRIM('Hybrid Questions'!$A$40),1))-64)*26+(CODE(RIGHT(TRIM('Hybrid Questions'!$A$40),1))-64),(CODE(LEFT(TRIM('Hybrid Questions'!$A$40),1))-64)*676+(CODE(MID(TRIM('Hybrid Questions'!$A$40),2,1))-64)*26+(CODE(RIGHT(TRIM('Hybrid Questions'!$A$40),1))-64))),0)&lt;0.2),"Column '"&amp;'Hybrid Questions'!$A$40&amp;"' has very few different answers (≤20% are unique), which looks more like multiple choice than free text.","")</f>
        <v>0</v>
      </c>
      <c r="F2496" s="4" t="s">
        <v>1815</v>
      </c>
    </row>
    <row r="2497" spans="1:6" ht="75" customHeight="1">
      <c r="A2497" t="s">
        <v>271</v>
      </c>
      <c r="B2497" t="s">
        <v>205</v>
      </c>
      <c r="C2497" t="s">
        <v>1813</v>
      </c>
      <c r="D2497" t="s">
        <v>1808</v>
      </c>
      <c r="E2497" s="4">
        <f>IF(AND('Hybrid Questions'!$A$41&lt;&gt;"",IFERROR(INDEX(_helpers!$2:$2,1,CHOOSE(LEN(TRIM('Hybrid Questions'!$A$41)),CODE(TRIM('Hybrid Questions'!$A$41))-64,(CODE(LEFT(TRIM('Hybrid Questions'!$A$41),1))-64)*26+(CODE(RIGHT(TRIM('Hybrid Questions'!$A$41),1))-64),(CODE(LEFT(TRIM('Hybrid Questions'!$A$41),1))-64)*676+(CODE(MID(TRIM('Hybrid Questions'!$A$41),2,1))-64)*26+(CODE(RIGHT(TRIM('Hybrid Questions'!$A$41),1))-64))),0)&gt;0,IFERROR(INDEX(_helpers!$1:$1,1,CHOOSE(LEN(TRIM('Hybrid Questions'!$A$41)),CODE(TRIM('Hybrid Questions'!$A$41))-64,(CODE(LEFT(TRIM('Hybrid Questions'!$A$41),1))-64)*26+(CODE(RIGHT(TRIM('Hybrid Questions'!$A$41),1))-64),(CODE(LEFT(TRIM('Hybrid Questions'!$A$41),1))-64)*676+(CODE(MID(TRIM('Hybrid Questions'!$A$41),2,1))-64)*26+(CODE(RIGHT(TRIM('Hybrid Questions'!$A$41),1))-64))),0)&lt;0.2),"Column '"&amp;'Hybrid Questions'!$A$41&amp;"' has very few different answers (≤20% are unique), which looks more like multiple choice than free text.","")</f>
        <v>0</v>
      </c>
      <c r="F2497" s="4" t="s">
        <v>1815</v>
      </c>
    </row>
    <row r="2498" spans="1:6" ht="75" customHeight="1">
      <c r="A2498" t="s">
        <v>271</v>
      </c>
      <c r="B2498" t="s">
        <v>206</v>
      </c>
      <c r="C2498" t="s">
        <v>1813</v>
      </c>
      <c r="D2498" t="s">
        <v>1808</v>
      </c>
      <c r="E2498" s="4">
        <f>IF(AND('Hybrid Questions'!$A$42&lt;&gt;"",IFERROR(INDEX(_helpers!$2:$2,1,CHOOSE(LEN(TRIM('Hybrid Questions'!$A$42)),CODE(TRIM('Hybrid Questions'!$A$42))-64,(CODE(LEFT(TRIM('Hybrid Questions'!$A$42),1))-64)*26+(CODE(RIGHT(TRIM('Hybrid Questions'!$A$42),1))-64),(CODE(LEFT(TRIM('Hybrid Questions'!$A$42),1))-64)*676+(CODE(MID(TRIM('Hybrid Questions'!$A$42),2,1))-64)*26+(CODE(RIGHT(TRIM('Hybrid Questions'!$A$42),1))-64))),0)&gt;0,IFERROR(INDEX(_helpers!$1:$1,1,CHOOSE(LEN(TRIM('Hybrid Questions'!$A$42)),CODE(TRIM('Hybrid Questions'!$A$42))-64,(CODE(LEFT(TRIM('Hybrid Questions'!$A$42),1))-64)*26+(CODE(RIGHT(TRIM('Hybrid Questions'!$A$42),1))-64),(CODE(LEFT(TRIM('Hybrid Questions'!$A$42),1))-64)*676+(CODE(MID(TRIM('Hybrid Questions'!$A$42),2,1))-64)*26+(CODE(RIGHT(TRIM('Hybrid Questions'!$A$42),1))-64))),0)&lt;0.2),"Column '"&amp;'Hybrid Questions'!$A$42&amp;"' has very few different answers (≤20% are unique), which looks more like multiple choice than free text.","")</f>
        <v>0</v>
      </c>
      <c r="F2498" s="4" t="s">
        <v>1815</v>
      </c>
    </row>
    <row r="2499" spans="1:6" ht="75" customHeight="1">
      <c r="A2499" t="s">
        <v>271</v>
      </c>
      <c r="B2499" t="s">
        <v>207</v>
      </c>
      <c r="C2499" t="s">
        <v>1813</v>
      </c>
      <c r="D2499" t="s">
        <v>1808</v>
      </c>
      <c r="E2499" s="4">
        <f>IF(AND('Hybrid Questions'!$A$43&lt;&gt;"",IFERROR(INDEX(_helpers!$2:$2,1,CHOOSE(LEN(TRIM('Hybrid Questions'!$A$43)),CODE(TRIM('Hybrid Questions'!$A$43))-64,(CODE(LEFT(TRIM('Hybrid Questions'!$A$43),1))-64)*26+(CODE(RIGHT(TRIM('Hybrid Questions'!$A$43),1))-64),(CODE(LEFT(TRIM('Hybrid Questions'!$A$43),1))-64)*676+(CODE(MID(TRIM('Hybrid Questions'!$A$43),2,1))-64)*26+(CODE(RIGHT(TRIM('Hybrid Questions'!$A$43),1))-64))),0)&gt;0,IFERROR(INDEX(_helpers!$1:$1,1,CHOOSE(LEN(TRIM('Hybrid Questions'!$A$43)),CODE(TRIM('Hybrid Questions'!$A$43))-64,(CODE(LEFT(TRIM('Hybrid Questions'!$A$43),1))-64)*26+(CODE(RIGHT(TRIM('Hybrid Questions'!$A$43),1))-64),(CODE(LEFT(TRIM('Hybrid Questions'!$A$43),1))-64)*676+(CODE(MID(TRIM('Hybrid Questions'!$A$43),2,1))-64)*26+(CODE(RIGHT(TRIM('Hybrid Questions'!$A$43),1))-64))),0)&lt;0.2),"Column '"&amp;'Hybrid Questions'!$A$43&amp;"' has very few different answers (≤20% are unique), which looks more like multiple choice than free text.","")</f>
        <v>0</v>
      </c>
      <c r="F2499" s="4" t="s">
        <v>1815</v>
      </c>
    </row>
    <row r="2500" spans="1:6" ht="75" customHeight="1">
      <c r="A2500" t="s">
        <v>271</v>
      </c>
      <c r="B2500" t="s">
        <v>208</v>
      </c>
      <c r="C2500" t="s">
        <v>1813</v>
      </c>
      <c r="D2500" t="s">
        <v>1808</v>
      </c>
      <c r="E2500" s="4">
        <f>IF(AND('Hybrid Questions'!$A$44&lt;&gt;"",IFERROR(INDEX(_helpers!$2:$2,1,CHOOSE(LEN(TRIM('Hybrid Questions'!$A$44)),CODE(TRIM('Hybrid Questions'!$A$44))-64,(CODE(LEFT(TRIM('Hybrid Questions'!$A$44),1))-64)*26+(CODE(RIGHT(TRIM('Hybrid Questions'!$A$44),1))-64),(CODE(LEFT(TRIM('Hybrid Questions'!$A$44),1))-64)*676+(CODE(MID(TRIM('Hybrid Questions'!$A$44),2,1))-64)*26+(CODE(RIGHT(TRIM('Hybrid Questions'!$A$44),1))-64))),0)&gt;0,IFERROR(INDEX(_helpers!$1:$1,1,CHOOSE(LEN(TRIM('Hybrid Questions'!$A$44)),CODE(TRIM('Hybrid Questions'!$A$44))-64,(CODE(LEFT(TRIM('Hybrid Questions'!$A$44),1))-64)*26+(CODE(RIGHT(TRIM('Hybrid Questions'!$A$44),1))-64),(CODE(LEFT(TRIM('Hybrid Questions'!$A$44),1))-64)*676+(CODE(MID(TRIM('Hybrid Questions'!$A$44),2,1))-64)*26+(CODE(RIGHT(TRIM('Hybrid Questions'!$A$44),1))-64))),0)&lt;0.2),"Column '"&amp;'Hybrid Questions'!$A$44&amp;"' has very few different answers (≤20% are unique), which looks more like multiple choice than free text.","")</f>
        <v>0</v>
      </c>
      <c r="F2500" s="4" t="s">
        <v>1815</v>
      </c>
    </row>
    <row r="2501" spans="1:6" ht="75" customHeight="1">
      <c r="A2501" t="s">
        <v>271</v>
      </c>
      <c r="B2501" t="s">
        <v>209</v>
      </c>
      <c r="C2501" t="s">
        <v>1813</v>
      </c>
      <c r="D2501" t="s">
        <v>1808</v>
      </c>
      <c r="E2501" s="4">
        <f>IF(AND('Hybrid Questions'!$A$45&lt;&gt;"",IFERROR(INDEX(_helpers!$2:$2,1,CHOOSE(LEN(TRIM('Hybrid Questions'!$A$45)),CODE(TRIM('Hybrid Questions'!$A$45))-64,(CODE(LEFT(TRIM('Hybrid Questions'!$A$45),1))-64)*26+(CODE(RIGHT(TRIM('Hybrid Questions'!$A$45),1))-64),(CODE(LEFT(TRIM('Hybrid Questions'!$A$45),1))-64)*676+(CODE(MID(TRIM('Hybrid Questions'!$A$45),2,1))-64)*26+(CODE(RIGHT(TRIM('Hybrid Questions'!$A$45),1))-64))),0)&gt;0,IFERROR(INDEX(_helpers!$1:$1,1,CHOOSE(LEN(TRIM('Hybrid Questions'!$A$45)),CODE(TRIM('Hybrid Questions'!$A$45))-64,(CODE(LEFT(TRIM('Hybrid Questions'!$A$45),1))-64)*26+(CODE(RIGHT(TRIM('Hybrid Questions'!$A$45),1))-64),(CODE(LEFT(TRIM('Hybrid Questions'!$A$45),1))-64)*676+(CODE(MID(TRIM('Hybrid Questions'!$A$45),2,1))-64)*26+(CODE(RIGHT(TRIM('Hybrid Questions'!$A$45),1))-64))),0)&lt;0.2),"Column '"&amp;'Hybrid Questions'!$A$45&amp;"' has very few different answers (≤20% are unique), which looks more like multiple choice than free text.","")</f>
        <v>0</v>
      </c>
      <c r="F2501" s="4" t="s">
        <v>1815</v>
      </c>
    </row>
    <row r="2502" spans="1:6" ht="75" customHeight="1">
      <c r="A2502" t="s">
        <v>271</v>
      </c>
      <c r="B2502" t="s">
        <v>210</v>
      </c>
      <c r="C2502" t="s">
        <v>1813</v>
      </c>
      <c r="D2502" t="s">
        <v>1808</v>
      </c>
      <c r="E2502" s="4">
        <f>IF(AND('Hybrid Questions'!$A$46&lt;&gt;"",IFERROR(INDEX(_helpers!$2:$2,1,CHOOSE(LEN(TRIM('Hybrid Questions'!$A$46)),CODE(TRIM('Hybrid Questions'!$A$46))-64,(CODE(LEFT(TRIM('Hybrid Questions'!$A$46),1))-64)*26+(CODE(RIGHT(TRIM('Hybrid Questions'!$A$46),1))-64),(CODE(LEFT(TRIM('Hybrid Questions'!$A$46),1))-64)*676+(CODE(MID(TRIM('Hybrid Questions'!$A$46),2,1))-64)*26+(CODE(RIGHT(TRIM('Hybrid Questions'!$A$46),1))-64))),0)&gt;0,IFERROR(INDEX(_helpers!$1:$1,1,CHOOSE(LEN(TRIM('Hybrid Questions'!$A$46)),CODE(TRIM('Hybrid Questions'!$A$46))-64,(CODE(LEFT(TRIM('Hybrid Questions'!$A$46),1))-64)*26+(CODE(RIGHT(TRIM('Hybrid Questions'!$A$46),1))-64),(CODE(LEFT(TRIM('Hybrid Questions'!$A$46),1))-64)*676+(CODE(MID(TRIM('Hybrid Questions'!$A$46),2,1))-64)*26+(CODE(RIGHT(TRIM('Hybrid Questions'!$A$46),1))-64))),0)&lt;0.2),"Column '"&amp;'Hybrid Questions'!$A$46&amp;"' has very few different answers (≤20% are unique), which looks more like multiple choice than free text.","")</f>
        <v>0</v>
      </c>
      <c r="F2502" s="4" t="s">
        <v>1815</v>
      </c>
    </row>
    <row r="2503" spans="1:6" ht="75" customHeight="1">
      <c r="A2503" t="s">
        <v>271</v>
      </c>
      <c r="B2503" t="s">
        <v>211</v>
      </c>
      <c r="C2503" t="s">
        <v>1813</v>
      </c>
      <c r="D2503" t="s">
        <v>1808</v>
      </c>
      <c r="E2503" s="4">
        <f>IF(AND('Hybrid Questions'!$A$47&lt;&gt;"",IFERROR(INDEX(_helpers!$2:$2,1,CHOOSE(LEN(TRIM('Hybrid Questions'!$A$47)),CODE(TRIM('Hybrid Questions'!$A$47))-64,(CODE(LEFT(TRIM('Hybrid Questions'!$A$47),1))-64)*26+(CODE(RIGHT(TRIM('Hybrid Questions'!$A$47),1))-64),(CODE(LEFT(TRIM('Hybrid Questions'!$A$47),1))-64)*676+(CODE(MID(TRIM('Hybrid Questions'!$A$47),2,1))-64)*26+(CODE(RIGHT(TRIM('Hybrid Questions'!$A$47),1))-64))),0)&gt;0,IFERROR(INDEX(_helpers!$1:$1,1,CHOOSE(LEN(TRIM('Hybrid Questions'!$A$47)),CODE(TRIM('Hybrid Questions'!$A$47))-64,(CODE(LEFT(TRIM('Hybrid Questions'!$A$47),1))-64)*26+(CODE(RIGHT(TRIM('Hybrid Questions'!$A$47),1))-64),(CODE(LEFT(TRIM('Hybrid Questions'!$A$47),1))-64)*676+(CODE(MID(TRIM('Hybrid Questions'!$A$47),2,1))-64)*26+(CODE(RIGHT(TRIM('Hybrid Questions'!$A$47),1))-64))),0)&lt;0.2),"Column '"&amp;'Hybrid Questions'!$A$47&amp;"' has very few different answers (≤20% are unique), which looks more like multiple choice than free text.","")</f>
        <v>0</v>
      </c>
      <c r="F2503" s="4" t="s">
        <v>1815</v>
      </c>
    </row>
    <row r="2504" spans="1:6" ht="75" customHeight="1">
      <c r="A2504" t="s">
        <v>271</v>
      </c>
      <c r="B2504" t="s">
        <v>212</v>
      </c>
      <c r="C2504" t="s">
        <v>1813</v>
      </c>
      <c r="D2504" t="s">
        <v>1808</v>
      </c>
      <c r="E2504" s="4">
        <f>IF(AND('Hybrid Questions'!$A$48&lt;&gt;"",IFERROR(INDEX(_helpers!$2:$2,1,CHOOSE(LEN(TRIM('Hybrid Questions'!$A$48)),CODE(TRIM('Hybrid Questions'!$A$48))-64,(CODE(LEFT(TRIM('Hybrid Questions'!$A$48),1))-64)*26+(CODE(RIGHT(TRIM('Hybrid Questions'!$A$48),1))-64),(CODE(LEFT(TRIM('Hybrid Questions'!$A$48),1))-64)*676+(CODE(MID(TRIM('Hybrid Questions'!$A$48),2,1))-64)*26+(CODE(RIGHT(TRIM('Hybrid Questions'!$A$48),1))-64))),0)&gt;0,IFERROR(INDEX(_helpers!$1:$1,1,CHOOSE(LEN(TRIM('Hybrid Questions'!$A$48)),CODE(TRIM('Hybrid Questions'!$A$48))-64,(CODE(LEFT(TRIM('Hybrid Questions'!$A$48),1))-64)*26+(CODE(RIGHT(TRIM('Hybrid Questions'!$A$48),1))-64),(CODE(LEFT(TRIM('Hybrid Questions'!$A$48),1))-64)*676+(CODE(MID(TRIM('Hybrid Questions'!$A$48),2,1))-64)*26+(CODE(RIGHT(TRIM('Hybrid Questions'!$A$48),1))-64))),0)&lt;0.2),"Column '"&amp;'Hybrid Questions'!$A$48&amp;"' has very few different answers (≤20% are unique), which looks more like multiple choice than free text.","")</f>
        <v>0</v>
      </c>
      <c r="F2504" s="4" t="s">
        <v>1815</v>
      </c>
    </row>
    <row r="2505" spans="1:6" ht="75" customHeight="1">
      <c r="A2505" t="s">
        <v>271</v>
      </c>
      <c r="B2505" t="s">
        <v>213</v>
      </c>
      <c r="C2505" t="s">
        <v>1813</v>
      </c>
      <c r="D2505" t="s">
        <v>1808</v>
      </c>
      <c r="E2505" s="4">
        <f>IF(AND('Hybrid Questions'!$A$49&lt;&gt;"",IFERROR(INDEX(_helpers!$2:$2,1,CHOOSE(LEN(TRIM('Hybrid Questions'!$A$49)),CODE(TRIM('Hybrid Questions'!$A$49))-64,(CODE(LEFT(TRIM('Hybrid Questions'!$A$49),1))-64)*26+(CODE(RIGHT(TRIM('Hybrid Questions'!$A$49),1))-64),(CODE(LEFT(TRIM('Hybrid Questions'!$A$49),1))-64)*676+(CODE(MID(TRIM('Hybrid Questions'!$A$49),2,1))-64)*26+(CODE(RIGHT(TRIM('Hybrid Questions'!$A$49),1))-64))),0)&gt;0,IFERROR(INDEX(_helpers!$1:$1,1,CHOOSE(LEN(TRIM('Hybrid Questions'!$A$49)),CODE(TRIM('Hybrid Questions'!$A$49))-64,(CODE(LEFT(TRIM('Hybrid Questions'!$A$49),1))-64)*26+(CODE(RIGHT(TRIM('Hybrid Questions'!$A$49),1))-64),(CODE(LEFT(TRIM('Hybrid Questions'!$A$49),1))-64)*676+(CODE(MID(TRIM('Hybrid Questions'!$A$49),2,1))-64)*26+(CODE(RIGHT(TRIM('Hybrid Questions'!$A$49),1))-64))),0)&lt;0.2),"Column '"&amp;'Hybrid Questions'!$A$49&amp;"' has very few different answers (≤20% are unique), which looks more like multiple choice than free text.","")</f>
        <v>0</v>
      </c>
      <c r="F2505" s="4" t="s">
        <v>1815</v>
      </c>
    </row>
    <row r="2506" spans="1:6" ht="75" customHeight="1">
      <c r="A2506" t="s">
        <v>271</v>
      </c>
      <c r="B2506" t="s">
        <v>214</v>
      </c>
      <c r="C2506" t="s">
        <v>1813</v>
      </c>
      <c r="D2506" t="s">
        <v>1808</v>
      </c>
      <c r="E2506" s="4">
        <f>IF(AND('Hybrid Questions'!$A$50&lt;&gt;"",IFERROR(INDEX(_helpers!$2:$2,1,CHOOSE(LEN(TRIM('Hybrid Questions'!$A$50)),CODE(TRIM('Hybrid Questions'!$A$50))-64,(CODE(LEFT(TRIM('Hybrid Questions'!$A$50),1))-64)*26+(CODE(RIGHT(TRIM('Hybrid Questions'!$A$50),1))-64),(CODE(LEFT(TRIM('Hybrid Questions'!$A$50),1))-64)*676+(CODE(MID(TRIM('Hybrid Questions'!$A$50),2,1))-64)*26+(CODE(RIGHT(TRIM('Hybrid Questions'!$A$50),1))-64))),0)&gt;0,IFERROR(INDEX(_helpers!$1:$1,1,CHOOSE(LEN(TRIM('Hybrid Questions'!$A$50)),CODE(TRIM('Hybrid Questions'!$A$50))-64,(CODE(LEFT(TRIM('Hybrid Questions'!$A$50),1))-64)*26+(CODE(RIGHT(TRIM('Hybrid Questions'!$A$50),1))-64),(CODE(LEFT(TRIM('Hybrid Questions'!$A$50),1))-64)*676+(CODE(MID(TRIM('Hybrid Questions'!$A$50),2,1))-64)*26+(CODE(RIGHT(TRIM('Hybrid Questions'!$A$50),1))-64))),0)&lt;0.2),"Column '"&amp;'Hybrid Questions'!$A$50&amp;"' has very few different answers (≤20% are unique), which looks more like multiple choice than free text.","")</f>
        <v>0</v>
      </c>
      <c r="F2506" s="4" t="s">
        <v>1815</v>
      </c>
    </row>
    <row r="2507" spans="1:6" ht="75" customHeight="1">
      <c r="A2507" t="s">
        <v>271</v>
      </c>
      <c r="B2507" t="s">
        <v>215</v>
      </c>
      <c r="C2507" t="s">
        <v>1813</v>
      </c>
      <c r="D2507" t="s">
        <v>1808</v>
      </c>
      <c r="E2507" s="4">
        <f>IF(AND('Hybrid Questions'!$A$51&lt;&gt;"",IFERROR(INDEX(_helpers!$2:$2,1,CHOOSE(LEN(TRIM('Hybrid Questions'!$A$51)),CODE(TRIM('Hybrid Questions'!$A$51))-64,(CODE(LEFT(TRIM('Hybrid Questions'!$A$51),1))-64)*26+(CODE(RIGHT(TRIM('Hybrid Questions'!$A$51),1))-64),(CODE(LEFT(TRIM('Hybrid Questions'!$A$51),1))-64)*676+(CODE(MID(TRIM('Hybrid Questions'!$A$51),2,1))-64)*26+(CODE(RIGHT(TRIM('Hybrid Questions'!$A$51),1))-64))),0)&gt;0,IFERROR(INDEX(_helpers!$1:$1,1,CHOOSE(LEN(TRIM('Hybrid Questions'!$A$51)),CODE(TRIM('Hybrid Questions'!$A$51))-64,(CODE(LEFT(TRIM('Hybrid Questions'!$A$51),1))-64)*26+(CODE(RIGHT(TRIM('Hybrid Questions'!$A$51),1))-64),(CODE(LEFT(TRIM('Hybrid Questions'!$A$51),1))-64)*676+(CODE(MID(TRIM('Hybrid Questions'!$A$51),2,1))-64)*26+(CODE(RIGHT(TRIM('Hybrid Questions'!$A$51),1))-64))),0)&lt;0.2),"Column '"&amp;'Hybrid Questions'!$A$51&amp;"' has very few different answers (≤20% are unique), which looks more like multiple choice than free text.","")</f>
        <v>0</v>
      </c>
      <c r="F2507" s="4" t="s">
        <v>1815</v>
      </c>
    </row>
    <row r="2508" spans="1:6" ht="75" customHeight="1">
      <c r="A2508" t="s">
        <v>334</v>
      </c>
      <c r="B2508" t="s">
        <v>335</v>
      </c>
      <c r="C2508" t="s">
        <v>1816</v>
      </c>
      <c r="D2508" t="s">
        <v>1808</v>
      </c>
      <c r="E2508" s="4">
        <f>IF(AND(Responses!$A$1&lt;&gt;"",ISERROR(SEARCH("response id",LOWER(Responses!$A$1))),(COUNTIF('Open Questions'!$A$2:$A$1001,"A")+COUNTIF('Multiple Choice Questions'!$A$2:$A$1001,"A")+COUNTIF('Hybrid Questions'!$A$2:$A$1001,"A")+COUNTIF('Hybrid Questions'!$D$2:$D$1001,"A")+COUNTIF('Demographics'!$A$2:$A$1001,"A"))=0),"Responses column A ("""&amp;Responses!$A$1&amp;""") has data, but no question or demographic is set up to use it — so it won't appear in your results.","")</f>
        <v>0</v>
      </c>
      <c r="F2508" s="4" t="s">
        <v>1817</v>
      </c>
    </row>
    <row r="2509" spans="1:6" ht="75" customHeight="1">
      <c r="A2509" t="s">
        <v>334</v>
      </c>
      <c r="B2509" t="s">
        <v>338</v>
      </c>
      <c r="C2509" t="s">
        <v>1816</v>
      </c>
      <c r="D2509" t="s">
        <v>1808</v>
      </c>
      <c r="E2509" s="4">
        <f>IF(AND(Responses!$B$1&lt;&gt;"",ISERROR(SEARCH("response id",LOWER(Responses!$B$1))),(COUNTIF('Open Questions'!$A$2:$A$1001,"B")+COUNTIF('Multiple Choice Questions'!$A$2:$A$1001,"B")+COUNTIF('Hybrid Questions'!$A$2:$A$1001,"B")+COUNTIF('Hybrid Questions'!$D$2:$D$1001,"B")+COUNTIF('Demographics'!$A$2:$A$1001,"B"))=0),"Responses column B ("""&amp;Responses!$B$1&amp;""") has data, but no question or demographic is set up to use it — so it won't appear in your results.","")</f>
        <v>0</v>
      </c>
      <c r="F2509" s="4" t="s">
        <v>1818</v>
      </c>
    </row>
    <row r="2510" spans="1:6" ht="75" customHeight="1">
      <c r="A2510" t="s">
        <v>334</v>
      </c>
      <c r="B2510" t="s">
        <v>340</v>
      </c>
      <c r="C2510" t="s">
        <v>1816</v>
      </c>
      <c r="D2510" t="s">
        <v>1808</v>
      </c>
      <c r="E2510" s="4">
        <f>IF(AND(Responses!$C$1&lt;&gt;"",ISERROR(SEARCH("response id",LOWER(Responses!$C$1))),(COUNTIF('Open Questions'!$A$2:$A$1001,"C")+COUNTIF('Multiple Choice Questions'!$A$2:$A$1001,"C")+COUNTIF('Hybrid Questions'!$A$2:$A$1001,"C")+COUNTIF('Hybrid Questions'!$D$2:$D$1001,"C")+COUNTIF('Demographics'!$A$2:$A$1001,"C"))=0),"Responses column C ("""&amp;Responses!$C$1&amp;""") has data, but no question or demographic is set up to use it — so it won't appear in your results.","")</f>
        <v>0</v>
      </c>
      <c r="F2510" s="4" t="s">
        <v>1819</v>
      </c>
    </row>
    <row r="2511" spans="1:6" ht="75" customHeight="1">
      <c r="A2511" t="s">
        <v>334</v>
      </c>
      <c r="B2511" t="s">
        <v>342</v>
      </c>
      <c r="C2511" t="s">
        <v>1816</v>
      </c>
      <c r="D2511" t="s">
        <v>1808</v>
      </c>
      <c r="E2511" s="4">
        <f>IF(AND(Responses!$D$1&lt;&gt;"",ISERROR(SEARCH("response id",LOWER(Responses!$D$1))),(COUNTIF('Open Questions'!$A$2:$A$1001,"D")+COUNTIF('Multiple Choice Questions'!$A$2:$A$1001,"D")+COUNTIF('Hybrid Questions'!$A$2:$A$1001,"D")+COUNTIF('Hybrid Questions'!$D$2:$D$1001,"D")+COUNTIF('Demographics'!$A$2:$A$1001,"D"))=0),"Responses column D ("""&amp;Responses!$D$1&amp;""") has data, but no question or demographic is set up to use it — so it won't appear in your results.","")</f>
        <v>0</v>
      </c>
      <c r="F2511" s="4" t="s">
        <v>1820</v>
      </c>
    </row>
    <row r="2512" spans="1:6" ht="75" customHeight="1">
      <c r="A2512" t="s">
        <v>334</v>
      </c>
      <c r="B2512" t="s">
        <v>344</v>
      </c>
      <c r="C2512" t="s">
        <v>1816</v>
      </c>
      <c r="D2512" t="s">
        <v>1808</v>
      </c>
      <c r="E2512" s="4">
        <f>IF(AND(Responses!$E$1&lt;&gt;"",ISERROR(SEARCH("response id",LOWER(Responses!$E$1))),(COUNTIF('Open Questions'!$A$2:$A$1001,"E")+COUNTIF('Multiple Choice Questions'!$A$2:$A$1001,"E")+COUNTIF('Hybrid Questions'!$A$2:$A$1001,"E")+COUNTIF('Hybrid Questions'!$D$2:$D$1001,"E")+COUNTIF('Demographics'!$A$2:$A$1001,"E"))=0),"Responses column E ("""&amp;Responses!$E$1&amp;""") has data, but no question or demographic is set up to use it — so it won't appear in your results.","")</f>
        <v>0</v>
      </c>
      <c r="F2512" s="4" t="s">
        <v>1821</v>
      </c>
    </row>
    <row r="2513" spans="1:6" ht="75" customHeight="1">
      <c r="A2513" t="s">
        <v>334</v>
      </c>
      <c r="B2513" t="s">
        <v>346</v>
      </c>
      <c r="C2513" t="s">
        <v>1816</v>
      </c>
      <c r="D2513" t="s">
        <v>1808</v>
      </c>
      <c r="E2513" s="4">
        <f>IF(AND(Responses!$F$1&lt;&gt;"",ISERROR(SEARCH("response id",LOWER(Responses!$F$1))),(COUNTIF('Open Questions'!$A$2:$A$1001,"F")+COUNTIF('Multiple Choice Questions'!$A$2:$A$1001,"F")+COUNTIF('Hybrid Questions'!$A$2:$A$1001,"F")+COUNTIF('Hybrid Questions'!$D$2:$D$1001,"F")+COUNTIF('Demographics'!$A$2:$A$1001,"F"))=0),"Responses column F ("""&amp;Responses!$F$1&amp;""") has data, but no question or demographic is set up to use it — so it won't appear in your results.","")</f>
        <v>0</v>
      </c>
      <c r="F2513" s="4" t="s">
        <v>1822</v>
      </c>
    </row>
    <row r="2514" spans="1:6" ht="75" customHeight="1">
      <c r="A2514" t="s">
        <v>334</v>
      </c>
      <c r="B2514" t="s">
        <v>348</v>
      </c>
      <c r="C2514" t="s">
        <v>1816</v>
      </c>
      <c r="D2514" t="s">
        <v>1808</v>
      </c>
      <c r="E2514" s="4">
        <f>IF(AND(Responses!$G$1&lt;&gt;"",ISERROR(SEARCH("response id",LOWER(Responses!$G$1))),(COUNTIF('Open Questions'!$A$2:$A$1001,"G")+COUNTIF('Multiple Choice Questions'!$A$2:$A$1001,"G")+COUNTIF('Hybrid Questions'!$A$2:$A$1001,"G")+COUNTIF('Hybrid Questions'!$D$2:$D$1001,"G")+COUNTIF('Demographics'!$A$2:$A$1001,"G"))=0),"Responses column G ("""&amp;Responses!$G$1&amp;""") has data, but no question or demographic is set up to use it — so it won't appear in your results.","")</f>
        <v>0</v>
      </c>
      <c r="F2514" s="4" t="s">
        <v>1823</v>
      </c>
    </row>
    <row r="2515" spans="1:6" ht="75" customHeight="1">
      <c r="A2515" t="s">
        <v>334</v>
      </c>
      <c r="B2515" t="s">
        <v>350</v>
      </c>
      <c r="C2515" t="s">
        <v>1816</v>
      </c>
      <c r="D2515" t="s">
        <v>1808</v>
      </c>
      <c r="E2515" s="4">
        <f>IF(AND(Responses!$H$1&lt;&gt;"",ISERROR(SEARCH("response id",LOWER(Responses!$H$1))),(COUNTIF('Open Questions'!$A$2:$A$1001,"H")+COUNTIF('Multiple Choice Questions'!$A$2:$A$1001,"H")+COUNTIF('Hybrid Questions'!$A$2:$A$1001,"H")+COUNTIF('Hybrid Questions'!$D$2:$D$1001,"H")+COUNTIF('Demographics'!$A$2:$A$1001,"H"))=0),"Responses column H ("""&amp;Responses!$H$1&amp;""") has data, but no question or demographic is set up to use it — so it won't appear in your results.","")</f>
        <v>0</v>
      </c>
      <c r="F2515" s="4" t="s">
        <v>1824</v>
      </c>
    </row>
    <row r="2516" spans="1:6" ht="75" customHeight="1">
      <c r="A2516" t="s">
        <v>334</v>
      </c>
      <c r="B2516" t="s">
        <v>352</v>
      </c>
      <c r="C2516" t="s">
        <v>1816</v>
      </c>
      <c r="D2516" t="s">
        <v>1808</v>
      </c>
      <c r="E2516" s="4">
        <f>IF(AND(Responses!$I$1&lt;&gt;"",ISERROR(SEARCH("response id",LOWER(Responses!$I$1))),(COUNTIF('Open Questions'!$A$2:$A$1001,"I")+COUNTIF('Multiple Choice Questions'!$A$2:$A$1001,"I")+COUNTIF('Hybrid Questions'!$A$2:$A$1001,"I")+COUNTIF('Hybrid Questions'!$D$2:$D$1001,"I")+COUNTIF('Demographics'!$A$2:$A$1001,"I"))=0),"Responses column I ("""&amp;Responses!$I$1&amp;""") has data, but no question or demographic is set up to use it — so it won't appear in your results.","")</f>
        <v>0</v>
      </c>
      <c r="F2516" s="4" t="s">
        <v>1825</v>
      </c>
    </row>
    <row r="2517" spans="1:6" ht="75" customHeight="1">
      <c r="A2517" t="s">
        <v>334</v>
      </c>
      <c r="B2517" t="s">
        <v>354</v>
      </c>
      <c r="C2517" t="s">
        <v>1816</v>
      </c>
      <c r="D2517" t="s">
        <v>1808</v>
      </c>
      <c r="E2517" s="4">
        <f>IF(AND(Responses!$J$1&lt;&gt;"",ISERROR(SEARCH("response id",LOWER(Responses!$J$1))),(COUNTIF('Open Questions'!$A$2:$A$1001,"J")+COUNTIF('Multiple Choice Questions'!$A$2:$A$1001,"J")+COUNTIF('Hybrid Questions'!$A$2:$A$1001,"J")+COUNTIF('Hybrid Questions'!$D$2:$D$1001,"J")+COUNTIF('Demographics'!$A$2:$A$1001,"J"))=0),"Responses column J ("""&amp;Responses!$J$1&amp;""") has data, but no question or demographic is set up to use it — so it won't appear in your results.","")</f>
        <v>0</v>
      </c>
      <c r="F2517" s="4" t="s">
        <v>1826</v>
      </c>
    </row>
    <row r="2518" spans="1:6" ht="75" customHeight="1">
      <c r="A2518" t="s">
        <v>334</v>
      </c>
      <c r="B2518" t="s">
        <v>356</v>
      </c>
      <c r="C2518" t="s">
        <v>1816</v>
      </c>
      <c r="D2518" t="s">
        <v>1808</v>
      </c>
      <c r="E2518" s="4">
        <f>IF(AND(Responses!$K$1&lt;&gt;"",ISERROR(SEARCH("response id",LOWER(Responses!$K$1))),(COUNTIF('Open Questions'!$A$2:$A$1001,"K")+COUNTIF('Multiple Choice Questions'!$A$2:$A$1001,"K")+COUNTIF('Hybrid Questions'!$A$2:$A$1001,"K")+COUNTIF('Hybrid Questions'!$D$2:$D$1001,"K")+COUNTIF('Demographics'!$A$2:$A$1001,"K"))=0),"Responses column K ("""&amp;Responses!$K$1&amp;""") has data, but no question or demographic is set up to use it — so it won't appear in your results.","")</f>
        <v>0</v>
      </c>
      <c r="F2518" s="4" t="s">
        <v>1827</v>
      </c>
    </row>
    <row r="2519" spans="1:6" ht="75" customHeight="1">
      <c r="A2519" t="s">
        <v>334</v>
      </c>
      <c r="B2519" t="s">
        <v>358</v>
      </c>
      <c r="C2519" t="s">
        <v>1816</v>
      </c>
      <c r="D2519" t="s">
        <v>1808</v>
      </c>
      <c r="E2519" s="4">
        <f>IF(AND(Responses!$L$1&lt;&gt;"",ISERROR(SEARCH("response id",LOWER(Responses!$L$1))),(COUNTIF('Open Questions'!$A$2:$A$1001,"L")+COUNTIF('Multiple Choice Questions'!$A$2:$A$1001,"L")+COUNTIF('Hybrid Questions'!$A$2:$A$1001,"L")+COUNTIF('Hybrid Questions'!$D$2:$D$1001,"L")+COUNTIF('Demographics'!$A$2:$A$1001,"L"))=0),"Responses column L ("""&amp;Responses!$L$1&amp;""") has data, but no question or demographic is set up to use it — so it won't appear in your results.","")</f>
        <v>0</v>
      </c>
      <c r="F2519" s="4" t="s">
        <v>1828</v>
      </c>
    </row>
    <row r="2520" spans="1:6" ht="75" customHeight="1">
      <c r="A2520" t="s">
        <v>334</v>
      </c>
      <c r="B2520" t="s">
        <v>360</v>
      </c>
      <c r="C2520" t="s">
        <v>1816</v>
      </c>
      <c r="D2520" t="s">
        <v>1808</v>
      </c>
      <c r="E2520" s="4">
        <f>IF(AND(Responses!$M$1&lt;&gt;"",ISERROR(SEARCH("response id",LOWER(Responses!$M$1))),(COUNTIF('Open Questions'!$A$2:$A$1001,"M")+COUNTIF('Multiple Choice Questions'!$A$2:$A$1001,"M")+COUNTIF('Hybrid Questions'!$A$2:$A$1001,"M")+COUNTIF('Hybrid Questions'!$D$2:$D$1001,"M")+COUNTIF('Demographics'!$A$2:$A$1001,"M"))=0),"Responses column M ("""&amp;Responses!$M$1&amp;""") has data, but no question or demographic is set up to use it — so it won't appear in your results.","")</f>
        <v>0</v>
      </c>
      <c r="F2520" s="4" t="s">
        <v>1829</v>
      </c>
    </row>
    <row r="2521" spans="1:6" ht="75" customHeight="1">
      <c r="A2521" t="s">
        <v>334</v>
      </c>
      <c r="B2521" t="s">
        <v>362</v>
      </c>
      <c r="C2521" t="s">
        <v>1816</v>
      </c>
      <c r="D2521" t="s">
        <v>1808</v>
      </c>
      <c r="E2521" s="4">
        <f>IF(AND(Responses!$N$1&lt;&gt;"",ISERROR(SEARCH("response id",LOWER(Responses!$N$1))),(COUNTIF('Open Questions'!$A$2:$A$1001,"N")+COUNTIF('Multiple Choice Questions'!$A$2:$A$1001,"N")+COUNTIF('Hybrid Questions'!$A$2:$A$1001,"N")+COUNTIF('Hybrid Questions'!$D$2:$D$1001,"N")+COUNTIF('Demographics'!$A$2:$A$1001,"N"))=0),"Responses column N ("""&amp;Responses!$N$1&amp;""") has data, but no question or demographic is set up to use it — so it won't appear in your results.","")</f>
        <v>0</v>
      </c>
      <c r="F2521" s="4" t="s">
        <v>1830</v>
      </c>
    </row>
    <row r="2522" spans="1:6" ht="75" customHeight="1">
      <c r="A2522" t="s">
        <v>334</v>
      </c>
      <c r="B2522" t="s">
        <v>364</v>
      </c>
      <c r="C2522" t="s">
        <v>1816</v>
      </c>
      <c r="D2522" t="s">
        <v>1808</v>
      </c>
      <c r="E2522" s="4">
        <f>IF(AND(Responses!$O$1&lt;&gt;"",ISERROR(SEARCH("response id",LOWER(Responses!$O$1))),(COUNTIF('Open Questions'!$A$2:$A$1001,"O")+COUNTIF('Multiple Choice Questions'!$A$2:$A$1001,"O")+COUNTIF('Hybrid Questions'!$A$2:$A$1001,"O")+COUNTIF('Hybrid Questions'!$D$2:$D$1001,"O")+COUNTIF('Demographics'!$A$2:$A$1001,"O"))=0),"Responses column O ("""&amp;Responses!$O$1&amp;""") has data, but no question or demographic is set up to use it — so it won't appear in your results.","")</f>
        <v>0</v>
      </c>
      <c r="F2522" s="4" t="s">
        <v>1831</v>
      </c>
    </row>
    <row r="2523" spans="1:6" ht="75" customHeight="1">
      <c r="A2523" t="s">
        <v>334</v>
      </c>
      <c r="B2523" t="s">
        <v>366</v>
      </c>
      <c r="C2523" t="s">
        <v>1816</v>
      </c>
      <c r="D2523" t="s">
        <v>1808</v>
      </c>
      <c r="E2523" s="4">
        <f>IF(AND(Responses!$P$1&lt;&gt;"",ISERROR(SEARCH("response id",LOWER(Responses!$P$1))),(COUNTIF('Open Questions'!$A$2:$A$1001,"P")+COUNTIF('Multiple Choice Questions'!$A$2:$A$1001,"P")+COUNTIF('Hybrid Questions'!$A$2:$A$1001,"P")+COUNTIF('Hybrid Questions'!$D$2:$D$1001,"P")+COUNTIF('Demographics'!$A$2:$A$1001,"P"))=0),"Responses column P ("""&amp;Responses!$P$1&amp;""") has data, but no question or demographic is set up to use it — so it won't appear in your results.","")</f>
        <v>0</v>
      </c>
      <c r="F2523" s="4" t="s">
        <v>1832</v>
      </c>
    </row>
    <row r="2524" spans="1:6" ht="75" customHeight="1">
      <c r="A2524" t="s">
        <v>334</v>
      </c>
      <c r="B2524" t="s">
        <v>368</v>
      </c>
      <c r="C2524" t="s">
        <v>1816</v>
      </c>
      <c r="D2524" t="s">
        <v>1808</v>
      </c>
      <c r="E2524" s="4">
        <f>IF(AND(Responses!$Q$1&lt;&gt;"",ISERROR(SEARCH("response id",LOWER(Responses!$Q$1))),(COUNTIF('Open Questions'!$A$2:$A$1001,"Q")+COUNTIF('Multiple Choice Questions'!$A$2:$A$1001,"Q")+COUNTIF('Hybrid Questions'!$A$2:$A$1001,"Q")+COUNTIF('Hybrid Questions'!$D$2:$D$1001,"Q")+COUNTIF('Demographics'!$A$2:$A$1001,"Q"))=0),"Responses column Q ("""&amp;Responses!$Q$1&amp;""") has data, but no question or demographic is set up to use it — so it won't appear in your results.","")</f>
        <v>0</v>
      </c>
      <c r="F2524" s="4" t="s">
        <v>1833</v>
      </c>
    </row>
    <row r="2525" spans="1:6" ht="75" customHeight="1">
      <c r="A2525" t="s">
        <v>334</v>
      </c>
      <c r="B2525" t="s">
        <v>370</v>
      </c>
      <c r="C2525" t="s">
        <v>1816</v>
      </c>
      <c r="D2525" t="s">
        <v>1808</v>
      </c>
      <c r="E2525" s="4">
        <f>IF(AND(Responses!$R$1&lt;&gt;"",ISERROR(SEARCH("response id",LOWER(Responses!$R$1))),(COUNTIF('Open Questions'!$A$2:$A$1001,"R")+COUNTIF('Multiple Choice Questions'!$A$2:$A$1001,"R")+COUNTIF('Hybrid Questions'!$A$2:$A$1001,"R")+COUNTIF('Hybrid Questions'!$D$2:$D$1001,"R")+COUNTIF('Demographics'!$A$2:$A$1001,"R"))=0),"Responses column R ("""&amp;Responses!$R$1&amp;""") has data, but no question or demographic is set up to use it — so it won't appear in your results.","")</f>
        <v>0</v>
      </c>
      <c r="F2525" s="4" t="s">
        <v>1834</v>
      </c>
    </row>
    <row r="2526" spans="1:6" ht="75" customHeight="1">
      <c r="A2526" t="s">
        <v>334</v>
      </c>
      <c r="B2526" t="s">
        <v>372</v>
      </c>
      <c r="C2526" t="s">
        <v>1816</v>
      </c>
      <c r="D2526" t="s">
        <v>1808</v>
      </c>
      <c r="E2526" s="4">
        <f>IF(AND(Responses!$S$1&lt;&gt;"",ISERROR(SEARCH("response id",LOWER(Responses!$S$1))),(COUNTIF('Open Questions'!$A$2:$A$1001,"S")+COUNTIF('Multiple Choice Questions'!$A$2:$A$1001,"S")+COUNTIF('Hybrid Questions'!$A$2:$A$1001,"S")+COUNTIF('Hybrid Questions'!$D$2:$D$1001,"S")+COUNTIF('Demographics'!$A$2:$A$1001,"S"))=0),"Responses column S ("""&amp;Responses!$S$1&amp;""") has data, but no question or demographic is set up to use it — so it won't appear in your results.","")</f>
        <v>0</v>
      </c>
      <c r="F2526" s="4" t="s">
        <v>1835</v>
      </c>
    </row>
    <row r="2527" spans="1:6" ht="75" customHeight="1">
      <c r="A2527" t="s">
        <v>334</v>
      </c>
      <c r="B2527" t="s">
        <v>374</v>
      </c>
      <c r="C2527" t="s">
        <v>1816</v>
      </c>
      <c r="D2527" t="s">
        <v>1808</v>
      </c>
      <c r="E2527" s="4">
        <f>IF(AND(Responses!$T$1&lt;&gt;"",ISERROR(SEARCH("response id",LOWER(Responses!$T$1))),(COUNTIF('Open Questions'!$A$2:$A$1001,"T")+COUNTIF('Multiple Choice Questions'!$A$2:$A$1001,"T")+COUNTIF('Hybrid Questions'!$A$2:$A$1001,"T")+COUNTIF('Hybrid Questions'!$D$2:$D$1001,"T")+COUNTIF('Demographics'!$A$2:$A$1001,"T"))=0),"Responses column T ("""&amp;Responses!$T$1&amp;""") has data, but no question or demographic is set up to use it — so it won't appear in your results.","")</f>
        <v>0</v>
      </c>
      <c r="F2527" s="4" t="s">
        <v>1836</v>
      </c>
    </row>
    <row r="2528" spans="1:6" ht="75" customHeight="1">
      <c r="A2528" t="s">
        <v>334</v>
      </c>
      <c r="B2528" t="s">
        <v>376</v>
      </c>
      <c r="C2528" t="s">
        <v>1816</v>
      </c>
      <c r="D2528" t="s">
        <v>1808</v>
      </c>
      <c r="E2528" s="4">
        <f>IF(AND(Responses!$U$1&lt;&gt;"",ISERROR(SEARCH("response id",LOWER(Responses!$U$1))),(COUNTIF('Open Questions'!$A$2:$A$1001,"U")+COUNTIF('Multiple Choice Questions'!$A$2:$A$1001,"U")+COUNTIF('Hybrid Questions'!$A$2:$A$1001,"U")+COUNTIF('Hybrid Questions'!$D$2:$D$1001,"U")+COUNTIF('Demographics'!$A$2:$A$1001,"U"))=0),"Responses column U ("""&amp;Responses!$U$1&amp;""") has data, but no question or demographic is set up to use it — so it won't appear in your results.","")</f>
        <v>0</v>
      </c>
      <c r="F2528" s="4" t="s">
        <v>1837</v>
      </c>
    </row>
    <row r="2529" spans="1:6" ht="75" customHeight="1">
      <c r="A2529" t="s">
        <v>334</v>
      </c>
      <c r="B2529" t="s">
        <v>378</v>
      </c>
      <c r="C2529" t="s">
        <v>1816</v>
      </c>
      <c r="D2529" t="s">
        <v>1808</v>
      </c>
      <c r="E2529" s="4">
        <f>IF(AND(Responses!$V$1&lt;&gt;"",ISERROR(SEARCH("response id",LOWER(Responses!$V$1))),(COUNTIF('Open Questions'!$A$2:$A$1001,"V")+COUNTIF('Multiple Choice Questions'!$A$2:$A$1001,"V")+COUNTIF('Hybrid Questions'!$A$2:$A$1001,"V")+COUNTIF('Hybrid Questions'!$D$2:$D$1001,"V")+COUNTIF('Demographics'!$A$2:$A$1001,"V"))=0),"Responses column V ("""&amp;Responses!$V$1&amp;""") has data, but no question or demographic is set up to use it — so it won't appear in your results.","")</f>
        <v>0</v>
      </c>
      <c r="F2529" s="4" t="s">
        <v>1838</v>
      </c>
    </row>
    <row r="2530" spans="1:6" ht="75" customHeight="1">
      <c r="A2530" t="s">
        <v>334</v>
      </c>
      <c r="B2530" t="s">
        <v>380</v>
      </c>
      <c r="C2530" t="s">
        <v>1816</v>
      </c>
      <c r="D2530" t="s">
        <v>1808</v>
      </c>
      <c r="E2530" s="4">
        <f>IF(AND(Responses!$W$1&lt;&gt;"",ISERROR(SEARCH("response id",LOWER(Responses!$W$1))),(COUNTIF('Open Questions'!$A$2:$A$1001,"W")+COUNTIF('Multiple Choice Questions'!$A$2:$A$1001,"W")+COUNTIF('Hybrid Questions'!$A$2:$A$1001,"W")+COUNTIF('Hybrid Questions'!$D$2:$D$1001,"W")+COUNTIF('Demographics'!$A$2:$A$1001,"W"))=0),"Responses column W ("""&amp;Responses!$W$1&amp;""") has data, but no question or demographic is set up to use it — so it won't appear in your results.","")</f>
        <v>0</v>
      </c>
      <c r="F2530" s="4" t="s">
        <v>1839</v>
      </c>
    </row>
    <row r="2531" spans="1:6" ht="75" customHeight="1">
      <c r="A2531" t="s">
        <v>334</v>
      </c>
      <c r="B2531" t="s">
        <v>382</v>
      </c>
      <c r="C2531" t="s">
        <v>1816</v>
      </c>
      <c r="D2531" t="s">
        <v>1808</v>
      </c>
      <c r="E2531" s="4">
        <f>IF(AND(Responses!$X$1&lt;&gt;"",ISERROR(SEARCH("response id",LOWER(Responses!$X$1))),(COUNTIF('Open Questions'!$A$2:$A$1001,"X")+COUNTIF('Multiple Choice Questions'!$A$2:$A$1001,"X")+COUNTIF('Hybrid Questions'!$A$2:$A$1001,"X")+COUNTIF('Hybrid Questions'!$D$2:$D$1001,"X")+COUNTIF('Demographics'!$A$2:$A$1001,"X"))=0),"Responses column X ("""&amp;Responses!$X$1&amp;""") has data, but no question or demographic is set up to use it — so it won't appear in your results.","")</f>
        <v>0</v>
      </c>
      <c r="F2531" s="4" t="s">
        <v>1840</v>
      </c>
    </row>
    <row r="2532" spans="1:6" ht="75" customHeight="1">
      <c r="A2532" t="s">
        <v>334</v>
      </c>
      <c r="B2532" t="s">
        <v>384</v>
      </c>
      <c r="C2532" t="s">
        <v>1816</v>
      </c>
      <c r="D2532" t="s">
        <v>1808</v>
      </c>
      <c r="E2532" s="4">
        <f>IF(AND(Responses!$Y$1&lt;&gt;"",ISERROR(SEARCH("response id",LOWER(Responses!$Y$1))),(COUNTIF('Open Questions'!$A$2:$A$1001,"Y")+COUNTIF('Multiple Choice Questions'!$A$2:$A$1001,"Y")+COUNTIF('Hybrid Questions'!$A$2:$A$1001,"Y")+COUNTIF('Hybrid Questions'!$D$2:$D$1001,"Y")+COUNTIF('Demographics'!$A$2:$A$1001,"Y"))=0),"Responses column Y ("""&amp;Responses!$Y$1&amp;""") has data, but no question or demographic is set up to use it — so it won't appear in your results.","")</f>
        <v>0</v>
      </c>
      <c r="F2532" s="4" t="s">
        <v>1841</v>
      </c>
    </row>
    <row r="2533" spans="1:6" ht="75" customHeight="1">
      <c r="A2533" t="s">
        <v>334</v>
      </c>
      <c r="B2533" t="s">
        <v>386</v>
      </c>
      <c r="C2533" t="s">
        <v>1816</v>
      </c>
      <c r="D2533" t="s">
        <v>1808</v>
      </c>
      <c r="E2533" s="4">
        <f>IF(AND(Responses!$Z$1&lt;&gt;"",ISERROR(SEARCH("response id",LOWER(Responses!$Z$1))),(COUNTIF('Open Questions'!$A$2:$A$1001,"Z")+COUNTIF('Multiple Choice Questions'!$A$2:$A$1001,"Z")+COUNTIF('Hybrid Questions'!$A$2:$A$1001,"Z")+COUNTIF('Hybrid Questions'!$D$2:$D$1001,"Z")+COUNTIF('Demographics'!$A$2:$A$1001,"Z"))=0),"Responses column Z ("""&amp;Responses!$Z$1&amp;""") has data, but no question or demographic is set up to use it — so it won't appear in your results.","")</f>
        <v>0</v>
      </c>
      <c r="F2533" s="4" t="s">
        <v>1842</v>
      </c>
    </row>
    <row r="2534" spans="1:6" ht="75" customHeight="1">
      <c r="A2534" t="s">
        <v>334</v>
      </c>
      <c r="B2534" t="s">
        <v>388</v>
      </c>
      <c r="C2534" t="s">
        <v>1816</v>
      </c>
      <c r="D2534" t="s">
        <v>1808</v>
      </c>
      <c r="E2534" s="4">
        <f>IF(AND(Responses!$AA$1&lt;&gt;"",ISERROR(SEARCH("response id",LOWER(Responses!$AA$1))),(COUNTIF('Open Questions'!$A$2:$A$1001,"AA")+COUNTIF('Multiple Choice Questions'!$A$2:$A$1001,"AA")+COUNTIF('Hybrid Questions'!$A$2:$A$1001,"AA")+COUNTIF('Hybrid Questions'!$D$2:$D$1001,"AA")+COUNTIF('Demographics'!$A$2:$A$1001,"AA"))=0),"Responses column AA ("""&amp;Responses!$AA$1&amp;""") has data, but no question or demographic is set up to use it — so it won't appear in your results.","")</f>
        <v>0</v>
      </c>
      <c r="F2534" s="4" t="s">
        <v>1843</v>
      </c>
    </row>
    <row r="2535" spans="1:6" ht="75" customHeight="1">
      <c r="A2535" t="s">
        <v>334</v>
      </c>
      <c r="B2535" t="s">
        <v>390</v>
      </c>
      <c r="C2535" t="s">
        <v>1816</v>
      </c>
      <c r="D2535" t="s">
        <v>1808</v>
      </c>
      <c r="E2535" s="4">
        <f>IF(AND(Responses!$AB$1&lt;&gt;"",ISERROR(SEARCH("response id",LOWER(Responses!$AB$1))),(COUNTIF('Open Questions'!$A$2:$A$1001,"AB")+COUNTIF('Multiple Choice Questions'!$A$2:$A$1001,"AB")+COUNTIF('Hybrid Questions'!$A$2:$A$1001,"AB")+COUNTIF('Hybrid Questions'!$D$2:$D$1001,"AB")+COUNTIF('Demographics'!$A$2:$A$1001,"AB"))=0),"Responses column AB ("""&amp;Responses!$AB$1&amp;""") has data, but no question or demographic is set up to use it — so it won't appear in your results.","")</f>
        <v>0</v>
      </c>
      <c r="F2535" s="4" t="s">
        <v>1844</v>
      </c>
    </row>
    <row r="2536" spans="1:6" ht="75" customHeight="1">
      <c r="A2536" t="s">
        <v>334</v>
      </c>
      <c r="B2536" t="s">
        <v>392</v>
      </c>
      <c r="C2536" t="s">
        <v>1816</v>
      </c>
      <c r="D2536" t="s">
        <v>1808</v>
      </c>
      <c r="E2536" s="4">
        <f>IF(AND(Responses!$AC$1&lt;&gt;"",ISERROR(SEARCH("response id",LOWER(Responses!$AC$1))),(COUNTIF('Open Questions'!$A$2:$A$1001,"AC")+COUNTIF('Multiple Choice Questions'!$A$2:$A$1001,"AC")+COUNTIF('Hybrid Questions'!$A$2:$A$1001,"AC")+COUNTIF('Hybrid Questions'!$D$2:$D$1001,"AC")+COUNTIF('Demographics'!$A$2:$A$1001,"AC"))=0),"Responses column AC ("""&amp;Responses!$AC$1&amp;""") has data, but no question or demographic is set up to use it — so it won't appear in your results.","")</f>
        <v>0</v>
      </c>
      <c r="F2536" s="4" t="s">
        <v>1845</v>
      </c>
    </row>
    <row r="2537" spans="1:6" ht="75" customHeight="1">
      <c r="A2537" t="s">
        <v>334</v>
      </c>
      <c r="B2537" t="s">
        <v>394</v>
      </c>
      <c r="C2537" t="s">
        <v>1816</v>
      </c>
      <c r="D2537" t="s">
        <v>1808</v>
      </c>
      <c r="E2537" s="4">
        <f>IF(AND(Responses!$AD$1&lt;&gt;"",ISERROR(SEARCH("response id",LOWER(Responses!$AD$1))),(COUNTIF('Open Questions'!$A$2:$A$1001,"AD")+COUNTIF('Multiple Choice Questions'!$A$2:$A$1001,"AD")+COUNTIF('Hybrid Questions'!$A$2:$A$1001,"AD")+COUNTIF('Hybrid Questions'!$D$2:$D$1001,"AD")+COUNTIF('Demographics'!$A$2:$A$1001,"AD"))=0),"Responses column AD ("""&amp;Responses!$AD$1&amp;""") has data, but no question or demographic is set up to use it — so it won't appear in your results.","")</f>
        <v>0</v>
      </c>
      <c r="F2537" s="4" t="s">
        <v>1846</v>
      </c>
    </row>
    <row r="2538" spans="1:6" ht="75" customHeight="1">
      <c r="A2538" t="s">
        <v>334</v>
      </c>
      <c r="B2538" t="s">
        <v>396</v>
      </c>
      <c r="C2538" t="s">
        <v>1816</v>
      </c>
      <c r="D2538" t="s">
        <v>1808</v>
      </c>
      <c r="E2538" s="4">
        <f>IF(AND(Responses!$AE$1&lt;&gt;"",ISERROR(SEARCH("response id",LOWER(Responses!$AE$1))),(COUNTIF('Open Questions'!$A$2:$A$1001,"AE")+COUNTIF('Multiple Choice Questions'!$A$2:$A$1001,"AE")+COUNTIF('Hybrid Questions'!$A$2:$A$1001,"AE")+COUNTIF('Hybrid Questions'!$D$2:$D$1001,"AE")+COUNTIF('Demographics'!$A$2:$A$1001,"AE"))=0),"Responses column AE ("""&amp;Responses!$AE$1&amp;""") has data, but no question or demographic is set up to use it — so it won't appear in your results.","")</f>
        <v>0</v>
      </c>
      <c r="F2538" s="4" t="s">
        <v>1847</v>
      </c>
    </row>
    <row r="2539" spans="1:6" ht="75" customHeight="1">
      <c r="A2539" t="s">
        <v>334</v>
      </c>
      <c r="B2539" t="s">
        <v>398</v>
      </c>
      <c r="C2539" t="s">
        <v>1816</v>
      </c>
      <c r="D2539" t="s">
        <v>1808</v>
      </c>
      <c r="E2539" s="4">
        <f>IF(AND(Responses!$AF$1&lt;&gt;"",ISERROR(SEARCH("response id",LOWER(Responses!$AF$1))),(COUNTIF('Open Questions'!$A$2:$A$1001,"AF")+COUNTIF('Multiple Choice Questions'!$A$2:$A$1001,"AF")+COUNTIF('Hybrid Questions'!$A$2:$A$1001,"AF")+COUNTIF('Hybrid Questions'!$D$2:$D$1001,"AF")+COUNTIF('Demographics'!$A$2:$A$1001,"AF"))=0),"Responses column AF ("""&amp;Responses!$AF$1&amp;""") has data, but no question or demographic is set up to use it — so it won't appear in your results.","")</f>
        <v>0</v>
      </c>
      <c r="F2539" s="4" t="s">
        <v>1848</v>
      </c>
    </row>
    <row r="2540" spans="1:6" ht="75" customHeight="1">
      <c r="A2540" t="s">
        <v>334</v>
      </c>
      <c r="B2540" t="s">
        <v>400</v>
      </c>
      <c r="C2540" t="s">
        <v>1816</v>
      </c>
      <c r="D2540" t="s">
        <v>1808</v>
      </c>
      <c r="E2540" s="4">
        <f>IF(AND(Responses!$AG$1&lt;&gt;"",ISERROR(SEARCH("response id",LOWER(Responses!$AG$1))),(COUNTIF('Open Questions'!$A$2:$A$1001,"AG")+COUNTIF('Multiple Choice Questions'!$A$2:$A$1001,"AG")+COUNTIF('Hybrid Questions'!$A$2:$A$1001,"AG")+COUNTIF('Hybrid Questions'!$D$2:$D$1001,"AG")+COUNTIF('Demographics'!$A$2:$A$1001,"AG"))=0),"Responses column AG ("""&amp;Responses!$AG$1&amp;""") has data, but no question or demographic is set up to use it — so it won't appear in your results.","")</f>
        <v>0</v>
      </c>
      <c r="F2540" s="4" t="s">
        <v>1849</v>
      </c>
    </row>
    <row r="2541" spans="1:6" ht="75" customHeight="1">
      <c r="A2541" t="s">
        <v>334</v>
      </c>
      <c r="B2541" t="s">
        <v>402</v>
      </c>
      <c r="C2541" t="s">
        <v>1816</v>
      </c>
      <c r="D2541" t="s">
        <v>1808</v>
      </c>
      <c r="E2541" s="4">
        <f>IF(AND(Responses!$AH$1&lt;&gt;"",ISERROR(SEARCH("response id",LOWER(Responses!$AH$1))),(COUNTIF('Open Questions'!$A$2:$A$1001,"AH")+COUNTIF('Multiple Choice Questions'!$A$2:$A$1001,"AH")+COUNTIF('Hybrid Questions'!$A$2:$A$1001,"AH")+COUNTIF('Hybrid Questions'!$D$2:$D$1001,"AH")+COUNTIF('Demographics'!$A$2:$A$1001,"AH"))=0),"Responses column AH ("""&amp;Responses!$AH$1&amp;""") has data, but no question or demographic is set up to use it — so it won't appear in your results.","")</f>
        <v>0</v>
      </c>
      <c r="F2541" s="4" t="s">
        <v>1850</v>
      </c>
    </row>
    <row r="2542" spans="1:6" ht="75" customHeight="1">
      <c r="A2542" t="s">
        <v>334</v>
      </c>
      <c r="B2542" t="s">
        <v>404</v>
      </c>
      <c r="C2542" t="s">
        <v>1816</v>
      </c>
      <c r="D2542" t="s">
        <v>1808</v>
      </c>
      <c r="E2542" s="4">
        <f>IF(AND(Responses!$AI$1&lt;&gt;"",ISERROR(SEARCH("response id",LOWER(Responses!$AI$1))),(COUNTIF('Open Questions'!$A$2:$A$1001,"AI")+COUNTIF('Multiple Choice Questions'!$A$2:$A$1001,"AI")+COUNTIF('Hybrid Questions'!$A$2:$A$1001,"AI")+COUNTIF('Hybrid Questions'!$D$2:$D$1001,"AI")+COUNTIF('Demographics'!$A$2:$A$1001,"AI"))=0),"Responses column AI ("""&amp;Responses!$AI$1&amp;""") has data, but no question or demographic is set up to use it — so it won't appear in your results.","")</f>
        <v>0</v>
      </c>
      <c r="F2542" s="4" t="s">
        <v>1851</v>
      </c>
    </row>
    <row r="2543" spans="1:6" ht="75" customHeight="1">
      <c r="A2543" t="s">
        <v>334</v>
      </c>
      <c r="B2543" t="s">
        <v>406</v>
      </c>
      <c r="C2543" t="s">
        <v>1816</v>
      </c>
      <c r="D2543" t="s">
        <v>1808</v>
      </c>
      <c r="E2543" s="4">
        <f>IF(AND(Responses!$AJ$1&lt;&gt;"",ISERROR(SEARCH("response id",LOWER(Responses!$AJ$1))),(COUNTIF('Open Questions'!$A$2:$A$1001,"AJ")+COUNTIF('Multiple Choice Questions'!$A$2:$A$1001,"AJ")+COUNTIF('Hybrid Questions'!$A$2:$A$1001,"AJ")+COUNTIF('Hybrid Questions'!$D$2:$D$1001,"AJ")+COUNTIF('Demographics'!$A$2:$A$1001,"AJ"))=0),"Responses column AJ ("""&amp;Responses!$AJ$1&amp;""") has data, but no question or demographic is set up to use it — so it won't appear in your results.","")</f>
        <v>0</v>
      </c>
      <c r="F2543" s="4" t="s">
        <v>1852</v>
      </c>
    </row>
    <row r="2544" spans="1:6" ht="75" customHeight="1">
      <c r="A2544" t="s">
        <v>334</v>
      </c>
      <c r="B2544" t="s">
        <v>408</v>
      </c>
      <c r="C2544" t="s">
        <v>1816</v>
      </c>
      <c r="D2544" t="s">
        <v>1808</v>
      </c>
      <c r="E2544" s="4">
        <f>IF(AND(Responses!$AK$1&lt;&gt;"",ISERROR(SEARCH("response id",LOWER(Responses!$AK$1))),(COUNTIF('Open Questions'!$A$2:$A$1001,"AK")+COUNTIF('Multiple Choice Questions'!$A$2:$A$1001,"AK")+COUNTIF('Hybrid Questions'!$A$2:$A$1001,"AK")+COUNTIF('Hybrid Questions'!$D$2:$D$1001,"AK")+COUNTIF('Demographics'!$A$2:$A$1001,"AK"))=0),"Responses column AK ("""&amp;Responses!$AK$1&amp;""") has data, but no question or demographic is set up to use it — so it won't appear in your results.","")</f>
        <v>0</v>
      </c>
      <c r="F2544" s="4" t="s">
        <v>1853</v>
      </c>
    </row>
    <row r="2545" spans="1:6" ht="75" customHeight="1">
      <c r="A2545" t="s">
        <v>334</v>
      </c>
      <c r="B2545" t="s">
        <v>410</v>
      </c>
      <c r="C2545" t="s">
        <v>1816</v>
      </c>
      <c r="D2545" t="s">
        <v>1808</v>
      </c>
      <c r="E2545" s="4">
        <f>IF(AND(Responses!$AL$1&lt;&gt;"",ISERROR(SEARCH("response id",LOWER(Responses!$AL$1))),(COUNTIF('Open Questions'!$A$2:$A$1001,"AL")+COUNTIF('Multiple Choice Questions'!$A$2:$A$1001,"AL")+COUNTIF('Hybrid Questions'!$A$2:$A$1001,"AL")+COUNTIF('Hybrid Questions'!$D$2:$D$1001,"AL")+COUNTIF('Demographics'!$A$2:$A$1001,"AL"))=0),"Responses column AL ("""&amp;Responses!$AL$1&amp;""") has data, but no question or demographic is set up to use it — so it won't appear in your results.","")</f>
        <v>0</v>
      </c>
      <c r="F2545" s="4" t="s">
        <v>1854</v>
      </c>
    </row>
    <row r="2546" spans="1:6" ht="75" customHeight="1">
      <c r="A2546" t="s">
        <v>334</v>
      </c>
      <c r="B2546" t="s">
        <v>412</v>
      </c>
      <c r="C2546" t="s">
        <v>1816</v>
      </c>
      <c r="D2546" t="s">
        <v>1808</v>
      </c>
      <c r="E2546" s="4">
        <f>IF(AND(Responses!$AM$1&lt;&gt;"",ISERROR(SEARCH("response id",LOWER(Responses!$AM$1))),(COUNTIF('Open Questions'!$A$2:$A$1001,"AM")+COUNTIF('Multiple Choice Questions'!$A$2:$A$1001,"AM")+COUNTIF('Hybrid Questions'!$A$2:$A$1001,"AM")+COUNTIF('Hybrid Questions'!$D$2:$D$1001,"AM")+COUNTIF('Demographics'!$A$2:$A$1001,"AM"))=0),"Responses column AM ("""&amp;Responses!$AM$1&amp;""") has data, but no question or demographic is set up to use it — so it won't appear in your results.","")</f>
        <v>0</v>
      </c>
      <c r="F2546" s="4" t="s">
        <v>1855</v>
      </c>
    </row>
    <row r="2547" spans="1:6" ht="75" customHeight="1">
      <c r="A2547" t="s">
        <v>334</v>
      </c>
      <c r="B2547" t="s">
        <v>414</v>
      </c>
      <c r="C2547" t="s">
        <v>1816</v>
      </c>
      <c r="D2547" t="s">
        <v>1808</v>
      </c>
      <c r="E2547" s="4">
        <f>IF(AND(Responses!$AN$1&lt;&gt;"",ISERROR(SEARCH("response id",LOWER(Responses!$AN$1))),(COUNTIF('Open Questions'!$A$2:$A$1001,"AN")+COUNTIF('Multiple Choice Questions'!$A$2:$A$1001,"AN")+COUNTIF('Hybrid Questions'!$A$2:$A$1001,"AN")+COUNTIF('Hybrid Questions'!$D$2:$D$1001,"AN")+COUNTIF('Demographics'!$A$2:$A$1001,"AN"))=0),"Responses column AN ("""&amp;Responses!$AN$1&amp;""") has data, but no question or demographic is set up to use it — so it won't appear in your results.","")</f>
        <v>0</v>
      </c>
      <c r="F2547" s="4" t="s">
        <v>1856</v>
      </c>
    </row>
    <row r="2548" spans="1:6" ht="75" customHeight="1">
      <c r="A2548" t="s">
        <v>334</v>
      </c>
      <c r="B2548" t="s">
        <v>416</v>
      </c>
      <c r="C2548" t="s">
        <v>1816</v>
      </c>
      <c r="D2548" t="s">
        <v>1808</v>
      </c>
      <c r="E2548" s="4">
        <f>IF(AND(Responses!$AO$1&lt;&gt;"",ISERROR(SEARCH("response id",LOWER(Responses!$AO$1))),(COUNTIF('Open Questions'!$A$2:$A$1001,"AO")+COUNTIF('Multiple Choice Questions'!$A$2:$A$1001,"AO")+COUNTIF('Hybrid Questions'!$A$2:$A$1001,"AO")+COUNTIF('Hybrid Questions'!$D$2:$D$1001,"AO")+COUNTIF('Demographics'!$A$2:$A$1001,"AO"))=0),"Responses column AO ("""&amp;Responses!$AO$1&amp;""") has data, but no question or demographic is set up to use it — so it won't appear in your results.","")</f>
        <v>0</v>
      </c>
      <c r="F2548" s="4" t="s">
        <v>1857</v>
      </c>
    </row>
    <row r="2549" spans="1:6" ht="75" customHeight="1">
      <c r="A2549" t="s">
        <v>334</v>
      </c>
      <c r="B2549" t="s">
        <v>418</v>
      </c>
      <c r="C2549" t="s">
        <v>1816</v>
      </c>
      <c r="D2549" t="s">
        <v>1808</v>
      </c>
      <c r="E2549" s="4">
        <f>IF(AND(Responses!$AP$1&lt;&gt;"",ISERROR(SEARCH("response id",LOWER(Responses!$AP$1))),(COUNTIF('Open Questions'!$A$2:$A$1001,"AP")+COUNTIF('Multiple Choice Questions'!$A$2:$A$1001,"AP")+COUNTIF('Hybrid Questions'!$A$2:$A$1001,"AP")+COUNTIF('Hybrid Questions'!$D$2:$D$1001,"AP")+COUNTIF('Demographics'!$A$2:$A$1001,"AP"))=0),"Responses column AP ("""&amp;Responses!$AP$1&amp;""") has data, but no question or demographic is set up to use it — so it won't appear in your results.","")</f>
        <v>0</v>
      </c>
      <c r="F2549" s="4" t="s">
        <v>1858</v>
      </c>
    </row>
    <row r="2550" spans="1:6" ht="75" customHeight="1">
      <c r="A2550" t="s">
        <v>334</v>
      </c>
      <c r="B2550" t="s">
        <v>420</v>
      </c>
      <c r="C2550" t="s">
        <v>1816</v>
      </c>
      <c r="D2550" t="s">
        <v>1808</v>
      </c>
      <c r="E2550" s="4">
        <f>IF(AND(Responses!$AQ$1&lt;&gt;"",ISERROR(SEARCH("response id",LOWER(Responses!$AQ$1))),(COUNTIF('Open Questions'!$A$2:$A$1001,"AQ")+COUNTIF('Multiple Choice Questions'!$A$2:$A$1001,"AQ")+COUNTIF('Hybrid Questions'!$A$2:$A$1001,"AQ")+COUNTIF('Hybrid Questions'!$D$2:$D$1001,"AQ")+COUNTIF('Demographics'!$A$2:$A$1001,"AQ"))=0),"Responses column AQ ("""&amp;Responses!$AQ$1&amp;""") has data, but no question or demographic is set up to use it — so it won't appear in your results.","")</f>
        <v>0</v>
      </c>
      <c r="F2550" s="4" t="s">
        <v>1859</v>
      </c>
    </row>
    <row r="2551" spans="1:6" ht="75" customHeight="1">
      <c r="A2551" t="s">
        <v>334</v>
      </c>
      <c r="B2551" t="s">
        <v>422</v>
      </c>
      <c r="C2551" t="s">
        <v>1816</v>
      </c>
      <c r="D2551" t="s">
        <v>1808</v>
      </c>
      <c r="E2551" s="4">
        <f>IF(AND(Responses!$AR$1&lt;&gt;"",ISERROR(SEARCH("response id",LOWER(Responses!$AR$1))),(COUNTIF('Open Questions'!$A$2:$A$1001,"AR")+COUNTIF('Multiple Choice Questions'!$A$2:$A$1001,"AR")+COUNTIF('Hybrid Questions'!$A$2:$A$1001,"AR")+COUNTIF('Hybrid Questions'!$D$2:$D$1001,"AR")+COUNTIF('Demographics'!$A$2:$A$1001,"AR"))=0),"Responses column AR ("""&amp;Responses!$AR$1&amp;""") has data, but no question or demographic is set up to use it — so it won't appear in your results.","")</f>
        <v>0</v>
      </c>
      <c r="F2551" s="4" t="s">
        <v>1860</v>
      </c>
    </row>
    <row r="2552" spans="1:6" ht="75" customHeight="1">
      <c r="A2552" t="s">
        <v>334</v>
      </c>
      <c r="B2552" t="s">
        <v>424</v>
      </c>
      <c r="C2552" t="s">
        <v>1816</v>
      </c>
      <c r="D2552" t="s">
        <v>1808</v>
      </c>
      <c r="E2552" s="4">
        <f>IF(AND(Responses!$AS$1&lt;&gt;"",ISERROR(SEARCH("response id",LOWER(Responses!$AS$1))),(COUNTIF('Open Questions'!$A$2:$A$1001,"AS")+COUNTIF('Multiple Choice Questions'!$A$2:$A$1001,"AS")+COUNTIF('Hybrid Questions'!$A$2:$A$1001,"AS")+COUNTIF('Hybrid Questions'!$D$2:$D$1001,"AS")+COUNTIF('Demographics'!$A$2:$A$1001,"AS"))=0),"Responses column AS ("""&amp;Responses!$AS$1&amp;""") has data, but no question or demographic is set up to use it — so it won't appear in your results.","")</f>
        <v>0</v>
      </c>
      <c r="F2552" s="4" t="s">
        <v>1861</v>
      </c>
    </row>
    <row r="2553" spans="1:6" ht="75" customHeight="1">
      <c r="A2553" t="s">
        <v>334</v>
      </c>
      <c r="B2553" t="s">
        <v>426</v>
      </c>
      <c r="C2553" t="s">
        <v>1816</v>
      </c>
      <c r="D2553" t="s">
        <v>1808</v>
      </c>
      <c r="E2553" s="4">
        <f>IF(AND(Responses!$AT$1&lt;&gt;"",ISERROR(SEARCH("response id",LOWER(Responses!$AT$1))),(COUNTIF('Open Questions'!$A$2:$A$1001,"AT")+COUNTIF('Multiple Choice Questions'!$A$2:$A$1001,"AT")+COUNTIF('Hybrid Questions'!$A$2:$A$1001,"AT")+COUNTIF('Hybrid Questions'!$D$2:$D$1001,"AT")+COUNTIF('Demographics'!$A$2:$A$1001,"AT"))=0),"Responses column AT ("""&amp;Responses!$AT$1&amp;""") has data, but no question or demographic is set up to use it — so it won't appear in your results.","")</f>
        <v>0</v>
      </c>
      <c r="F2553" s="4" t="s">
        <v>1862</v>
      </c>
    </row>
    <row r="2554" spans="1:6" ht="75" customHeight="1">
      <c r="A2554" t="s">
        <v>334</v>
      </c>
      <c r="B2554" t="s">
        <v>428</v>
      </c>
      <c r="C2554" t="s">
        <v>1816</v>
      </c>
      <c r="D2554" t="s">
        <v>1808</v>
      </c>
      <c r="E2554" s="4">
        <f>IF(AND(Responses!$AU$1&lt;&gt;"",ISERROR(SEARCH("response id",LOWER(Responses!$AU$1))),(COUNTIF('Open Questions'!$A$2:$A$1001,"AU")+COUNTIF('Multiple Choice Questions'!$A$2:$A$1001,"AU")+COUNTIF('Hybrid Questions'!$A$2:$A$1001,"AU")+COUNTIF('Hybrid Questions'!$D$2:$D$1001,"AU")+COUNTIF('Demographics'!$A$2:$A$1001,"AU"))=0),"Responses column AU ("""&amp;Responses!$AU$1&amp;""") has data, but no question or demographic is set up to use it — so it won't appear in your results.","")</f>
        <v>0</v>
      </c>
      <c r="F2554" s="4" t="s">
        <v>1863</v>
      </c>
    </row>
    <row r="2555" spans="1:6" ht="75" customHeight="1">
      <c r="A2555" t="s">
        <v>334</v>
      </c>
      <c r="B2555" t="s">
        <v>430</v>
      </c>
      <c r="C2555" t="s">
        <v>1816</v>
      </c>
      <c r="D2555" t="s">
        <v>1808</v>
      </c>
      <c r="E2555" s="4">
        <f>IF(AND(Responses!$AV$1&lt;&gt;"",ISERROR(SEARCH("response id",LOWER(Responses!$AV$1))),(COUNTIF('Open Questions'!$A$2:$A$1001,"AV")+COUNTIF('Multiple Choice Questions'!$A$2:$A$1001,"AV")+COUNTIF('Hybrid Questions'!$A$2:$A$1001,"AV")+COUNTIF('Hybrid Questions'!$D$2:$D$1001,"AV")+COUNTIF('Demographics'!$A$2:$A$1001,"AV"))=0),"Responses column AV ("""&amp;Responses!$AV$1&amp;""") has data, but no question or demographic is set up to use it — so it won't appear in your results.","")</f>
        <v>0</v>
      </c>
      <c r="F2555" s="4" t="s">
        <v>1864</v>
      </c>
    </row>
    <row r="2556" spans="1:6" ht="75" customHeight="1">
      <c r="A2556" t="s">
        <v>334</v>
      </c>
      <c r="B2556" t="s">
        <v>432</v>
      </c>
      <c r="C2556" t="s">
        <v>1816</v>
      </c>
      <c r="D2556" t="s">
        <v>1808</v>
      </c>
      <c r="E2556" s="4">
        <f>IF(AND(Responses!$AW$1&lt;&gt;"",ISERROR(SEARCH("response id",LOWER(Responses!$AW$1))),(COUNTIF('Open Questions'!$A$2:$A$1001,"AW")+COUNTIF('Multiple Choice Questions'!$A$2:$A$1001,"AW")+COUNTIF('Hybrid Questions'!$A$2:$A$1001,"AW")+COUNTIF('Hybrid Questions'!$D$2:$D$1001,"AW")+COUNTIF('Demographics'!$A$2:$A$1001,"AW"))=0),"Responses column AW ("""&amp;Responses!$AW$1&amp;""") has data, but no question or demographic is set up to use it — so it won't appear in your results.","")</f>
        <v>0</v>
      </c>
      <c r="F2556" s="4" t="s">
        <v>1865</v>
      </c>
    </row>
    <row r="2557" spans="1:6" ht="75" customHeight="1">
      <c r="A2557" t="s">
        <v>334</v>
      </c>
      <c r="B2557" t="s">
        <v>434</v>
      </c>
      <c r="C2557" t="s">
        <v>1816</v>
      </c>
      <c r="D2557" t="s">
        <v>1808</v>
      </c>
      <c r="E2557" s="4">
        <f>IF(AND(Responses!$AX$1&lt;&gt;"",ISERROR(SEARCH("response id",LOWER(Responses!$AX$1))),(COUNTIF('Open Questions'!$A$2:$A$1001,"AX")+COUNTIF('Multiple Choice Questions'!$A$2:$A$1001,"AX")+COUNTIF('Hybrid Questions'!$A$2:$A$1001,"AX")+COUNTIF('Hybrid Questions'!$D$2:$D$1001,"AX")+COUNTIF('Demographics'!$A$2:$A$1001,"AX"))=0),"Responses column AX ("""&amp;Responses!$AX$1&amp;""") has data, but no question or demographic is set up to use it — so it won't appear in your results.","")</f>
        <v>0</v>
      </c>
      <c r="F2557" s="4" t="s">
        <v>1866</v>
      </c>
    </row>
    <row r="2558" spans="1:6" ht="75" customHeight="1">
      <c r="A2558" t="s">
        <v>334</v>
      </c>
      <c r="B2558" t="s">
        <v>436</v>
      </c>
      <c r="C2558" t="s">
        <v>1816</v>
      </c>
      <c r="D2558" t="s">
        <v>1808</v>
      </c>
      <c r="E2558" s="4">
        <f>IF(AND(Responses!$AY$1&lt;&gt;"",ISERROR(SEARCH("response id",LOWER(Responses!$AY$1))),(COUNTIF('Open Questions'!$A$2:$A$1001,"AY")+COUNTIF('Multiple Choice Questions'!$A$2:$A$1001,"AY")+COUNTIF('Hybrid Questions'!$A$2:$A$1001,"AY")+COUNTIF('Hybrid Questions'!$D$2:$D$1001,"AY")+COUNTIF('Demographics'!$A$2:$A$1001,"AY"))=0),"Responses column AY ("""&amp;Responses!$AY$1&amp;""") has data, but no question or demographic is set up to use it — so it won't appear in your results.","")</f>
        <v>0</v>
      </c>
      <c r="F2558" s="4" t="s">
        <v>1867</v>
      </c>
    </row>
    <row r="2559" spans="1:6" ht="75" customHeight="1">
      <c r="A2559" t="s">
        <v>334</v>
      </c>
      <c r="B2559" t="s">
        <v>438</v>
      </c>
      <c r="C2559" t="s">
        <v>1816</v>
      </c>
      <c r="D2559" t="s">
        <v>1808</v>
      </c>
      <c r="E2559" s="4">
        <f>IF(AND(Responses!$AZ$1&lt;&gt;"",ISERROR(SEARCH("response id",LOWER(Responses!$AZ$1))),(COUNTIF('Open Questions'!$A$2:$A$1001,"AZ")+COUNTIF('Multiple Choice Questions'!$A$2:$A$1001,"AZ")+COUNTIF('Hybrid Questions'!$A$2:$A$1001,"AZ")+COUNTIF('Hybrid Questions'!$D$2:$D$1001,"AZ")+COUNTIF('Demographics'!$A$2:$A$1001,"AZ"))=0),"Responses column AZ ("""&amp;Responses!$AZ$1&amp;""") has data, but no question or demographic is set up to use it — so it won't appear in your results.","")</f>
        <v>0</v>
      </c>
      <c r="F2559" s="4" t="s">
        <v>1868</v>
      </c>
    </row>
    <row r="2560" spans="1:6" ht="75" customHeight="1">
      <c r="A2560" t="s">
        <v>334</v>
      </c>
      <c r="B2560" t="s">
        <v>440</v>
      </c>
      <c r="C2560" t="s">
        <v>1816</v>
      </c>
      <c r="D2560" t="s">
        <v>1808</v>
      </c>
      <c r="E2560" s="4">
        <f>IF(AND(Responses!$BA$1&lt;&gt;"",ISERROR(SEARCH("response id",LOWER(Responses!$BA$1))),(COUNTIF('Open Questions'!$A$2:$A$1001,"BA")+COUNTIF('Multiple Choice Questions'!$A$2:$A$1001,"BA")+COUNTIF('Hybrid Questions'!$A$2:$A$1001,"BA")+COUNTIF('Hybrid Questions'!$D$2:$D$1001,"BA")+COUNTIF('Demographics'!$A$2:$A$1001,"BA"))=0),"Responses column BA ("""&amp;Responses!$BA$1&amp;""") has data, but no question or demographic is set up to use it — so it won't appear in your results.","")</f>
        <v>0</v>
      </c>
      <c r="F2560" s="4" t="s">
        <v>1869</v>
      </c>
    </row>
    <row r="2561" spans="1:6" ht="75" customHeight="1">
      <c r="A2561" t="s">
        <v>334</v>
      </c>
      <c r="B2561" t="s">
        <v>442</v>
      </c>
      <c r="C2561" t="s">
        <v>1816</v>
      </c>
      <c r="D2561" t="s">
        <v>1808</v>
      </c>
      <c r="E2561" s="4">
        <f>IF(AND(Responses!$BB$1&lt;&gt;"",ISERROR(SEARCH("response id",LOWER(Responses!$BB$1))),(COUNTIF('Open Questions'!$A$2:$A$1001,"BB")+COUNTIF('Multiple Choice Questions'!$A$2:$A$1001,"BB")+COUNTIF('Hybrid Questions'!$A$2:$A$1001,"BB")+COUNTIF('Hybrid Questions'!$D$2:$D$1001,"BB")+COUNTIF('Demographics'!$A$2:$A$1001,"BB"))=0),"Responses column BB ("""&amp;Responses!$BB$1&amp;""") has data, but no question or demographic is set up to use it — so it won't appear in your results.","")</f>
        <v>0</v>
      </c>
      <c r="F2561" s="4" t="s">
        <v>1870</v>
      </c>
    </row>
    <row r="2562" spans="1:6" ht="75" customHeight="1">
      <c r="A2562" t="s">
        <v>334</v>
      </c>
      <c r="B2562" t="s">
        <v>444</v>
      </c>
      <c r="C2562" t="s">
        <v>1816</v>
      </c>
      <c r="D2562" t="s">
        <v>1808</v>
      </c>
      <c r="E2562" s="4">
        <f>IF(AND(Responses!$BC$1&lt;&gt;"",ISERROR(SEARCH("response id",LOWER(Responses!$BC$1))),(COUNTIF('Open Questions'!$A$2:$A$1001,"BC")+COUNTIF('Multiple Choice Questions'!$A$2:$A$1001,"BC")+COUNTIF('Hybrid Questions'!$A$2:$A$1001,"BC")+COUNTIF('Hybrid Questions'!$D$2:$D$1001,"BC")+COUNTIF('Demographics'!$A$2:$A$1001,"BC"))=0),"Responses column BC ("""&amp;Responses!$BC$1&amp;""") has data, but no question or demographic is set up to use it — so it won't appear in your results.","")</f>
        <v>0</v>
      </c>
      <c r="F2562" s="4" t="s">
        <v>1871</v>
      </c>
    </row>
    <row r="2563" spans="1:6" ht="75" customHeight="1">
      <c r="A2563" t="s">
        <v>334</v>
      </c>
      <c r="B2563" t="s">
        <v>446</v>
      </c>
      <c r="C2563" t="s">
        <v>1816</v>
      </c>
      <c r="D2563" t="s">
        <v>1808</v>
      </c>
      <c r="E2563" s="4">
        <f>IF(AND(Responses!$BD$1&lt;&gt;"",ISERROR(SEARCH("response id",LOWER(Responses!$BD$1))),(COUNTIF('Open Questions'!$A$2:$A$1001,"BD")+COUNTIF('Multiple Choice Questions'!$A$2:$A$1001,"BD")+COUNTIF('Hybrid Questions'!$A$2:$A$1001,"BD")+COUNTIF('Hybrid Questions'!$D$2:$D$1001,"BD")+COUNTIF('Demographics'!$A$2:$A$1001,"BD"))=0),"Responses column BD ("""&amp;Responses!$BD$1&amp;""") has data, but no question or demographic is set up to use it — so it won't appear in your results.","")</f>
        <v>0</v>
      </c>
      <c r="F2563" s="4" t="s">
        <v>1872</v>
      </c>
    </row>
    <row r="2564" spans="1:6" ht="75" customHeight="1">
      <c r="A2564" t="s">
        <v>334</v>
      </c>
      <c r="B2564" t="s">
        <v>448</v>
      </c>
      <c r="C2564" t="s">
        <v>1816</v>
      </c>
      <c r="D2564" t="s">
        <v>1808</v>
      </c>
      <c r="E2564" s="4">
        <f>IF(AND(Responses!$BE$1&lt;&gt;"",ISERROR(SEARCH("response id",LOWER(Responses!$BE$1))),(COUNTIF('Open Questions'!$A$2:$A$1001,"BE")+COUNTIF('Multiple Choice Questions'!$A$2:$A$1001,"BE")+COUNTIF('Hybrid Questions'!$A$2:$A$1001,"BE")+COUNTIF('Hybrid Questions'!$D$2:$D$1001,"BE")+COUNTIF('Demographics'!$A$2:$A$1001,"BE"))=0),"Responses column BE ("""&amp;Responses!$BE$1&amp;""") has data, but no question or demographic is set up to use it — so it won't appear in your results.","")</f>
        <v>0</v>
      </c>
      <c r="F2564" s="4" t="s">
        <v>1873</v>
      </c>
    </row>
    <row r="2565" spans="1:6" ht="75" customHeight="1">
      <c r="A2565" t="s">
        <v>334</v>
      </c>
      <c r="B2565" t="s">
        <v>450</v>
      </c>
      <c r="C2565" t="s">
        <v>1816</v>
      </c>
      <c r="D2565" t="s">
        <v>1808</v>
      </c>
      <c r="E2565" s="4">
        <f>IF(AND(Responses!$BF$1&lt;&gt;"",ISERROR(SEARCH("response id",LOWER(Responses!$BF$1))),(COUNTIF('Open Questions'!$A$2:$A$1001,"BF")+COUNTIF('Multiple Choice Questions'!$A$2:$A$1001,"BF")+COUNTIF('Hybrid Questions'!$A$2:$A$1001,"BF")+COUNTIF('Hybrid Questions'!$D$2:$D$1001,"BF")+COUNTIF('Demographics'!$A$2:$A$1001,"BF"))=0),"Responses column BF ("""&amp;Responses!$BF$1&amp;""") has data, but no question or demographic is set up to use it — so it won't appear in your results.","")</f>
        <v>0</v>
      </c>
      <c r="F2565" s="4" t="s">
        <v>1874</v>
      </c>
    </row>
    <row r="2566" spans="1:6" ht="75" customHeight="1">
      <c r="A2566" t="s">
        <v>334</v>
      </c>
      <c r="B2566" t="s">
        <v>452</v>
      </c>
      <c r="C2566" t="s">
        <v>1816</v>
      </c>
      <c r="D2566" t="s">
        <v>1808</v>
      </c>
      <c r="E2566" s="4">
        <f>IF(AND(Responses!$BG$1&lt;&gt;"",ISERROR(SEARCH("response id",LOWER(Responses!$BG$1))),(COUNTIF('Open Questions'!$A$2:$A$1001,"BG")+COUNTIF('Multiple Choice Questions'!$A$2:$A$1001,"BG")+COUNTIF('Hybrid Questions'!$A$2:$A$1001,"BG")+COUNTIF('Hybrid Questions'!$D$2:$D$1001,"BG")+COUNTIF('Demographics'!$A$2:$A$1001,"BG"))=0),"Responses column BG ("""&amp;Responses!$BG$1&amp;""") has data, but no question or demographic is set up to use it — so it won't appear in your results.","")</f>
        <v>0</v>
      </c>
      <c r="F2566" s="4" t="s">
        <v>1875</v>
      </c>
    </row>
    <row r="2567" spans="1:6" ht="75" customHeight="1">
      <c r="A2567" t="s">
        <v>334</v>
      </c>
      <c r="B2567" t="s">
        <v>454</v>
      </c>
      <c r="C2567" t="s">
        <v>1816</v>
      </c>
      <c r="D2567" t="s">
        <v>1808</v>
      </c>
      <c r="E2567" s="4">
        <f>IF(AND(Responses!$BH$1&lt;&gt;"",ISERROR(SEARCH("response id",LOWER(Responses!$BH$1))),(COUNTIF('Open Questions'!$A$2:$A$1001,"BH")+COUNTIF('Multiple Choice Questions'!$A$2:$A$1001,"BH")+COUNTIF('Hybrid Questions'!$A$2:$A$1001,"BH")+COUNTIF('Hybrid Questions'!$D$2:$D$1001,"BH")+COUNTIF('Demographics'!$A$2:$A$1001,"BH"))=0),"Responses column BH ("""&amp;Responses!$BH$1&amp;""") has data, but no question or demographic is set up to use it — so it won't appear in your results.","")</f>
        <v>0</v>
      </c>
      <c r="F2567" s="4" t="s">
        <v>1876</v>
      </c>
    </row>
    <row r="2568" spans="1:6" ht="75" customHeight="1">
      <c r="A2568" t="s">
        <v>334</v>
      </c>
      <c r="B2568" t="s">
        <v>456</v>
      </c>
      <c r="C2568" t="s">
        <v>1816</v>
      </c>
      <c r="D2568" t="s">
        <v>1808</v>
      </c>
      <c r="E2568" s="4">
        <f>IF(AND(Responses!$BI$1&lt;&gt;"",ISERROR(SEARCH("response id",LOWER(Responses!$BI$1))),(COUNTIF('Open Questions'!$A$2:$A$1001,"BI")+COUNTIF('Multiple Choice Questions'!$A$2:$A$1001,"BI")+COUNTIF('Hybrid Questions'!$A$2:$A$1001,"BI")+COUNTIF('Hybrid Questions'!$D$2:$D$1001,"BI")+COUNTIF('Demographics'!$A$2:$A$1001,"BI"))=0),"Responses column BI ("""&amp;Responses!$BI$1&amp;""") has data, but no question or demographic is set up to use it — so it won't appear in your results.","")</f>
        <v>0</v>
      </c>
      <c r="F2568" s="4" t="s">
        <v>1877</v>
      </c>
    </row>
    <row r="2569" spans="1:6" ht="75" customHeight="1">
      <c r="A2569" t="s">
        <v>334</v>
      </c>
      <c r="B2569" t="s">
        <v>458</v>
      </c>
      <c r="C2569" t="s">
        <v>1816</v>
      </c>
      <c r="D2569" t="s">
        <v>1808</v>
      </c>
      <c r="E2569" s="4">
        <f>IF(AND(Responses!$BJ$1&lt;&gt;"",ISERROR(SEARCH("response id",LOWER(Responses!$BJ$1))),(COUNTIF('Open Questions'!$A$2:$A$1001,"BJ")+COUNTIF('Multiple Choice Questions'!$A$2:$A$1001,"BJ")+COUNTIF('Hybrid Questions'!$A$2:$A$1001,"BJ")+COUNTIF('Hybrid Questions'!$D$2:$D$1001,"BJ")+COUNTIF('Demographics'!$A$2:$A$1001,"BJ"))=0),"Responses column BJ ("""&amp;Responses!$BJ$1&amp;""") has data, but no question or demographic is set up to use it — so it won't appear in your results.","")</f>
        <v>0</v>
      </c>
      <c r="F2569" s="4" t="s">
        <v>1878</v>
      </c>
    </row>
    <row r="2570" spans="1:6" ht="75" customHeight="1">
      <c r="A2570" t="s">
        <v>334</v>
      </c>
      <c r="B2570" t="s">
        <v>460</v>
      </c>
      <c r="C2570" t="s">
        <v>1816</v>
      </c>
      <c r="D2570" t="s">
        <v>1808</v>
      </c>
      <c r="E2570" s="4">
        <f>IF(AND(Responses!$BK$1&lt;&gt;"",ISERROR(SEARCH("response id",LOWER(Responses!$BK$1))),(COUNTIF('Open Questions'!$A$2:$A$1001,"BK")+COUNTIF('Multiple Choice Questions'!$A$2:$A$1001,"BK")+COUNTIF('Hybrid Questions'!$A$2:$A$1001,"BK")+COUNTIF('Hybrid Questions'!$D$2:$D$1001,"BK")+COUNTIF('Demographics'!$A$2:$A$1001,"BK"))=0),"Responses column BK ("""&amp;Responses!$BK$1&amp;""") has data, but no question or demographic is set up to use it — so it won't appear in your results.","")</f>
        <v>0</v>
      </c>
      <c r="F2570" s="4" t="s">
        <v>1879</v>
      </c>
    </row>
    <row r="2571" spans="1:6" ht="75" customHeight="1">
      <c r="A2571" t="s">
        <v>334</v>
      </c>
      <c r="B2571" t="s">
        <v>462</v>
      </c>
      <c r="C2571" t="s">
        <v>1816</v>
      </c>
      <c r="D2571" t="s">
        <v>1808</v>
      </c>
      <c r="E2571" s="4">
        <f>IF(AND(Responses!$BL$1&lt;&gt;"",ISERROR(SEARCH("response id",LOWER(Responses!$BL$1))),(COUNTIF('Open Questions'!$A$2:$A$1001,"BL")+COUNTIF('Multiple Choice Questions'!$A$2:$A$1001,"BL")+COUNTIF('Hybrid Questions'!$A$2:$A$1001,"BL")+COUNTIF('Hybrid Questions'!$D$2:$D$1001,"BL")+COUNTIF('Demographics'!$A$2:$A$1001,"BL"))=0),"Responses column BL ("""&amp;Responses!$BL$1&amp;""") has data, but no question or demographic is set up to use it — so it won't appear in your results.","")</f>
        <v>0</v>
      </c>
      <c r="F2571" s="4" t="s">
        <v>1880</v>
      </c>
    </row>
    <row r="2572" spans="1:6" ht="75" customHeight="1">
      <c r="A2572" t="s">
        <v>334</v>
      </c>
      <c r="B2572" t="s">
        <v>464</v>
      </c>
      <c r="C2572" t="s">
        <v>1816</v>
      </c>
      <c r="D2572" t="s">
        <v>1808</v>
      </c>
      <c r="E2572" s="4">
        <f>IF(AND(Responses!$BM$1&lt;&gt;"",ISERROR(SEARCH("response id",LOWER(Responses!$BM$1))),(COUNTIF('Open Questions'!$A$2:$A$1001,"BM")+COUNTIF('Multiple Choice Questions'!$A$2:$A$1001,"BM")+COUNTIF('Hybrid Questions'!$A$2:$A$1001,"BM")+COUNTIF('Hybrid Questions'!$D$2:$D$1001,"BM")+COUNTIF('Demographics'!$A$2:$A$1001,"BM"))=0),"Responses column BM ("""&amp;Responses!$BM$1&amp;""") has data, but no question or demographic is set up to use it — so it won't appear in your results.","")</f>
        <v>0</v>
      </c>
      <c r="F2572" s="4" t="s">
        <v>1881</v>
      </c>
    </row>
    <row r="2573" spans="1:6" ht="75" customHeight="1">
      <c r="A2573" t="s">
        <v>334</v>
      </c>
      <c r="B2573" t="s">
        <v>466</v>
      </c>
      <c r="C2573" t="s">
        <v>1816</v>
      </c>
      <c r="D2573" t="s">
        <v>1808</v>
      </c>
      <c r="E2573" s="4">
        <f>IF(AND(Responses!$BN$1&lt;&gt;"",ISERROR(SEARCH("response id",LOWER(Responses!$BN$1))),(COUNTIF('Open Questions'!$A$2:$A$1001,"BN")+COUNTIF('Multiple Choice Questions'!$A$2:$A$1001,"BN")+COUNTIF('Hybrid Questions'!$A$2:$A$1001,"BN")+COUNTIF('Hybrid Questions'!$D$2:$D$1001,"BN")+COUNTIF('Demographics'!$A$2:$A$1001,"BN"))=0),"Responses column BN ("""&amp;Responses!$BN$1&amp;""") has data, but no question or demographic is set up to use it — so it won't appear in your results.","")</f>
        <v>0</v>
      </c>
      <c r="F2573" s="4" t="s">
        <v>1882</v>
      </c>
    </row>
    <row r="2574" spans="1:6" ht="75" customHeight="1">
      <c r="A2574" t="s">
        <v>334</v>
      </c>
      <c r="B2574" t="s">
        <v>468</v>
      </c>
      <c r="C2574" t="s">
        <v>1816</v>
      </c>
      <c r="D2574" t="s">
        <v>1808</v>
      </c>
      <c r="E2574" s="4">
        <f>IF(AND(Responses!$BO$1&lt;&gt;"",ISERROR(SEARCH("response id",LOWER(Responses!$BO$1))),(COUNTIF('Open Questions'!$A$2:$A$1001,"BO")+COUNTIF('Multiple Choice Questions'!$A$2:$A$1001,"BO")+COUNTIF('Hybrid Questions'!$A$2:$A$1001,"BO")+COUNTIF('Hybrid Questions'!$D$2:$D$1001,"BO")+COUNTIF('Demographics'!$A$2:$A$1001,"BO"))=0),"Responses column BO ("""&amp;Responses!$BO$1&amp;""") has data, but no question or demographic is set up to use it — so it won't appear in your results.","")</f>
        <v>0</v>
      </c>
      <c r="F2574" s="4" t="s">
        <v>1883</v>
      </c>
    </row>
    <row r="2575" spans="1:6" ht="75" customHeight="1">
      <c r="A2575" t="s">
        <v>334</v>
      </c>
      <c r="B2575" t="s">
        <v>470</v>
      </c>
      <c r="C2575" t="s">
        <v>1816</v>
      </c>
      <c r="D2575" t="s">
        <v>1808</v>
      </c>
      <c r="E2575" s="4">
        <f>IF(AND(Responses!$BP$1&lt;&gt;"",ISERROR(SEARCH("response id",LOWER(Responses!$BP$1))),(COUNTIF('Open Questions'!$A$2:$A$1001,"BP")+COUNTIF('Multiple Choice Questions'!$A$2:$A$1001,"BP")+COUNTIF('Hybrid Questions'!$A$2:$A$1001,"BP")+COUNTIF('Hybrid Questions'!$D$2:$D$1001,"BP")+COUNTIF('Demographics'!$A$2:$A$1001,"BP"))=0),"Responses column BP ("""&amp;Responses!$BP$1&amp;""") has data, but no question or demographic is set up to use it — so it won't appear in your results.","")</f>
        <v>0</v>
      </c>
      <c r="F2575" s="4" t="s">
        <v>1884</v>
      </c>
    </row>
    <row r="2576" spans="1:6" ht="75" customHeight="1">
      <c r="A2576" t="s">
        <v>334</v>
      </c>
      <c r="B2576" t="s">
        <v>472</v>
      </c>
      <c r="C2576" t="s">
        <v>1816</v>
      </c>
      <c r="D2576" t="s">
        <v>1808</v>
      </c>
      <c r="E2576" s="4">
        <f>IF(AND(Responses!$BQ$1&lt;&gt;"",ISERROR(SEARCH("response id",LOWER(Responses!$BQ$1))),(COUNTIF('Open Questions'!$A$2:$A$1001,"BQ")+COUNTIF('Multiple Choice Questions'!$A$2:$A$1001,"BQ")+COUNTIF('Hybrid Questions'!$A$2:$A$1001,"BQ")+COUNTIF('Hybrid Questions'!$D$2:$D$1001,"BQ")+COUNTIF('Demographics'!$A$2:$A$1001,"BQ"))=0),"Responses column BQ ("""&amp;Responses!$BQ$1&amp;""") has data, but no question or demographic is set up to use it — so it won't appear in your results.","")</f>
        <v>0</v>
      </c>
      <c r="F2576" s="4" t="s">
        <v>1885</v>
      </c>
    </row>
    <row r="2577" spans="1:6" ht="75" customHeight="1">
      <c r="A2577" t="s">
        <v>334</v>
      </c>
      <c r="B2577" t="s">
        <v>474</v>
      </c>
      <c r="C2577" t="s">
        <v>1816</v>
      </c>
      <c r="D2577" t="s">
        <v>1808</v>
      </c>
      <c r="E2577" s="4">
        <f>IF(AND(Responses!$BR$1&lt;&gt;"",ISERROR(SEARCH("response id",LOWER(Responses!$BR$1))),(COUNTIF('Open Questions'!$A$2:$A$1001,"BR")+COUNTIF('Multiple Choice Questions'!$A$2:$A$1001,"BR")+COUNTIF('Hybrid Questions'!$A$2:$A$1001,"BR")+COUNTIF('Hybrid Questions'!$D$2:$D$1001,"BR")+COUNTIF('Demographics'!$A$2:$A$1001,"BR"))=0),"Responses column BR ("""&amp;Responses!$BR$1&amp;""") has data, but no question or demographic is set up to use it — so it won't appear in your results.","")</f>
        <v>0</v>
      </c>
      <c r="F2577" s="4" t="s">
        <v>1886</v>
      </c>
    </row>
    <row r="2578" spans="1:6" ht="75" customHeight="1">
      <c r="A2578" t="s">
        <v>334</v>
      </c>
      <c r="B2578" t="s">
        <v>476</v>
      </c>
      <c r="C2578" t="s">
        <v>1816</v>
      </c>
      <c r="D2578" t="s">
        <v>1808</v>
      </c>
      <c r="E2578" s="4">
        <f>IF(AND(Responses!$BS$1&lt;&gt;"",ISERROR(SEARCH("response id",LOWER(Responses!$BS$1))),(COUNTIF('Open Questions'!$A$2:$A$1001,"BS")+COUNTIF('Multiple Choice Questions'!$A$2:$A$1001,"BS")+COUNTIF('Hybrid Questions'!$A$2:$A$1001,"BS")+COUNTIF('Hybrid Questions'!$D$2:$D$1001,"BS")+COUNTIF('Demographics'!$A$2:$A$1001,"BS"))=0),"Responses column BS ("""&amp;Responses!$BS$1&amp;""") has data, but no question or demographic is set up to use it — so it won't appear in your results.","")</f>
        <v>0</v>
      </c>
      <c r="F2578" s="4" t="s">
        <v>1887</v>
      </c>
    </row>
    <row r="2579" spans="1:6" ht="75" customHeight="1">
      <c r="A2579" t="s">
        <v>334</v>
      </c>
      <c r="B2579" t="s">
        <v>478</v>
      </c>
      <c r="C2579" t="s">
        <v>1816</v>
      </c>
      <c r="D2579" t="s">
        <v>1808</v>
      </c>
      <c r="E2579" s="4">
        <f>IF(AND(Responses!$BT$1&lt;&gt;"",ISERROR(SEARCH("response id",LOWER(Responses!$BT$1))),(COUNTIF('Open Questions'!$A$2:$A$1001,"BT")+COUNTIF('Multiple Choice Questions'!$A$2:$A$1001,"BT")+COUNTIF('Hybrid Questions'!$A$2:$A$1001,"BT")+COUNTIF('Hybrid Questions'!$D$2:$D$1001,"BT")+COUNTIF('Demographics'!$A$2:$A$1001,"BT"))=0),"Responses column BT ("""&amp;Responses!$BT$1&amp;""") has data, but no question or demographic is set up to use it — so it won't appear in your results.","")</f>
        <v>0</v>
      </c>
      <c r="F2579" s="4" t="s">
        <v>1888</v>
      </c>
    </row>
    <row r="2580" spans="1:6" ht="75" customHeight="1">
      <c r="A2580" t="s">
        <v>334</v>
      </c>
      <c r="B2580" t="s">
        <v>480</v>
      </c>
      <c r="C2580" t="s">
        <v>1816</v>
      </c>
      <c r="D2580" t="s">
        <v>1808</v>
      </c>
      <c r="E2580" s="4">
        <f>IF(AND(Responses!$BU$1&lt;&gt;"",ISERROR(SEARCH("response id",LOWER(Responses!$BU$1))),(COUNTIF('Open Questions'!$A$2:$A$1001,"BU")+COUNTIF('Multiple Choice Questions'!$A$2:$A$1001,"BU")+COUNTIF('Hybrid Questions'!$A$2:$A$1001,"BU")+COUNTIF('Hybrid Questions'!$D$2:$D$1001,"BU")+COUNTIF('Demographics'!$A$2:$A$1001,"BU"))=0),"Responses column BU ("""&amp;Responses!$BU$1&amp;""") has data, but no question or demographic is set up to use it — so it won't appear in your results.","")</f>
        <v>0</v>
      </c>
      <c r="F2580" s="4" t="s">
        <v>1889</v>
      </c>
    </row>
    <row r="2581" spans="1:6" ht="75" customHeight="1">
      <c r="A2581" t="s">
        <v>334</v>
      </c>
      <c r="B2581" t="s">
        <v>482</v>
      </c>
      <c r="C2581" t="s">
        <v>1816</v>
      </c>
      <c r="D2581" t="s">
        <v>1808</v>
      </c>
      <c r="E2581" s="4">
        <f>IF(AND(Responses!$BV$1&lt;&gt;"",ISERROR(SEARCH("response id",LOWER(Responses!$BV$1))),(COUNTIF('Open Questions'!$A$2:$A$1001,"BV")+COUNTIF('Multiple Choice Questions'!$A$2:$A$1001,"BV")+COUNTIF('Hybrid Questions'!$A$2:$A$1001,"BV")+COUNTIF('Hybrid Questions'!$D$2:$D$1001,"BV")+COUNTIF('Demographics'!$A$2:$A$1001,"BV"))=0),"Responses column BV ("""&amp;Responses!$BV$1&amp;""") has data, but no question or demographic is set up to use it — so it won't appear in your results.","")</f>
        <v>0</v>
      </c>
      <c r="F2581" s="4" t="s">
        <v>1890</v>
      </c>
    </row>
    <row r="2582" spans="1:6" ht="75" customHeight="1">
      <c r="A2582" t="s">
        <v>334</v>
      </c>
      <c r="B2582" t="s">
        <v>484</v>
      </c>
      <c r="C2582" t="s">
        <v>1816</v>
      </c>
      <c r="D2582" t="s">
        <v>1808</v>
      </c>
      <c r="E2582" s="4">
        <f>IF(AND(Responses!$BW$1&lt;&gt;"",ISERROR(SEARCH("response id",LOWER(Responses!$BW$1))),(COUNTIF('Open Questions'!$A$2:$A$1001,"BW")+COUNTIF('Multiple Choice Questions'!$A$2:$A$1001,"BW")+COUNTIF('Hybrid Questions'!$A$2:$A$1001,"BW")+COUNTIF('Hybrid Questions'!$D$2:$D$1001,"BW")+COUNTIF('Demographics'!$A$2:$A$1001,"BW"))=0),"Responses column BW ("""&amp;Responses!$BW$1&amp;""") has data, but no question or demographic is set up to use it — so it won't appear in your results.","")</f>
        <v>0</v>
      </c>
      <c r="F2582" s="4" t="s">
        <v>1891</v>
      </c>
    </row>
    <row r="2583" spans="1:6" ht="75" customHeight="1">
      <c r="A2583" t="s">
        <v>334</v>
      </c>
      <c r="B2583" t="s">
        <v>486</v>
      </c>
      <c r="C2583" t="s">
        <v>1816</v>
      </c>
      <c r="D2583" t="s">
        <v>1808</v>
      </c>
      <c r="E2583" s="4">
        <f>IF(AND(Responses!$BX$1&lt;&gt;"",ISERROR(SEARCH("response id",LOWER(Responses!$BX$1))),(COUNTIF('Open Questions'!$A$2:$A$1001,"BX")+COUNTIF('Multiple Choice Questions'!$A$2:$A$1001,"BX")+COUNTIF('Hybrid Questions'!$A$2:$A$1001,"BX")+COUNTIF('Hybrid Questions'!$D$2:$D$1001,"BX")+COUNTIF('Demographics'!$A$2:$A$1001,"BX"))=0),"Responses column BX ("""&amp;Responses!$BX$1&amp;""") has data, but no question or demographic is set up to use it — so it won't appear in your results.","")</f>
        <v>0</v>
      </c>
      <c r="F2583" s="4" t="s">
        <v>1892</v>
      </c>
    </row>
    <row r="2584" spans="1:6" ht="75" customHeight="1">
      <c r="A2584" t="s">
        <v>334</v>
      </c>
      <c r="B2584" t="s">
        <v>488</v>
      </c>
      <c r="C2584" t="s">
        <v>1816</v>
      </c>
      <c r="D2584" t="s">
        <v>1808</v>
      </c>
      <c r="E2584" s="4">
        <f>IF(AND(Responses!$BY$1&lt;&gt;"",ISERROR(SEARCH("response id",LOWER(Responses!$BY$1))),(COUNTIF('Open Questions'!$A$2:$A$1001,"BY")+COUNTIF('Multiple Choice Questions'!$A$2:$A$1001,"BY")+COUNTIF('Hybrid Questions'!$A$2:$A$1001,"BY")+COUNTIF('Hybrid Questions'!$D$2:$D$1001,"BY")+COUNTIF('Demographics'!$A$2:$A$1001,"BY"))=0),"Responses column BY ("""&amp;Responses!$BY$1&amp;""") has data, but no question or demographic is set up to use it — so it won't appear in your results.","")</f>
        <v>0</v>
      </c>
      <c r="F2584" s="4" t="s">
        <v>1893</v>
      </c>
    </row>
    <row r="2585" spans="1:6" ht="75" customHeight="1">
      <c r="A2585" t="s">
        <v>334</v>
      </c>
      <c r="B2585" t="s">
        <v>490</v>
      </c>
      <c r="C2585" t="s">
        <v>1816</v>
      </c>
      <c r="D2585" t="s">
        <v>1808</v>
      </c>
      <c r="E2585" s="4">
        <f>IF(AND(Responses!$BZ$1&lt;&gt;"",ISERROR(SEARCH("response id",LOWER(Responses!$BZ$1))),(COUNTIF('Open Questions'!$A$2:$A$1001,"BZ")+COUNTIF('Multiple Choice Questions'!$A$2:$A$1001,"BZ")+COUNTIF('Hybrid Questions'!$A$2:$A$1001,"BZ")+COUNTIF('Hybrid Questions'!$D$2:$D$1001,"BZ")+COUNTIF('Demographics'!$A$2:$A$1001,"BZ"))=0),"Responses column BZ ("""&amp;Responses!$BZ$1&amp;""") has data, but no question or demographic is set up to use it — so it won't appear in your results.","")</f>
        <v>0</v>
      </c>
      <c r="F2585" s="4" t="s">
        <v>1894</v>
      </c>
    </row>
    <row r="2586" spans="1:6" ht="75" customHeight="1">
      <c r="A2586" t="s">
        <v>334</v>
      </c>
      <c r="B2586" t="s">
        <v>492</v>
      </c>
      <c r="C2586" t="s">
        <v>1816</v>
      </c>
      <c r="D2586" t="s">
        <v>1808</v>
      </c>
      <c r="E2586" s="4">
        <f>IF(AND(Responses!$CA$1&lt;&gt;"",ISERROR(SEARCH("response id",LOWER(Responses!$CA$1))),(COUNTIF('Open Questions'!$A$2:$A$1001,"CA")+COUNTIF('Multiple Choice Questions'!$A$2:$A$1001,"CA")+COUNTIF('Hybrid Questions'!$A$2:$A$1001,"CA")+COUNTIF('Hybrid Questions'!$D$2:$D$1001,"CA")+COUNTIF('Demographics'!$A$2:$A$1001,"CA"))=0),"Responses column CA ("""&amp;Responses!$CA$1&amp;""") has data, but no question or demographic is set up to use it — so it won't appear in your results.","")</f>
        <v>0</v>
      </c>
      <c r="F2586" s="4" t="s">
        <v>1895</v>
      </c>
    </row>
    <row r="2587" spans="1:6" ht="75" customHeight="1">
      <c r="A2587" t="s">
        <v>334</v>
      </c>
      <c r="B2587" t="s">
        <v>494</v>
      </c>
      <c r="C2587" t="s">
        <v>1816</v>
      </c>
      <c r="D2587" t="s">
        <v>1808</v>
      </c>
      <c r="E2587" s="4">
        <f>IF(AND(Responses!$CB$1&lt;&gt;"",ISERROR(SEARCH("response id",LOWER(Responses!$CB$1))),(COUNTIF('Open Questions'!$A$2:$A$1001,"CB")+COUNTIF('Multiple Choice Questions'!$A$2:$A$1001,"CB")+COUNTIF('Hybrid Questions'!$A$2:$A$1001,"CB")+COUNTIF('Hybrid Questions'!$D$2:$D$1001,"CB")+COUNTIF('Demographics'!$A$2:$A$1001,"CB"))=0),"Responses column CB ("""&amp;Responses!$CB$1&amp;""") has data, but no question or demographic is set up to use it — so it won't appear in your results.","")</f>
        <v>0</v>
      </c>
      <c r="F2587" s="4" t="s">
        <v>1896</v>
      </c>
    </row>
    <row r="2588" spans="1:6" ht="75" customHeight="1">
      <c r="A2588" t="s">
        <v>334</v>
      </c>
      <c r="B2588" t="s">
        <v>496</v>
      </c>
      <c r="C2588" t="s">
        <v>1816</v>
      </c>
      <c r="D2588" t="s">
        <v>1808</v>
      </c>
      <c r="E2588" s="4">
        <f>IF(AND(Responses!$CC$1&lt;&gt;"",ISERROR(SEARCH("response id",LOWER(Responses!$CC$1))),(COUNTIF('Open Questions'!$A$2:$A$1001,"CC")+COUNTIF('Multiple Choice Questions'!$A$2:$A$1001,"CC")+COUNTIF('Hybrid Questions'!$A$2:$A$1001,"CC")+COUNTIF('Hybrid Questions'!$D$2:$D$1001,"CC")+COUNTIF('Demographics'!$A$2:$A$1001,"CC"))=0),"Responses column CC ("""&amp;Responses!$CC$1&amp;""") has data, but no question or demographic is set up to use it — so it won't appear in your results.","")</f>
        <v>0</v>
      </c>
      <c r="F2588" s="4" t="s">
        <v>1897</v>
      </c>
    </row>
    <row r="2589" spans="1:6" ht="75" customHeight="1">
      <c r="A2589" t="s">
        <v>334</v>
      </c>
      <c r="B2589" t="s">
        <v>498</v>
      </c>
      <c r="C2589" t="s">
        <v>1816</v>
      </c>
      <c r="D2589" t="s">
        <v>1808</v>
      </c>
      <c r="E2589" s="4">
        <f>IF(AND(Responses!$CD$1&lt;&gt;"",ISERROR(SEARCH("response id",LOWER(Responses!$CD$1))),(COUNTIF('Open Questions'!$A$2:$A$1001,"CD")+COUNTIF('Multiple Choice Questions'!$A$2:$A$1001,"CD")+COUNTIF('Hybrid Questions'!$A$2:$A$1001,"CD")+COUNTIF('Hybrid Questions'!$D$2:$D$1001,"CD")+COUNTIF('Demographics'!$A$2:$A$1001,"CD"))=0),"Responses column CD ("""&amp;Responses!$CD$1&amp;""") has data, but no question or demographic is set up to use it — so it won't appear in your results.","")</f>
        <v>0</v>
      </c>
      <c r="F2589" s="4" t="s">
        <v>1898</v>
      </c>
    </row>
    <row r="2590" spans="1:6" ht="75" customHeight="1">
      <c r="A2590" t="s">
        <v>334</v>
      </c>
      <c r="B2590" t="s">
        <v>500</v>
      </c>
      <c r="C2590" t="s">
        <v>1816</v>
      </c>
      <c r="D2590" t="s">
        <v>1808</v>
      </c>
      <c r="E2590" s="4">
        <f>IF(AND(Responses!$CE$1&lt;&gt;"",ISERROR(SEARCH("response id",LOWER(Responses!$CE$1))),(COUNTIF('Open Questions'!$A$2:$A$1001,"CE")+COUNTIF('Multiple Choice Questions'!$A$2:$A$1001,"CE")+COUNTIF('Hybrid Questions'!$A$2:$A$1001,"CE")+COUNTIF('Hybrid Questions'!$D$2:$D$1001,"CE")+COUNTIF('Demographics'!$A$2:$A$1001,"CE"))=0),"Responses column CE ("""&amp;Responses!$CE$1&amp;""") has data, but no question or demographic is set up to use it — so it won't appear in your results.","")</f>
        <v>0</v>
      </c>
      <c r="F2590" s="4" t="s">
        <v>1899</v>
      </c>
    </row>
    <row r="2591" spans="1:6" ht="75" customHeight="1">
      <c r="A2591" t="s">
        <v>334</v>
      </c>
      <c r="B2591" t="s">
        <v>502</v>
      </c>
      <c r="C2591" t="s">
        <v>1816</v>
      </c>
      <c r="D2591" t="s">
        <v>1808</v>
      </c>
      <c r="E2591" s="4">
        <f>IF(AND(Responses!$CF$1&lt;&gt;"",ISERROR(SEARCH("response id",LOWER(Responses!$CF$1))),(COUNTIF('Open Questions'!$A$2:$A$1001,"CF")+COUNTIF('Multiple Choice Questions'!$A$2:$A$1001,"CF")+COUNTIF('Hybrid Questions'!$A$2:$A$1001,"CF")+COUNTIF('Hybrid Questions'!$D$2:$D$1001,"CF")+COUNTIF('Demographics'!$A$2:$A$1001,"CF"))=0),"Responses column CF ("""&amp;Responses!$CF$1&amp;""") has data, but no question or demographic is set up to use it — so it won't appear in your results.","")</f>
        <v>0</v>
      </c>
      <c r="F2591" s="4" t="s">
        <v>1900</v>
      </c>
    </row>
    <row r="2592" spans="1:6" ht="75" customHeight="1">
      <c r="A2592" t="s">
        <v>334</v>
      </c>
      <c r="B2592" t="s">
        <v>504</v>
      </c>
      <c r="C2592" t="s">
        <v>1816</v>
      </c>
      <c r="D2592" t="s">
        <v>1808</v>
      </c>
      <c r="E2592" s="4">
        <f>IF(AND(Responses!$CG$1&lt;&gt;"",ISERROR(SEARCH("response id",LOWER(Responses!$CG$1))),(COUNTIF('Open Questions'!$A$2:$A$1001,"CG")+COUNTIF('Multiple Choice Questions'!$A$2:$A$1001,"CG")+COUNTIF('Hybrid Questions'!$A$2:$A$1001,"CG")+COUNTIF('Hybrid Questions'!$D$2:$D$1001,"CG")+COUNTIF('Demographics'!$A$2:$A$1001,"CG"))=0),"Responses column CG ("""&amp;Responses!$CG$1&amp;""") has data, but no question or demographic is set up to use it — so it won't appear in your results.","")</f>
        <v>0</v>
      </c>
      <c r="F2592" s="4" t="s">
        <v>1901</v>
      </c>
    </row>
    <row r="2593" spans="1:6" ht="75" customHeight="1">
      <c r="A2593" t="s">
        <v>334</v>
      </c>
      <c r="B2593" t="s">
        <v>506</v>
      </c>
      <c r="C2593" t="s">
        <v>1816</v>
      </c>
      <c r="D2593" t="s">
        <v>1808</v>
      </c>
      <c r="E2593" s="4">
        <f>IF(AND(Responses!$CH$1&lt;&gt;"",ISERROR(SEARCH("response id",LOWER(Responses!$CH$1))),(COUNTIF('Open Questions'!$A$2:$A$1001,"CH")+COUNTIF('Multiple Choice Questions'!$A$2:$A$1001,"CH")+COUNTIF('Hybrid Questions'!$A$2:$A$1001,"CH")+COUNTIF('Hybrid Questions'!$D$2:$D$1001,"CH")+COUNTIF('Demographics'!$A$2:$A$1001,"CH"))=0),"Responses column CH ("""&amp;Responses!$CH$1&amp;""") has data, but no question or demographic is set up to use it — so it won't appear in your results.","")</f>
        <v>0</v>
      </c>
      <c r="F2593" s="4" t="s">
        <v>1902</v>
      </c>
    </row>
    <row r="2594" spans="1:6" ht="75" customHeight="1">
      <c r="A2594" t="s">
        <v>334</v>
      </c>
      <c r="B2594" t="s">
        <v>508</v>
      </c>
      <c r="C2594" t="s">
        <v>1816</v>
      </c>
      <c r="D2594" t="s">
        <v>1808</v>
      </c>
      <c r="E2594" s="4">
        <f>IF(AND(Responses!$CI$1&lt;&gt;"",ISERROR(SEARCH("response id",LOWER(Responses!$CI$1))),(COUNTIF('Open Questions'!$A$2:$A$1001,"CI")+COUNTIF('Multiple Choice Questions'!$A$2:$A$1001,"CI")+COUNTIF('Hybrid Questions'!$A$2:$A$1001,"CI")+COUNTIF('Hybrid Questions'!$D$2:$D$1001,"CI")+COUNTIF('Demographics'!$A$2:$A$1001,"CI"))=0),"Responses column CI ("""&amp;Responses!$CI$1&amp;""") has data, but no question or demographic is set up to use it — so it won't appear in your results.","")</f>
        <v>0</v>
      </c>
      <c r="F2594" s="4" t="s">
        <v>1903</v>
      </c>
    </row>
    <row r="2595" spans="1:6" ht="75" customHeight="1">
      <c r="A2595" t="s">
        <v>334</v>
      </c>
      <c r="B2595" t="s">
        <v>510</v>
      </c>
      <c r="C2595" t="s">
        <v>1816</v>
      </c>
      <c r="D2595" t="s">
        <v>1808</v>
      </c>
      <c r="E2595" s="4">
        <f>IF(AND(Responses!$CJ$1&lt;&gt;"",ISERROR(SEARCH("response id",LOWER(Responses!$CJ$1))),(COUNTIF('Open Questions'!$A$2:$A$1001,"CJ")+COUNTIF('Multiple Choice Questions'!$A$2:$A$1001,"CJ")+COUNTIF('Hybrid Questions'!$A$2:$A$1001,"CJ")+COUNTIF('Hybrid Questions'!$D$2:$D$1001,"CJ")+COUNTIF('Demographics'!$A$2:$A$1001,"CJ"))=0),"Responses column CJ ("""&amp;Responses!$CJ$1&amp;""") has data, but no question or demographic is set up to use it — so it won't appear in your results.","")</f>
        <v>0</v>
      </c>
      <c r="F2595" s="4" t="s">
        <v>1904</v>
      </c>
    </row>
    <row r="2596" spans="1:6" ht="75" customHeight="1">
      <c r="A2596" t="s">
        <v>334</v>
      </c>
      <c r="B2596" t="s">
        <v>512</v>
      </c>
      <c r="C2596" t="s">
        <v>1816</v>
      </c>
      <c r="D2596" t="s">
        <v>1808</v>
      </c>
      <c r="E2596" s="4">
        <f>IF(AND(Responses!$CK$1&lt;&gt;"",ISERROR(SEARCH("response id",LOWER(Responses!$CK$1))),(COUNTIF('Open Questions'!$A$2:$A$1001,"CK")+COUNTIF('Multiple Choice Questions'!$A$2:$A$1001,"CK")+COUNTIF('Hybrid Questions'!$A$2:$A$1001,"CK")+COUNTIF('Hybrid Questions'!$D$2:$D$1001,"CK")+COUNTIF('Demographics'!$A$2:$A$1001,"CK"))=0),"Responses column CK ("""&amp;Responses!$CK$1&amp;""") has data, but no question or demographic is set up to use it — so it won't appear in your results.","")</f>
        <v>0</v>
      </c>
      <c r="F2596" s="4" t="s">
        <v>1905</v>
      </c>
    </row>
    <row r="2597" spans="1:6" ht="75" customHeight="1">
      <c r="A2597" t="s">
        <v>334</v>
      </c>
      <c r="B2597" t="s">
        <v>514</v>
      </c>
      <c r="C2597" t="s">
        <v>1816</v>
      </c>
      <c r="D2597" t="s">
        <v>1808</v>
      </c>
      <c r="E2597" s="4">
        <f>IF(AND(Responses!$CL$1&lt;&gt;"",ISERROR(SEARCH("response id",LOWER(Responses!$CL$1))),(COUNTIF('Open Questions'!$A$2:$A$1001,"CL")+COUNTIF('Multiple Choice Questions'!$A$2:$A$1001,"CL")+COUNTIF('Hybrid Questions'!$A$2:$A$1001,"CL")+COUNTIF('Hybrid Questions'!$D$2:$D$1001,"CL")+COUNTIF('Demographics'!$A$2:$A$1001,"CL"))=0),"Responses column CL ("""&amp;Responses!$CL$1&amp;""") has data, but no question or demographic is set up to use it — so it won't appear in your results.","")</f>
        <v>0</v>
      </c>
      <c r="F2597" s="4" t="s">
        <v>1906</v>
      </c>
    </row>
    <row r="2598" spans="1:6" ht="75" customHeight="1">
      <c r="A2598" t="s">
        <v>334</v>
      </c>
      <c r="B2598" t="s">
        <v>516</v>
      </c>
      <c r="C2598" t="s">
        <v>1816</v>
      </c>
      <c r="D2598" t="s">
        <v>1808</v>
      </c>
      <c r="E2598" s="4">
        <f>IF(AND(Responses!$CM$1&lt;&gt;"",ISERROR(SEARCH("response id",LOWER(Responses!$CM$1))),(COUNTIF('Open Questions'!$A$2:$A$1001,"CM")+COUNTIF('Multiple Choice Questions'!$A$2:$A$1001,"CM")+COUNTIF('Hybrid Questions'!$A$2:$A$1001,"CM")+COUNTIF('Hybrid Questions'!$D$2:$D$1001,"CM")+COUNTIF('Demographics'!$A$2:$A$1001,"CM"))=0),"Responses column CM ("""&amp;Responses!$CM$1&amp;""") has data, but no question or demographic is set up to use it — so it won't appear in your results.","")</f>
        <v>0</v>
      </c>
      <c r="F2598" s="4" t="s">
        <v>1907</v>
      </c>
    </row>
    <row r="2599" spans="1:6" ht="75" customHeight="1">
      <c r="A2599" t="s">
        <v>334</v>
      </c>
      <c r="B2599" t="s">
        <v>518</v>
      </c>
      <c r="C2599" t="s">
        <v>1816</v>
      </c>
      <c r="D2599" t="s">
        <v>1808</v>
      </c>
      <c r="E2599" s="4">
        <f>IF(AND(Responses!$CN$1&lt;&gt;"",ISERROR(SEARCH("response id",LOWER(Responses!$CN$1))),(COUNTIF('Open Questions'!$A$2:$A$1001,"CN")+COUNTIF('Multiple Choice Questions'!$A$2:$A$1001,"CN")+COUNTIF('Hybrid Questions'!$A$2:$A$1001,"CN")+COUNTIF('Hybrid Questions'!$D$2:$D$1001,"CN")+COUNTIF('Demographics'!$A$2:$A$1001,"CN"))=0),"Responses column CN ("""&amp;Responses!$CN$1&amp;""") has data, but no question or demographic is set up to use it — so it won't appear in your results.","")</f>
        <v>0</v>
      </c>
      <c r="F2599" s="4" t="s">
        <v>1908</v>
      </c>
    </row>
    <row r="2600" spans="1:6" ht="75" customHeight="1">
      <c r="A2600" t="s">
        <v>334</v>
      </c>
      <c r="B2600" t="s">
        <v>520</v>
      </c>
      <c r="C2600" t="s">
        <v>1816</v>
      </c>
      <c r="D2600" t="s">
        <v>1808</v>
      </c>
      <c r="E2600" s="4">
        <f>IF(AND(Responses!$CO$1&lt;&gt;"",ISERROR(SEARCH("response id",LOWER(Responses!$CO$1))),(COUNTIF('Open Questions'!$A$2:$A$1001,"CO")+COUNTIF('Multiple Choice Questions'!$A$2:$A$1001,"CO")+COUNTIF('Hybrid Questions'!$A$2:$A$1001,"CO")+COUNTIF('Hybrid Questions'!$D$2:$D$1001,"CO")+COUNTIF('Demographics'!$A$2:$A$1001,"CO"))=0),"Responses column CO ("""&amp;Responses!$CO$1&amp;""") has data, but no question or demographic is set up to use it — so it won't appear in your results.","")</f>
        <v>0</v>
      </c>
      <c r="F2600" s="4" t="s">
        <v>1909</v>
      </c>
    </row>
    <row r="2601" spans="1:6" ht="75" customHeight="1">
      <c r="A2601" t="s">
        <v>334</v>
      </c>
      <c r="B2601" t="s">
        <v>522</v>
      </c>
      <c r="C2601" t="s">
        <v>1816</v>
      </c>
      <c r="D2601" t="s">
        <v>1808</v>
      </c>
      <c r="E2601" s="4">
        <f>IF(AND(Responses!$CP$1&lt;&gt;"",ISERROR(SEARCH("response id",LOWER(Responses!$CP$1))),(COUNTIF('Open Questions'!$A$2:$A$1001,"CP")+COUNTIF('Multiple Choice Questions'!$A$2:$A$1001,"CP")+COUNTIF('Hybrid Questions'!$A$2:$A$1001,"CP")+COUNTIF('Hybrid Questions'!$D$2:$D$1001,"CP")+COUNTIF('Demographics'!$A$2:$A$1001,"CP"))=0),"Responses column CP ("""&amp;Responses!$CP$1&amp;""") has data, but no question or demographic is set up to use it — so it won't appear in your results.","")</f>
        <v>0</v>
      </c>
      <c r="F2601" s="4" t="s">
        <v>1910</v>
      </c>
    </row>
    <row r="2602" spans="1:6" ht="75" customHeight="1">
      <c r="A2602" t="s">
        <v>334</v>
      </c>
      <c r="B2602" t="s">
        <v>524</v>
      </c>
      <c r="C2602" t="s">
        <v>1816</v>
      </c>
      <c r="D2602" t="s">
        <v>1808</v>
      </c>
      <c r="E2602" s="4">
        <f>IF(AND(Responses!$CQ$1&lt;&gt;"",ISERROR(SEARCH("response id",LOWER(Responses!$CQ$1))),(COUNTIF('Open Questions'!$A$2:$A$1001,"CQ")+COUNTIF('Multiple Choice Questions'!$A$2:$A$1001,"CQ")+COUNTIF('Hybrid Questions'!$A$2:$A$1001,"CQ")+COUNTIF('Hybrid Questions'!$D$2:$D$1001,"CQ")+COUNTIF('Demographics'!$A$2:$A$1001,"CQ"))=0),"Responses column CQ ("""&amp;Responses!$CQ$1&amp;""") has data, but no question or demographic is set up to use it — so it won't appear in your results.","")</f>
        <v>0</v>
      </c>
      <c r="F2602" s="4" t="s">
        <v>1911</v>
      </c>
    </row>
    <row r="2603" spans="1:6" ht="75" customHeight="1">
      <c r="A2603" t="s">
        <v>334</v>
      </c>
      <c r="B2603" t="s">
        <v>526</v>
      </c>
      <c r="C2603" t="s">
        <v>1816</v>
      </c>
      <c r="D2603" t="s">
        <v>1808</v>
      </c>
      <c r="E2603" s="4">
        <f>IF(AND(Responses!$CR$1&lt;&gt;"",ISERROR(SEARCH("response id",LOWER(Responses!$CR$1))),(COUNTIF('Open Questions'!$A$2:$A$1001,"CR")+COUNTIF('Multiple Choice Questions'!$A$2:$A$1001,"CR")+COUNTIF('Hybrid Questions'!$A$2:$A$1001,"CR")+COUNTIF('Hybrid Questions'!$D$2:$D$1001,"CR")+COUNTIF('Demographics'!$A$2:$A$1001,"CR"))=0),"Responses column CR ("""&amp;Responses!$CR$1&amp;""") has data, but no question or demographic is set up to use it — so it won't appear in your results.","")</f>
        <v>0</v>
      </c>
      <c r="F2603" s="4" t="s">
        <v>1912</v>
      </c>
    </row>
    <row r="2604" spans="1:6" ht="75" customHeight="1">
      <c r="A2604" t="s">
        <v>334</v>
      </c>
      <c r="B2604" t="s">
        <v>528</v>
      </c>
      <c r="C2604" t="s">
        <v>1816</v>
      </c>
      <c r="D2604" t="s">
        <v>1808</v>
      </c>
      <c r="E2604" s="4">
        <f>IF(AND(Responses!$CS$1&lt;&gt;"",ISERROR(SEARCH("response id",LOWER(Responses!$CS$1))),(COUNTIF('Open Questions'!$A$2:$A$1001,"CS")+COUNTIF('Multiple Choice Questions'!$A$2:$A$1001,"CS")+COUNTIF('Hybrid Questions'!$A$2:$A$1001,"CS")+COUNTIF('Hybrid Questions'!$D$2:$D$1001,"CS")+COUNTIF('Demographics'!$A$2:$A$1001,"CS"))=0),"Responses column CS ("""&amp;Responses!$CS$1&amp;""") has data, but no question or demographic is set up to use it — so it won't appear in your results.","")</f>
        <v>0</v>
      </c>
      <c r="F2604" s="4" t="s">
        <v>1913</v>
      </c>
    </row>
    <row r="2605" spans="1:6" ht="75" customHeight="1">
      <c r="A2605" t="s">
        <v>334</v>
      </c>
      <c r="B2605" t="s">
        <v>530</v>
      </c>
      <c r="C2605" t="s">
        <v>1816</v>
      </c>
      <c r="D2605" t="s">
        <v>1808</v>
      </c>
      <c r="E2605" s="4">
        <f>IF(AND(Responses!$CT$1&lt;&gt;"",ISERROR(SEARCH("response id",LOWER(Responses!$CT$1))),(COUNTIF('Open Questions'!$A$2:$A$1001,"CT")+COUNTIF('Multiple Choice Questions'!$A$2:$A$1001,"CT")+COUNTIF('Hybrid Questions'!$A$2:$A$1001,"CT")+COUNTIF('Hybrid Questions'!$D$2:$D$1001,"CT")+COUNTIF('Demographics'!$A$2:$A$1001,"CT"))=0),"Responses column CT ("""&amp;Responses!$CT$1&amp;""") has data, but no question or demographic is set up to use it — so it won't appear in your results.","")</f>
        <v>0</v>
      </c>
      <c r="F2605" s="4" t="s">
        <v>1914</v>
      </c>
    </row>
    <row r="2606" spans="1:6" ht="75" customHeight="1">
      <c r="A2606" t="s">
        <v>334</v>
      </c>
      <c r="B2606" t="s">
        <v>532</v>
      </c>
      <c r="C2606" t="s">
        <v>1816</v>
      </c>
      <c r="D2606" t="s">
        <v>1808</v>
      </c>
      <c r="E2606" s="4">
        <f>IF(AND(Responses!$CU$1&lt;&gt;"",ISERROR(SEARCH("response id",LOWER(Responses!$CU$1))),(COUNTIF('Open Questions'!$A$2:$A$1001,"CU")+COUNTIF('Multiple Choice Questions'!$A$2:$A$1001,"CU")+COUNTIF('Hybrid Questions'!$A$2:$A$1001,"CU")+COUNTIF('Hybrid Questions'!$D$2:$D$1001,"CU")+COUNTIF('Demographics'!$A$2:$A$1001,"CU"))=0),"Responses column CU ("""&amp;Responses!$CU$1&amp;""") has data, but no question or demographic is set up to use it — so it won't appear in your results.","")</f>
        <v>0</v>
      </c>
      <c r="F2606" s="4" t="s">
        <v>1915</v>
      </c>
    </row>
    <row r="2607" spans="1:6" ht="75" customHeight="1">
      <c r="A2607" t="s">
        <v>334</v>
      </c>
      <c r="B2607" t="s">
        <v>534</v>
      </c>
      <c r="C2607" t="s">
        <v>1816</v>
      </c>
      <c r="D2607" t="s">
        <v>1808</v>
      </c>
      <c r="E2607" s="4">
        <f>IF(AND(Responses!$CV$1&lt;&gt;"",ISERROR(SEARCH("response id",LOWER(Responses!$CV$1))),(COUNTIF('Open Questions'!$A$2:$A$1001,"CV")+COUNTIF('Multiple Choice Questions'!$A$2:$A$1001,"CV")+COUNTIF('Hybrid Questions'!$A$2:$A$1001,"CV")+COUNTIF('Hybrid Questions'!$D$2:$D$1001,"CV")+COUNTIF('Demographics'!$A$2:$A$1001,"CV"))=0),"Responses column CV ("""&amp;Responses!$CV$1&amp;""") has data, but no question or demographic is set up to use it — so it won't appear in your results.","")</f>
        <v>0</v>
      </c>
      <c r="F2607" s="4" t="s">
        <v>1916</v>
      </c>
    </row>
    <row r="2608" spans="1:6" ht="75" customHeight="1">
      <c r="A2608" t="s">
        <v>334</v>
      </c>
      <c r="B2608" t="s">
        <v>536</v>
      </c>
      <c r="C2608" t="s">
        <v>1816</v>
      </c>
      <c r="D2608" t="s">
        <v>1808</v>
      </c>
      <c r="E2608" s="4">
        <f>IF(AND(Responses!$CW$1&lt;&gt;"",ISERROR(SEARCH("response id",LOWER(Responses!$CW$1))),(COUNTIF('Open Questions'!$A$2:$A$1001,"CW")+COUNTIF('Multiple Choice Questions'!$A$2:$A$1001,"CW")+COUNTIF('Hybrid Questions'!$A$2:$A$1001,"CW")+COUNTIF('Hybrid Questions'!$D$2:$D$1001,"CW")+COUNTIF('Demographics'!$A$2:$A$1001,"CW"))=0),"Responses column CW ("""&amp;Responses!$CW$1&amp;""") has data, but no question or demographic is set up to use it — so it won't appear in your results.","")</f>
        <v>0</v>
      </c>
      <c r="F2608" s="4" t="s">
        <v>1917</v>
      </c>
    </row>
    <row r="2609" spans="1:6" ht="75" customHeight="1">
      <c r="A2609" t="s">
        <v>334</v>
      </c>
      <c r="B2609" t="s">
        <v>538</v>
      </c>
      <c r="C2609" t="s">
        <v>1816</v>
      </c>
      <c r="D2609" t="s">
        <v>1808</v>
      </c>
      <c r="E2609" s="4">
        <f>IF(AND(Responses!$CX$1&lt;&gt;"",ISERROR(SEARCH("response id",LOWER(Responses!$CX$1))),(COUNTIF('Open Questions'!$A$2:$A$1001,"CX")+COUNTIF('Multiple Choice Questions'!$A$2:$A$1001,"CX")+COUNTIF('Hybrid Questions'!$A$2:$A$1001,"CX")+COUNTIF('Hybrid Questions'!$D$2:$D$1001,"CX")+COUNTIF('Demographics'!$A$2:$A$1001,"CX"))=0),"Responses column CX ("""&amp;Responses!$CX$1&amp;""") has data, but no question or demographic is set up to use it — so it won't appear in your results.","")</f>
        <v>0</v>
      </c>
      <c r="F2609" s="4" t="s">
        <v>1918</v>
      </c>
    </row>
    <row r="2610" spans="1:6" ht="75" customHeight="1">
      <c r="A2610" t="s">
        <v>334</v>
      </c>
      <c r="B2610" t="s">
        <v>540</v>
      </c>
      <c r="C2610" t="s">
        <v>1816</v>
      </c>
      <c r="D2610" t="s">
        <v>1808</v>
      </c>
      <c r="E2610" s="4">
        <f>IF(AND(Responses!$CY$1&lt;&gt;"",ISERROR(SEARCH("response id",LOWER(Responses!$CY$1))),(COUNTIF('Open Questions'!$A$2:$A$1001,"CY")+COUNTIF('Multiple Choice Questions'!$A$2:$A$1001,"CY")+COUNTIF('Hybrid Questions'!$A$2:$A$1001,"CY")+COUNTIF('Hybrid Questions'!$D$2:$D$1001,"CY")+COUNTIF('Demographics'!$A$2:$A$1001,"CY"))=0),"Responses column CY ("""&amp;Responses!$CY$1&amp;""") has data, but no question or demographic is set up to use it — so it won't appear in your results.","")</f>
        <v>0</v>
      </c>
      <c r="F2610" s="4" t="s">
        <v>1919</v>
      </c>
    </row>
    <row r="2611" spans="1:6" ht="75" customHeight="1">
      <c r="A2611" t="s">
        <v>334</v>
      </c>
      <c r="B2611" t="s">
        <v>542</v>
      </c>
      <c r="C2611" t="s">
        <v>1816</v>
      </c>
      <c r="D2611" t="s">
        <v>1808</v>
      </c>
      <c r="E2611" s="4">
        <f>IF(AND(Responses!$CZ$1&lt;&gt;"",ISERROR(SEARCH("response id",LOWER(Responses!$CZ$1))),(COUNTIF('Open Questions'!$A$2:$A$1001,"CZ")+COUNTIF('Multiple Choice Questions'!$A$2:$A$1001,"CZ")+COUNTIF('Hybrid Questions'!$A$2:$A$1001,"CZ")+COUNTIF('Hybrid Questions'!$D$2:$D$1001,"CZ")+COUNTIF('Demographics'!$A$2:$A$1001,"CZ"))=0),"Responses column CZ ("""&amp;Responses!$CZ$1&amp;""") has data, but no question or demographic is set up to use it — so it won't appear in your results.","")</f>
        <v>0</v>
      </c>
      <c r="F2611" s="4" t="s">
        <v>1920</v>
      </c>
    </row>
    <row r="2612" spans="1:6" ht="75" customHeight="1">
      <c r="A2612" t="s">
        <v>334</v>
      </c>
      <c r="B2612" t="s">
        <v>544</v>
      </c>
      <c r="C2612" t="s">
        <v>1816</v>
      </c>
      <c r="D2612" t="s">
        <v>1808</v>
      </c>
      <c r="E2612" s="4">
        <f>IF(AND(Responses!$DA$1&lt;&gt;"",ISERROR(SEARCH("response id",LOWER(Responses!$DA$1))),(COUNTIF('Open Questions'!$A$2:$A$1001,"DA")+COUNTIF('Multiple Choice Questions'!$A$2:$A$1001,"DA")+COUNTIF('Hybrid Questions'!$A$2:$A$1001,"DA")+COUNTIF('Hybrid Questions'!$D$2:$D$1001,"DA")+COUNTIF('Demographics'!$A$2:$A$1001,"DA"))=0),"Responses column DA ("""&amp;Responses!$DA$1&amp;""") has data, but no question or demographic is set up to use it — so it won't appear in your results.","")</f>
        <v>0</v>
      </c>
      <c r="F2612" s="4" t="s">
        <v>1921</v>
      </c>
    </row>
    <row r="2613" spans="1:6" ht="75" customHeight="1">
      <c r="A2613" t="s">
        <v>334</v>
      </c>
      <c r="B2613" t="s">
        <v>546</v>
      </c>
      <c r="C2613" t="s">
        <v>1816</v>
      </c>
      <c r="D2613" t="s">
        <v>1808</v>
      </c>
      <c r="E2613" s="4">
        <f>IF(AND(Responses!$DB$1&lt;&gt;"",ISERROR(SEARCH("response id",LOWER(Responses!$DB$1))),(COUNTIF('Open Questions'!$A$2:$A$1001,"DB")+COUNTIF('Multiple Choice Questions'!$A$2:$A$1001,"DB")+COUNTIF('Hybrid Questions'!$A$2:$A$1001,"DB")+COUNTIF('Hybrid Questions'!$D$2:$D$1001,"DB")+COUNTIF('Demographics'!$A$2:$A$1001,"DB"))=0),"Responses column DB ("""&amp;Responses!$DB$1&amp;""") has data, but no question or demographic is set up to use it — so it won't appear in your results.","")</f>
        <v>0</v>
      </c>
      <c r="F2613" s="4" t="s">
        <v>1922</v>
      </c>
    </row>
    <row r="2614" spans="1:6" ht="75" customHeight="1">
      <c r="A2614" t="s">
        <v>334</v>
      </c>
      <c r="B2614" t="s">
        <v>548</v>
      </c>
      <c r="C2614" t="s">
        <v>1816</v>
      </c>
      <c r="D2614" t="s">
        <v>1808</v>
      </c>
      <c r="E2614" s="4">
        <f>IF(AND(Responses!$DC$1&lt;&gt;"",ISERROR(SEARCH("response id",LOWER(Responses!$DC$1))),(COUNTIF('Open Questions'!$A$2:$A$1001,"DC")+COUNTIF('Multiple Choice Questions'!$A$2:$A$1001,"DC")+COUNTIF('Hybrid Questions'!$A$2:$A$1001,"DC")+COUNTIF('Hybrid Questions'!$D$2:$D$1001,"DC")+COUNTIF('Demographics'!$A$2:$A$1001,"DC"))=0),"Responses column DC ("""&amp;Responses!$DC$1&amp;""") has data, but no question or demographic is set up to use it — so it won't appear in your results.","")</f>
        <v>0</v>
      </c>
      <c r="F2614" s="4" t="s">
        <v>1923</v>
      </c>
    </row>
    <row r="2615" spans="1:6" ht="75" customHeight="1">
      <c r="A2615" t="s">
        <v>334</v>
      </c>
      <c r="B2615" t="s">
        <v>550</v>
      </c>
      <c r="C2615" t="s">
        <v>1816</v>
      </c>
      <c r="D2615" t="s">
        <v>1808</v>
      </c>
      <c r="E2615" s="4">
        <f>IF(AND(Responses!$DD$1&lt;&gt;"",ISERROR(SEARCH("response id",LOWER(Responses!$DD$1))),(COUNTIF('Open Questions'!$A$2:$A$1001,"DD")+COUNTIF('Multiple Choice Questions'!$A$2:$A$1001,"DD")+COUNTIF('Hybrid Questions'!$A$2:$A$1001,"DD")+COUNTIF('Hybrid Questions'!$D$2:$D$1001,"DD")+COUNTIF('Demographics'!$A$2:$A$1001,"DD"))=0),"Responses column DD ("""&amp;Responses!$DD$1&amp;""") has data, but no question or demographic is set up to use it — so it won't appear in your results.","")</f>
        <v>0</v>
      </c>
      <c r="F2615" s="4" t="s">
        <v>1924</v>
      </c>
    </row>
    <row r="2616" spans="1:6" ht="75" customHeight="1">
      <c r="A2616" t="s">
        <v>334</v>
      </c>
      <c r="B2616" t="s">
        <v>552</v>
      </c>
      <c r="C2616" t="s">
        <v>1816</v>
      </c>
      <c r="D2616" t="s">
        <v>1808</v>
      </c>
      <c r="E2616" s="4">
        <f>IF(AND(Responses!$DE$1&lt;&gt;"",ISERROR(SEARCH("response id",LOWER(Responses!$DE$1))),(COUNTIF('Open Questions'!$A$2:$A$1001,"DE")+COUNTIF('Multiple Choice Questions'!$A$2:$A$1001,"DE")+COUNTIF('Hybrid Questions'!$A$2:$A$1001,"DE")+COUNTIF('Hybrid Questions'!$D$2:$D$1001,"DE")+COUNTIF('Demographics'!$A$2:$A$1001,"DE"))=0),"Responses column DE ("""&amp;Responses!$DE$1&amp;""") has data, but no question or demographic is set up to use it — so it won't appear in your results.","")</f>
        <v>0</v>
      </c>
      <c r="F2616" s="4" t="s">
        <v>1925</v>
      </c>
    </row>
    <row r="2617" spans="1:6" ht="75" customHeight="1">
      <c r="A2617" t="s">
        <v>334</v>
      </c>
      <c r="B2617" t="s">
        <v>554</v>
      </c>
      <c r="C2617" t="s">
        <v>1816</v>
      </c>
      <c r="D2617" t="s">
        <v>1808</v>
      </c>
      <c r="E2617" s="4">
        <f>IF(AND(Responses!$DF$1&lt;&gt;"",ISERROR(SEARCH("response id",LOWER(Responses!$DF$1))),(COUNTIF('Open Questions'!$A$2:$A$1001,"DF")+COUNTIF('Multiple Choice Questions'!$A$2:$A$1001,"DF")+COUNTIF('Hybrid Questions'!$A$2:$A$1001,"DF")+COUNTIF('Hybrid Questions'!$D$2:$D$1001,"DF")+COUNTIF('Demographics'!$A$2:$A$1001,"DF"))=0),"Responses column DF ("""&amp;Responses!$DF$1&amp;""") has data, but no question or demographic is set up to use it — so it won't appear in your results.","")</f>
        <v>0</v>
      </c>
      <c r="F2617" s="4" t="s">
        <v>1926</v>
      </c>
    </row>
    <row r="2618" spans="1:6" ht="75" customHeight="1">
      <c r="A2618" t="s">
        <v>334</v>
      </c>
      <c r="B2618" t="s">
        <v>556</v>
      </c>
      <c r="C2618" t="s">
        <v>1816</v>
      </c>
      <c r="D2618" t="s">
        <v>1808</v>
      </c>
      <c r="E2618" s="4">
        <f>IF(AND(Responses!$DG$1&lt;&gt;"",ISERROR(SEARCH("response id",LOWER(Responses!$DG$1))),(COUNTIF('Open Questions'!$A$2:$A$1001,"DG")+COUNTIF('Multiple Choice Questions'!$A$2:$A$1001,"DG")+COUNTIF('Hybrid Questions'!$A$2:$A$1001,"DG")+COUNTIF('Hybrid Questions'!$D$2:$D$1001,"DG")+COUNTIF('Demographics'!$A$2:$A$1001,"DG"))=0),"Responses column DG ("""&amp;Responses!$DG$1&amp;""") has data, but no question or demographic is set up to use it — so it won't appear in your results.","")</f>
        <v>0</v>
      </c>
      <c r="F2618" s="4" t="s">
        <v>1927</v>
      </c>
    </row>
    <row r="2619" spans="1:6" ht="75" customHeight="1">
      <c r="A2619" t="s">
        <v>334</v>
      </c>
      <c r="B2619" t="s">
        <v>558</v>
      </c>
      <c r="C2619" t="s">
        <v>1816</v>
      </c>
      <c r="D2619" t="s">
        <v>1808</v>
      </c>
      <c r="E2619" s="4">
        <f>IF(AND(Responses!$DH$1&lt;&gt;"",ISERROR(SEARCH("response id",LOWER(Responses!$DH$1))),(COUNTIF('Open Questions'!$A$2:$A$1001,"DH")+COUNTIF('Multiple Choice Questions'!$A$2:$A$1001,"DH")+COUNTIF('Hybrid Questions'!$A$2:$A$1001,"DH")+COUNTIF('Hybrid Questions'!$D$2:$D$1001,"DH")+COUNTIF('Demographics'!$A$2:$A$1001,"DH"))=0),"Responses column DH ("""&amp;Responses!$DH$1&amp;""") has data, but no question or demographic is set up to use it — so it won't appear in your results.","")</f>
        <v>0</v>
      </c>
      <c r="F2619" s="4" t="s">
        <v>1928</v>
      </c>
    </row>
    <row r="2620" spans="1:6" ht="75" customHeight="1">
      <c r="A2620" t="s">
        <v>334</v>
      </c>
      <c r="B2620" t="s">
        <v>560</v>
      </c>
      <c r="C2620" t="s">
        <v>1816</v>
      </c>
      <c r="D2620" t="s">
        <v>1808</v>
      </c>
      <c r="E2620" s="4">
        <f>IF(AND(Responses!$DI$1&lt;&gt;"",ISERROR(SEARCH("response id",LOWER(Responses!$DI$1))),(COUNTIF('Open Questions'!$A$2:$A$1001,"DI")+COUNTIF('Multiple Choice Questions'!$A$2:$A$1001,"DI")+COUNTIF('Hybrid Questions'!$A$2:$A$1001,"DI")+COUNTIF('Hybrid Questions'!$D$2:$D$1001,"DI")+COUNTIF('Demographics'!$A$2:$A$1001,"DI"))=0),"Responses column DI ("""&amp;Responses!$DI$1&amp;""") has data, but no question or demographic is set up to use it — so it won't appear in your results.","")</f>
        <v>0</v>
      </c>
      <c r="F2620" s="4" t="s">
        <v>1929</v>
      </c>
    </row>
    <row r="2621" spans="1:6" ht="75" customHeight="1">
      <c r="A2621" t="s">
        <v>334</v>
      </c>
      <c r="B2621" t="s">
        <v>562</v>
      </c>
      <c r="C2621" t="s">
        <v>1816</v>
      </c>
      <c r="D2621" t="s">
        <v>1808</v>
      </c>
      <c r="E2621" s="4">
        <f>IF(AND(Responses!$DJ$1&lt;&gt;"",ISERROR(SEARCH("response id",LOWER(Responses!$DJ$1))),(COUNTIF('Open Questions'!$A$2:$A$1001,"DJ")+COUNTIF('Multiple Choice Questions'!$A$2:$A$1001,"DJ")+COUNTIF('Hybrid Questions'!$A$2:$A$1001,"DJ")+COUNTIF('Hybrid Questions'!$D$2:$D$1001,"DJ")+COUNTIF('Demographics'!$A$2:$A$1001,"DJ"))=0),"Responses column DJ ("""&amp;Responses!$DJ$1&amp;""") has data, but no question or demographic is set up to use it — so it won't appear in your results.","")</f>
        <v>0</v>
      </c>
      <c r="F2621" s="4" t="s">
        <v>1930</v>
      </c>
    </row>
    <row r="2622" spans="1:6" ht="75" customHeight="1">
      <c r="A2622" t="s">
        <v>334</v>
      </c>
      <c r="B2622" t="s">
        <v>564</v>
      </c>
      <c r="C2622" t="s">
        <v>1816</v>
      </c>
      <c r="D2622" t="s">
        <v>1808</v>
      </c>
      <c r="E2622" s="4">
        <f>IF(AND(Responses!$DK$1&lt;&gt;"",ISERROR(SEARCH("response id",LOWER(Responses!$DK$1))),(COUNTIF('Open Questions'!$A$2:$A$1001,"DK")+COUNTIF('Multiple Choice Questions'!$A$2:$A$1001,"DK")+COUNTIF('Hybrid Questions'!$A$2:$A$1001,"DK")+COUNTIF('Hybrid Questions'!$D$2:$D$1001,"DK")+COUNTIF('Demographics'!$A$2:$A$1001,"DK"))=0),"Responses column DK ("""&amp;Responses!$DK$1&amp;""") has data, but no question or demographic is set up to use it — so it won't appear in your results.","")</f>
        <v>0</v>
      </c>
      <c r="F2622" s="4" t="s">
        <v>1931</v>
      </c>
    </row>
    <row r="2623" spans="1:6" ht="75" customHeight="1">
      <c r="A2623" t="s">
        <v>334</v>
      </c>
      <c r="B2623" t="s">
        <v>566</v>
      </c>
      <c r="C2623" t="s">
        <v>1816</v>
      </c>
      <c r="D2623" t="s">
        <v>1808</v>
      </c>
      <c r="E2623" s="4">
        <f>IF(AND(Responses!$DL$1&lt;&gt;"",ISERROR(SEARCH("response id",LOWER(Responses!$DL$1))),(COUNTIF('Open Questions'!$A$2:$A$1001,"DL")+COUNTIF('Multiple Choice Questions'!$A$2:$A$1001,"DL")+COUNTIF('Hybrid Questions'!$A$2:$A$1001,"DL")+COUNTIF('Hybrid Questions'!$D$2:$D$1001,"DL")+COUNTIF('Demographics'!$A$2:$A$1001,"DL"))=0),"Responses column DL ("""&amp;Responses!$DL$1&amp;""") has data, but no question or demographic is set up to use it — so it won't appear in your results.","")</f>
        <v>0</v>
      </c>
      <c r="F2623" s="4" t="s">
        <v>1932</v>
      </c>
    </row>
    <row r="2624" spans="1:6" ht="75" customHeight="1">
      <c r="A2624" t="s">
        <v>334</v>
      </c>
      <c r="B2624" t="s">
        <v>568</v>
      </c>
      <c r="C2624" t="s">
        <v>1816</v>
      </c>
      <c r="D2624" t="s">
        <v>1808</v>
      </c>
      <c r="E2624" s="4">
        <f>IF(AND(Responses!$DM$1&lt;&gt;"",ISERROR(SEARCH("response id",LOWER(Responses!$DM$1))),(COUNTIF('Open Questions'!$A$2:$A$1001,"DM")+COUNTIF('Multiple Choice Questions'!$A$2:$A$1001,"DM")+COUNTIF('Hybrid Questions'!$A$2:$A$1001,"DM")+COUNTIF('Hybrid Questions'!$D$2:$D$1001,"DM")+COUNTIF('Demographics'!$A$2:$A$1001,"DM"))=0),"Responses column DM ("""&amp;Responses!$DM$1&amp;""") has data, but no question or demographic is set up to use it — so it won't appear in your results.","")</f>
        <v>0</v>
      </c>
      <c r="F2624" s="4" t="s">
        <v>1933</v>
      </c>
    </row>
    <row r="2625" spans="1:6" ht="75" customHeight="1">
      <c r="A2625" t="s">
        <v>334</v>
      </c>
      <c r="B2625" t="s">
        <v>570</v>
      </c>
      <c r="C2625" t="s">
        <v>1816</v>
      </c>
      <c r="D2625" t="s">
        <v>1808</v>
      </c>
      <c r="E2625" s="4">
        <f>IF(AND(Responses!$DN$1&lt;&gt;"",ISERROR(SEARCH("response id",LOWER(Responses!$DN$1))),(COUNTIF('Open Questions'!$A$2:$A$1001,"DN")+COUNTIF('Multiple Choice Questions'!$A$2:$A$1001,"DN")+COUNTIF('Hybrid Questions'!$A$2:$A$1001,"DN")+COUNTIF('Hybrid Questions'!$D$2:$D$1001,"DN")+COUNTIF('Demographics'!$A$2:$A$1001,"DN"))=0),"Responses column DN ("""&amp;Responses!$DN$1&amp;""") has data, but no question or demographic is set up to use it — so it won't appear in your results.","")</f>
        <v>0</v>
      </c>
      <c r="F2625" s="4" t="s">
        <v>1934</v>
      </c>
    </row>
    <row r="2626" spans="1:6" ht="75" customHeight="1">
      <c r="A2626" t="s">
        <v>334</v>
      </c>
      <c r="B2626" t="s">
        <v>572</v>
      </c>
      <c r="C2626" t="s">
        <v>1816</v>
      </c>
      <c r="D2626" t="s">
        <v>1808</v>
      </c>
      <c r="E2626" s="4">
        <f>IF(AND(Responses!$DO$1&lt;&gt;"",ISERROR(SEARCH("response id",LOWER(Responses!$DO$1))),(COUNTIF('Open Questions'!$A$2:$A$1001,"DO")+COUNTIF('Multiple Choice Questions'!$A$2:$A$1001,"DO")+COUNTIF('Hybrid Questions'!$A$2:$A$1001,"DO")+COUNTIF('Hybrid Questions'!$D$2:$D$1001,"DO")+COUNTIF('Demographics'!$A$2:$A$1001,"DO"))=0),"Responses column DO ("""&amp;Responses!$DO$1&amp;""") has data, but no question or demographic is set up to use it — so it won't appear in your results.","")</f>
        <v>0</v>
      </c>
      <c r="F2626" s="4" t="s">
        <v>1935</v>
      </c>
    </row>
    <row r="2627" spans="1:6" ht="75" customHeight="1">
      <c r="A2627" t="s">
        <v>334</v>
      </c>
      <c r="B2627" t="s">
        <v>574</v>
      </c>
      <c r="C2627" t="s">
        <v>1816</v>
      </c>
      <c r="D2627" t="s">
        <v>1808</v>
      </c>
      <c r="E2627" s="4">
        <f>IF(AND(Responses!$DP$1&lt;&gt;"",ISERROR(SEARCH("response id",LOWER(Responses!$DP$1))),(COUNTIF('Open Questions'!$A$2:$A$1001,"DP")+COUNTIF('Multiple Choice Questions'!$A$2:$A$1001,"DP")+COUNTIF('Hybrid Questions'!$A$2:$A$1001,"DP")+COUNTIF('Hybrid Questions'!$D$2:$D$1001,"DP")+COUNTIF('Demographics'!$A$2:$A$1001,"DP"))=0),"Responses column DP ("""&amp;Responses!$DP$1&amp;""") has data, but no question or demographic is set up to use it — so it won't appear in your results.","")</f>
        <v>0</v>
      </c>
      <c r="F2627" s="4" t="s">
        <v>1936</v>
      </c>
    </row>
    <row r="2628" spans="1:6" ht="75" customHeight="1">
      <c r="A2628" t="s">
        <v>334</v>
      </c>
      <c r="B2628" t="s">
        <v>576</v>
      </c>
      <c r="C2628" t="s">
        <v>1816</v>
      </c>
      <c r="D2628" t="s">
        <v>1808</v>
      </c>
      <c r="E2628" s="4">
        <f>IF(AND(Responses!$DQ$1&lt;&gt;"",ISERROR(SEARCH("response id",LOWER(Responses!$DQ$1))),(COUNTIF('Open Questions'!$A$2:$A$1001,"DQ")+COUNTIF('Multiple Choice Questions'!$A$2:$A$1001,"DQ")+COUNTIF('Hybrid Questions'!$A$2:$A$1001,"DQ")+COUNTIF('Hybrid Questions'!$D$2:$D$1001,"DQ")+COUNTIF('Demographics'!$A$2:$A$1001,"DQ"))=0),"Responses column DQ ("""&amp;Responses!$DQ$1&amp;""") has data, but no question or demographic is set up to use it — so it won't appear in your results.","")</f>
        <v>0</v>
      </c>
      <c r="F2628" s="4" t="s">
        <v>1937</v>
      </c>
    </row>
    <row r="2629" spans="1:6" ht="75" customHeight="1">
      <c r="A2629" t="s">
        <v>334</v>
      </c>
      <c r="B2629" t="s">
        <v>578</v>
      </c>
      <c r="C2629" t="s">
        <v>1816</v>
      </c>
      <c r="D2629" t="s">
        <v>1808</v>
      </c>
      <c r="E2629" s="4">
        <f>IF(AND(Responses!$DR$1&lt;&gt;"",ISERROR(SEARCH("response id",LOWER(Responses!$DR$1))),(COUNTIF('Open Questions'!$A$2:$A$1001,"DR")+COUNTIF('Multiple Choice Questions'!$A$2:$A$1001,"DR")+COUNTIF('Hybrid Questions'!$A$2:$A$1001,"DR")+COUNTIF('Hybrid Questions'!$D$2:$D$1001,"DR")+COUNTIF('Demographics'!$A$2:$A$1001,"DR"))=0),"Responses column DR ("""&amp;Responses!$DR$1&amp;""") has data, but no question or demographic is set up to use it — so it won't appear in your results.","")</f>
        <v>0</v>
      </c>
      <c r="F2629" s="4" t="s">
        <v>1938</v>
      </c>
    </row>
    <row r="2630" spans="1:6" ht="75" customHeight="1">
      <c r="A2630" t="s">
        <v>334</v>
      </c>
      <c r="B2630" t="s">
        <v>580</v>
      </c>
      <c r="C2630" t="s">
        <v>1816</v>
      </c>
      <c r="D2630" t="s">
        <v>1808</v>
      </c>
      <c r="E2630" s="4">
        <f>IF(AND(Responses!$DS$1&lt;&gt;"",ISERROR(SEARCH("response id",LOWER(Responses!$DS$1))),(COUNTIF('Open Questions'!$A$2:$A$1001,"DS")+COUNTIF('Multiple Choice Questions'!$A$2:$A$1001,"DS")+COUNTIF('Hybrid Questions'!$A$2:$A$1001,"DS")+COUNTIF('Hybrid Questions'!$D$2:$D$1001,"DS")+COUNTIF('Demographics'!$A$2:$A$1001,"DS"))=0),"Responses column DS ("""&amp;Responses!$DS$1&amp;""") has data, but no question or demographic is set up to use it — so it won't appear in your results.","")</f>
        <v>0</v>
      </c>
      <c r="F2630" s="4" t="s">
        <v>1939</v>
      </c>
    </row>
    <row r="2631" spans="1:6" ht="75" customHeight="1">
      <c r="A2631" t="s">
        <v>334</v>
      </c>
      <c r="B2631" t="s">
        <v>582</v>
      </c>
      <c r="C2631" t="s">
        <v>1816</v>
      </c>
      <c r="D2631" t="s">
        <v>1808</v>
      </c>
      <c r="E2631" s="4">
        <f>IF(AND(Responses!$DT$1&lt;&gt;"",ISERROR(SEARCH("response id",LOWER(Responses!$DT$1))),(COUNTIF('Open Questions'!$A$2:$A$1001,"DT")+COUNTIF('Multiple Choice Questions'!$A$2:$A$1001,"DT")+COUNTIF('Hybrid Questions'!$A$2:$A$1001,"DT")+COUNTIF('Hybrid Questions'!$D$2:$D$1001,"DT")+COUNTIF('Demographics'!$A$2:$A$1001,"DT"))=0),"Responses column DT ("""&amp;Responses!$DT$1&amp;""") has data, but no question or demographic is set up to use it — so it won't appear in your results.","")</f>
        <v>0</v>
      </c>
      <c r="F2631" s="4" t="s">
        <v>1940</v>
      </c>
    </row>
    <row r="2632" spans="1:6" ht="75" customHeight="1">
      <c r="A2632" t="s">
        <v>334</v>
      </c>
      <c r="B2632" t="s">
        <v>584</v>
      </c>
      <c r="C2632" t="s">
        <v>1816</v>
      </c>
      <c r="D2632" t="s">
        <v>1808</v>
      </c>
      <c r="E2632" s="4">
        <f>IF(AND(Responses!$DU$1&lt;&gt;"",ISERROR(SEARCH("response id",LOWER(Responses!$DU$1))),(COUNTIF('Open Questions'!$A$2:$A$1001,"DU")+COUNTIF('Multiple Choice Questions'!$A$2:$A$1001,"DU")+COUNTIF('Hybrid Questions'!$A$2:$A$1001,"DU")+COUNTIF('Hybrid Questions'!$D$2:$D$1001,"DU")+COUNTIF('Demographics'!$A$2:$A$1001,"DU"))=0),"Responses column DU ("""&amp;Responses!$DU$1&amp;""") has data, but no question or demographic is set up to use it — so it won't appear in your results.","")</f>
        <v>0</v>
      </c>
      <c r="F2632" s="4" t="s">
        <v>1941</v>
      </c>
    </row>
    <row r="2633" spans="1:6" ht="75" customHeight="1">
      <c r="A2633" t="s">
        <v>334</v>
      </c>
      <c r="B2633" t="s">
        <v>586</v>
      </c>
      <c r="C2633" t="s">
        <v>1816</v>
      </c>
      <c r="D2633" t="s">
        <v>1808</v>
      </c>
      <c r="E2633" s="4">
        <f>IF(AND(Responses!$DV$1&lt;&gt;"",ISERROR(SEARCH("response id",LOWER(Responses!$DV$1))),(COUNTIF('Open Questions'!$A$2:$A$1001,"DV")+COUNTIF('Multiple Choice Questions'!$A$2:$A$1001,"DV")+COUNTIF('Hybrid Questions'!$A$2:$A$1001,"DV")+COUNTIF('Hybrid Questions'!$D$2:$D$1001,"DV")+COUNTIF('Demographics'!$A$2:$A$1001,"DV"))=0),"Responses column DV ("""&amp;Responses!$DV$1&amp;""") has data, but no question or demographic is set up to use it — so it won't appear in your results.","")</f>
        <v>0</v>
      </c>
      <c r="F2633" s="4" t="s">
        <v>1942</v>
      </c>
    </row>
    <row r="2634" spans="1:6" ht="75" customHeight="1">
      <c r="A2634" t="s">
        <v>334</v>
      </c>
      <c r="B2634" t="s">
        <v>588</v>
      </c>
      <c r="C2634" t="s">
        <v>1816</v>
      </c>
      <c r="D2634" t="s">
        <v>1808</v>
      </c>
      <c r="E2634" s="4">
        <f>IF(AND(Responses!$DW$1&lt;&gt;"",ISERROR(SEARCH("response id",LOWER(Responses!$DW$1))),(COUNTIF('Open Questions'!$A$2:$A$1001,"DW")+COUNTIF('Multiple Choice Questions'!$A$2:$A$1001,"DW")+COUNTIF('Hybrid Questions'!$A$2:$A$1001,"DW")+COUNTIF('Hybrid Questions'!$D$2:$D$1001,"DW")+COUNTIF('Demographics'!$A$2:$A$1001,"DW"))=0),"Responses column DW ("""&amp;Responses!$DW$1&amp;""") has data, but no question or demographic is set up to use it — so it won't appear in your results.","")</f>
        <v>0</v>
      </c>
      <c r="F2634" s="4" t="s">
        <v>1943</v>
      </c>
    </row>
    <row r="2635" spans="1:6" ht="75" customHeight="1">
      <c r="A2635" t="s">
        <v>334</v>
      </c>
      <c r="B2635" t="s">
        <v>590</v>
      </c>
      <c r="C2635" t="s">
        <v>1816</v>
      </c>
      <c r="D2635" t="s">
        <v>1808</v>
      </c>
      <c r="E2635" s="4">
        <f>IF(AND(Responses!$DX$1&lt;&gt;"",ISERROR(SEARCH("response id",LOWER(Responses!$DX$1))),(COUNTIF('Open Questions'!$A$2:$A$1001,"DX")+COUNTIF('Multiple Choice Questions'!$A$2:$A$1001,"DX")+COUNTIF('Hybrid Questions'!$A$2:$A$1001,"DX")+COUNTIF('Hybrid Questions'!$D$2:$D$1001,"DX")+COUNTIF('Demographics'!$A$2:$A$1001,"DX"))=0),"Responses column DX ("""&amp;Responses!$DX$1&amp;""") has data, but no question or demographic is set up to use it — so it won't appear in your results.","")</f>
        <v>0</v>
      </c>
      <c r="F2635" s="4" t="s">
        <v>1944</v>
      </c>
    </row>
    <row r="2636" spans="1:6" ht="75" customHeight="1">
      <c r="A2636" t="s">
        <v>334</v>
      </c>
      <c r="B2636" t="s">
        <v>592</v>
      </c>
      <c r="C2636" t="s">
        <v>1816</v>
      </c>
      <c r="D2636" t="s">
        <v>1808</v>
      </c>
      <c r="E2636" s="4">
        <f>IF(AND(Responses!$DY$1&lt;&gt;"",ISERROR(SEARCH("response id",LOWER(Responses!$DY$1))),(COUNTIF('Open Questions'!$A$2:$A$1001,"DY")+COUNTIF('Multiple Choice Questions'!$A$2:$A$1001,"DY")+COUNTIF('Hybrid Questions'!$A$2:$A$1001,"DY")+COUNTIF('Hybrid Questions'!$D$2:$D$1001,"DY")+COUNTIF('Demographics'!$A$2:$A$1001,"DY"))=0),"Responses column DY ("""&amp;Responses!$DY$1&amp;""") has data, but no question or demographic is set up to use it — so it won't appear in your results.","")</f>
        <v>0</v>
      </c>
      <c r="F2636" s="4" t="s">
        <v>1945</v>
      </c>
    </row>
    <row r="2637" spans="1:6" ht="75" customHeight="1">
      <c r="A2637" t="s">
        <v>334</v>
      </c>
      <c r="B2637" t="s">
        <v>594</v>
      </c>
      <c r="C2637" t="s">
        <v>1816</v>
      </c>
      <c r="D2637" t="s">
        <v>1808</v>
      </c>
      <c r="E2637" s="4">
        <f>IF(AND(Responses!$DZ$1&lt;&gt;"",ISERROR(SEARCH("response id",LOWER(Responses!$DZ$1))),(COUNTIF('Open Questions'!$A$2:$A$1001,"DZ")+COUNTIF('Multiple Choice Questions'!$A$2:$A$1001,"DZ")+COUNTIF('Hybrid Questions'!$A$2:$A$1001,"DZ")+COUNTIF('Hybrid Questions'!$D$2:$D$1001,"DZ")+COUNTIF('Demographics'!$A$2:$A$1001,"DZ"))=0),"Responses column DZ ("""&amp;Responses!$DZ$1&amp;""") has data, but no question or demographic is set up to use it — so it won't appear in your results.","")</f>
        <v>0</v>
      </c>
      <c r="F2637" s="4" t="s">
        <v>1946</v>
      </c>
    </row>
    <row r="2638" spans="1:6" ht="75" customHeight="1">
      <c r="A2638" t="s">
        <v>334</v>
      </c>
      <c r="B2638" t="s">
        <v>596</v>
      </c>
      <c r="C2638" t="s">
        <v>1816</v>
      </c>
      <c r="D2638" t="s">
        <v>1808</v>
      </c>
      <c r="E2638" s="4">
        <f>IF(AND(Responses!$EA$1&lt;&gt;"",ISERROR(SEARCH("response id",LOWER(Responses!$EA$1))),(COUNTIF('Open Questions'!$A$2:$A$1001,"EA")+COUNTIF('Multiple Choice Questions'!$A$2:$A$1001,"EA")+COUNTIF('Hybrid Questions'!$A$2:$A$1001,"EA")+COUNTIF('Hybrid Questions'!$D$2:$D$1001,"EA")+COUNTIF('Demographics'!$A$2:$A$1001,"EA"))=0),"Responses column EA ("""&amp;Responses!$EA$1&amp;""") has data, but no question or demographic is set up to use it — so it won't appear in your results.","")</f>
        <v>0</v>
      </c>
      <c r="F2638" s="4" t="s">
        <v>1947</v>
      </c>
    </row>
    <row r="2639" spans="1:6" ht="75" customHeight="1">
      <c r="A2639" t="s">
        <v>334</v>
      </c>
      <c r="B2639" t="s">
        <v>598</v>
      </c>
      <c r="C2639" t="s">
        <v>1816</v>
      </c>
      <c r="D2639" t="s">
        <v>1808</v>
      </c>
      <c r="E2639" s="4">
        <f>IF(AND(Responses!$EB$1&lt;&gt;"",ISERROR(SEARCH("response id",LOWER(Responses!$EB$1))),(COUNTIF('Open Questions'!$A$2:$A$1001,"EB")+COUNTIF('Multiple Choice Questions'!$A$2:$A$1001,"EB")+COUNTIF('Hybrid Questions'!$A$2:$A$1001,"EB")+COUNTIF('Hybrid Questions'!$D$2:$D$1001,"EB")+COUNTIF('Demographics'!$A$2:$A$1001,"EB"))=0),"Responses column EB ("""&amp;Responses!$EB$1&amp;""") has data, but no question or demographic is set up to use it — so it won't appear in your results.","")</f>
        <v>0</v>
      </c>
      <c r="F2639" s="4" t="s">
        <v>1948</v>
      </c>
    </row>
    <row r="2640" spans="1:6" ht="75" customHeight="1">
      <c r="A2640" t="s">
        <v>334</v>
      </c>
      <c r="B2640" t="s">
        <v>600</v>
      </c>
      <c r="C2640" t="s">
        <v>1816</v>
      </c>
      <c r="D2640" t="s">
        <v>1808</v>
      </c>
      <c r="E2640" s="4">
        <f>IF(AND(Responses!$EC$1&lt;&gt;"",ISERROR(SEARCH("response id",LOWER(Responses!$EC$1))),(COUNTIF('Open Questions'!$A$2:$A$1001,"EC")+COUNTIF('Multiple Choice Questions'!$A$2:$A$1001,"EC")+COUNTIF('Hybrid Questions'!$A$2:$A$1001,"EC")+COUNTIF('Hybrid Questions'!$D$2:$D$1001,"EC")+COUNTIF('Demographics'!$A$2:$A$1001,"EC"))=0),"Responses column EC ("""&amp;Responses!$EC$1&amp;""") has data, but no question or demographic is set up to use it — so it won't appear in your results.","")</f>
        <v>0</v>
      </c>
      <c r="F2640" s="4" t="s">
        <v>1949</v>
      </c>
    </row>
    <row r="2641" spans="1:6" ht="75" customHeight="1">
      <c r="A2641" t="s">
        <v>334</v>
      </c>
      <c r="B2641" t="s">
        <v>602</v>
      </c>
      <c r="C2641" t="s">
        <v>1816</v>
      </c>
      <c r="D2641" t="s">
        <v>1808</v>
      </c>
      <c r="E2641" s="4">
        <f>IF(AND(Responses!$ED$1&lt;&gt;"",ISERROR(SEARCH("response id",LOWER(Responses!$ED$1))),(COUNTIF('Open Questions'!$A$2:$A$1001,"ED")+COUNTIF('Multiple Choice Questions'!$A$2:$A$1001,"ED")+COUNTIF('Hybrid Questions'!$A$2:$A$1001,"ED")+COUNTIF('Hybrid Questions'!$D$2:$D$1001,"ED")+COUNTIF('Demographics'!$A$2:$A$1001,"ED"))=0),"Responses column ED ("""&amp;Responses!$ED$1&amp;""") has data, but no question or demographic is set up to use it — so it won't appear in your results.","")</f>
        <v>0</v>
      </c>
      <c r="F2641" s="4" t="s">
        <v>1950</v>
      </c>
    </row>
    <row r="2642" spans="1:6" ht="75" customHeight="1">
      <c r="A2642" t="s">
        <v>334</v>
      </c>
      <c r="B2642" t="s">
        <v>604</v>
      </c>
      <c r="C2642" t="s">
        <v>1816</v>
      </c>
      <c r="D2642" t="s">
        <v>1808</v>
      </c>
      <c r="E2642" s="4">
        <f>IF(AND(Responses!$EE$1&lt;&gt;"",ISERROR(SEARCH("response id",LOWER(Responses!$EE$1))),(COUNTIF('Open Questions'!$A$2:$A$1001,"EE")+COUNTIF('Multiple Choice Questions'!$A$2:$A$1001,"EE")+COUNTIF('Hybrid Questions'!$A$2:$A$1001,"EE")+COUNTIF('Hybrid Questions'!$D$2:$D$1001,"EE")+COUNTIF('Demographics'!$A$2:$A$1001,"EE"))=0),"Responses column EE ("""&amp;Responses!$EE$1&amp;""") has data, but no question or demographic is set up to use it — so it won't appear in your results.","")</f>
        <v>0</v>
      </c>
      <c r="F2642" s="4" t="s">
        <v>1951</v>
      </c>
    </row>
    <row r="2643" spans="1:6" ht="75" customHeight="1">
      <c r="A2643" t="s">
        <v>334</v>
      </c>
      <c r="B2643" t="s">
        <v>606</v>
      </c>
      <c r="C2643" t="s">
        <v>1816</v>
      </c>
      <c r="D2643" t="s">
        <v>1808</v>
      </c>
      <c r="E2643" s="4">
        <f>IF(AND(Responses!$EF$1&lt;&gt;"",ISERROR(SEARCH("response id",LOWER(Responses!$EF$1))),(COUNTIF('Open Questions'!$A$2:$A$1001,"EF")+COUNTIF('Multiple Choice Questions'!$A$2:$A$1001,"EF")+COUNTIF('Hybrid Questions'!$A$2:$A$1001,"EF")+COUNTIF('Hybrid Questions'!$D$2:$D$1001,"EF")+COUNTIF('Demographics'!$A$2:$A$1001,"EF"))=0),"Responses column EF ("""&amp;Responses!$EF$1&amp;""") has data, but no question or demographic is set up to use it — so it won't appear in your results.","")</f>
        <v>0</v>
      </c>
      <c r="F2643" s="4" t="s">
        <v>1952</v>
      </c>
    </row>
    <row r="2644" spans="1:6" ht="75" customHeight="1">
      <c r="A2644" t="s">
        <v>334</v>
      </c>
      <c r="B2644" t="s">
        <v>608</v>
      </c>
      <c r="C2644" t="s">
        <v>1816</v>
      </c>
      <c r="D2644" t="s">
        <v>1808</v>
      </c>
      <c r="E2644" s="4">
        <f>IF(AND(Responses!$EG$1&lt;&gt;"",ISERROR(SEARCH("response id",LOWER(Responses!$EG$1))),(COUNTIF('Open Questions'!$A$2:$A$1001,"EG")+COUNTIF('Multiple Choice Questions'!$A$2:$A$1001,"EG")+COUNTIF('Hybrid Questions'!$A$2:$A$1001,"EG")+COUNTIF('Hybrid Questions'!$D$2:$D$1001,"EG")+COUNTIF('Demographics'!$A$2:$A$1001,"EG"))=0),"Responses column EG ("""&amp;Responses!$EG$1&amp;""") has data, but no question or demographic is set up to use it — so it won't appear in your results.","")</f>
        <v>0</v>
      </c>
      <c r="F2644" s="4" t="s">
        <v>1953</v>
      </c>
    </row>
    <row r="2645" spans="1:6" ht="75" customHeight="1">
      <c r="A2645" t="s">
        <v>334</v>
      </c>
      <c r="B2645" t="s">
        <v>610</v>
      </c>
      <c r="C2645" t="s">
        <v>1816</v>
      </c>
      <c r="D2645" t="s">
        <v>1808</v>
      </c>
      <c r="E2645" s="4">
        <f>IF(AND(Responses!$EH$1&lt;&gt;"",ISERROR(SEARCH("response id",LOWER(Responses!$EH$1))),(COUNTIF('Open Questions'!$A$2:$A$1001,"EH")+COUNTIF('Multiple Choice Questions'!$A$2:$A$1001,"EH")+COUNTIF('Hybrid Questions'!$A$2:$A$1001,"EH")+COUNTIF('Hybrid Questions'!$D$2:$D$1001,"EH")+COUNTIF('Demographics'!$A$2:$A$1001,"EH"))=0),"Responses column EH ("""&amp;Responses!$EH$1&amp;""") has data, but no question or demographic is set up to use it — so it won't appear in your results.","")</f>
        <v>0</v>
      </c>
      <c r="F2645" s="4" t="s">
        <v>1954</v>
      </c>
    </row>
    <row r="2646" spans="1:6" ht="75" customHeight="1">
      <c r="A2646" t="s">
        <v>334</v>
      </c>
      <c r="B2646" t="s">
        <v>612</v>
      </c>
      <c r="C2646" t="s">
        <v>1816</v>
      </c>
      <c r="D2646" t="s">
        <v>1808</v>
      </c>
      <c r="E2646" s="4">
        <f>IF(AND(Responses!$EI$1&lt;&gt;"",ISERROR(SEARCH("response id",LOWER(Responses!$EI$1))),(COUNTIF('Open Questions'!$A$2:$A$1001,"EI")+COUNTIF('Multiple Choice Questions'!$A$2:$A$1001,"EI")+COUNTIF('Hybrid Questions'!$A$2:$A$1001,"EI")+COUNTIF('Hybrid Questions'!$D$2:$D$1001,"EI")+COUNTIF('Demographics'!$A$2:$A$1001,"EI"))=0),"Responses column EI ("""&amp;Responses!$EI$1&amp;""") has data, but no question or demographic is set up to use it — so it won't appear in your results.","")</f>
        <v>0</v>
      </c>
      <c r="F2646" s="4" t="s">
        <v>1955</v>
      </c>
    </row>
    <row r="2647" spans="1:6" ht="75" customHeight="1">
      <c r="A2647" t="s">
        <v>334</v>
      </c>
      <c r="B2647" t="s">
        <v>614</v>
      </c>
      <c r="C2647" t="s">
        <v>1816</v>
      </c>
      <c r="D2647" t="s">
        <v>1808</v>
      </c>
      <c r="E2647" s="4">
        <f>IF(AND(Responses!$EJ$1&lt;&gt;"",ISERROR(SEARCH("response id",LOWER(Responses!$EJ$1))),(COUNTIF('Open Questions'!$A$2:$A$1001,"EJ")+COUNTIF('Multiple Choice Questions'!$A$2:$A$1001,"EJ")+COUNTIF('Hybrid Questions'!$A$2:$A$1001,"EJ")+COUNTIF('Hybrid Questions'!$D$2:$D$1001,"EJ")+COUNTIF('Demographics'!$A$2:$A$1001,"EJ"))=0),"Responses column EJ ("""&amp;Responses!$EJ$1&amp;""") has data, but no question or demographic is set up to use it — so it won't appear in your results.","")</f>
        <v>0</v>
      </c>
      <c r="F2647" s="4" t="s">
        <v>1956</v>
      </c>
    </row>
    <row r="2648" spans="1:6" ht="75" customHeight="1">
      <c r="A2648" t="s">
        <v>334</v>
      </c>
      <c r="B2648" t="s">
        <v>616</v>
      </c>
      <c r="C2648" t="s">
        <v>1816</v>
      </c>
      <c r="D2648" t="s">
        <v>1808</v>
      </c>
      <c r="E2648" s="4">
        <f>IF(AND(Responses!$EK$1&lt;&gt;"",ISERROR(SEARCH("response id",LOWER(Responses!$EK$1))),(COUNTIF('Open Questions'!$A$2:$A$1001,"EK")+COUNTIF('Multiple Choice Questions'!$A$2:$A$1001,"EK")+COUNTIF('Hybrid Questions'!$A$2:$A$1001,"EK")+COUNTIF('Hybrid Questions'!$D$2:$D$1001,"EK")+COUNTIF('Demographics'!$A$2:$A$1001,"EK"))=0),"Responses column EK ("""&amp;Responses!$EK$1&amp;""") has data, but no question or demographic is set up to use it — so it won't appear in your results.","")</f>
        <v>0</v>
      </c>
      <c r="F2648" s="4" t="s">
        <v>1957</v>
      </c>
    </row>
    <row r="2649" spans="1:6" ht="75" customHeight="1">
      <c r="A2649" t="s">
        <v>334</v>
      </c>
      <c r="B2649" t="s">
        <v>618</v>
      </c>
      <c r="C2649" t="s">
        <v>1816</v>
      </c>
      <c r="D2649" t="s">
        <v>1808</v>
      </c>
      <c r="E2649" s="4">
        <f>IF(AND(Responses!$EL$1&lt;&gt;"",ISERROR(SEARCH("response id",LOWER(Responses!$EL$1))),(COUNTIF('Open Questions'!$A$2:$A$1001,"EL")+COUNTIF('Multiple Choice Questions'!$A$2:$A$1001,"EL")+COUNTIF('Hybrid Questions'!$A$2:$A$1001,"EL")+COUNTIF('Hybrid Questions'!$D$2:$D$1001,"EL")+COUNTIF('Demographics'!$A$2:$A$1001,"EL"))=0),"Responses column EL ("""&amp;Responses!$EL$1&amp;""") has data, but no question or demographic is set up to use it — so it won't appear in your results.","")</f>
        <v>0</v>
      </c>
      <c r="F2649" s="4" t="s">
        <v>1958</v>
      </c>
    </row>
    <row r="2650" spans="1:6" ht="75" customHeight="1">
      <c r="A2650" t="s">
        <v>334</v>
      </c>
      <c r="B2650" t="s">
        <v>620</v>
      </c>
      <c r="C2650" t="s">
        <v>1816</v>
      </c>
      <c r="D2650" t="s">
        <v>1808</v>
      </c>
      <c r="E2650" s="4">
        <f>IF(AND(Responses!$EM$1&lt;&gt;"",ISERROR(SEARCH("response id",LOWER(Responses!$EM$1))),(COUNTIF('Open Questions'!$A$2:$A$1001,"EM")+COUNTIF('Multiple Choice Questions'!$A$2:$A$1001,"EM")+COUNTIF('Hybrid Questions'!$A$2:$A$1001,"EM")+COUNTIF('Hybrid Questions'!$D$2:$D$1001,"EM")+COUNTIF('Demographics'!$A$2:$A$1001,"EM"))=0),"Responses column EM ("""&amp;Responses!$EM$1&amp;""") has data, but no question or demographic is set up to use it — so it won't appear in your results.","")</f>
        <v>0</v>
      </c>
      <c r="F2650" s="4" t="s">
        <v>1959</v>
      </c>
    </row>
    <row r="2651" spans="1:6" ht="75" customHeight="1">
      <c r="A2651" t="s">
        <v>334</v>
      </c>
      <c r="B2651" t="s">
        <v>622</v>
      </c>
      <c r="C2651" t="s">
        <v>1816</v>
      </c>
      <c r="D2651" t="s">
        <v>1808</v>
      </c>
      <c r="E2651" s="4">
        <f>IF(AND(Responses!$EN$1&lt;&gt;"",ISERROR(SEARCH("response id",LOWER(Responses!$EN$1))),(COUNTIF('Open Questions'!$A$2:$A$1001,"EN")+COUNTIF('Multiple Choice Questions'!$A$2:$A$1001,"EN")+COUNTIF('Hybrid Questions'!$A$2:$A$1001,"EN")+COUNTIF('Hybrid Questions'!$D$2:$D$1001,"EN")+COUNTIF('Demographics'!$A$2:$A$1001,"EN"))=0),"Responses column EN ("""&amp;Responses!$EN$1&amp;""") has data, but no question or demographic is set up to use it — so it won't appear in your results.","")</f>
        <v>0</v>
      </c>
      <c r="F2651" s="4" t="s">
        <v>1960</v>
      </c>
    </row>
    <row r="2652" spans="1:6" ht="75" customHeight="1">
      <c r="A2652" t="s">
        <v>334</v>
      </c>
      <c r="B2652" t="s">
        <v>624</v>
      </c>
      <c r="C2652" t="s">
        <v>1816</v>
      </c>
      <c r="D2652" t="s">
        <v>1808</v>
      </c>
      <c r="E2652" s="4">
        <f>IF(AND(Responses!$EO$1&lt;&gt;"",ISERROR(SEARCH("response id",LOWER(Responses!$EO$1))),(COUNTIF('Open Questions'!$A$2:$A$1001,"EO")+COUNTIF('Multiple Choice Questions'!$A$2:$A$1001,"EO")+COUNTIF('Hybrid Questions'!$A$2:$A$1001,"EO")+COUNTIF('Hybrid Questions'!$D$2:$D$1001,"EO")+COUNTIF('Demographics'!$A$2:$A$1001,"EO"))=0),"Responses column EO ("""&amp;Responses!$EO$1&amp;""") has data, but no question or demographic is set up to use it — so it won't appear in your results.","")</f>
        <v>0</v>
      </c>
      <c r="F2652" s="4" t="s">
        <v>1961</v>
      </c>
    </row>
    <row r="2653" spans="1:6" ht="75" customHeight="1">
      <c r="A2653" t="s">
        <v>334</v>
      </c>
      <c r="B2653" t="s">
        <v>626</v>
      </c>
      <c r="C2653" t="s">
        <v>1816</v>
      </c>
      <c r="D2653" t="s">
        <v>1808</v>
      </c>
      <c r="E2653" s="4">
        <f>IF(AND(Responses!$EP$1&lt;&gt;"",ISERROR(SEARCH("response id",LOWER(Responses!$EP$1))),(COUNTIF('Open Questions'!$A$2:$A$1001,"EP")+COUNTIF('Multiple Choice Questions'!$A$2:$A$1001,"EP")+COUNTIF('Hybrid Questions'!$A$2:$A$1001,"EP")+COUNTIF('Hybrid Questions'!$D$2:$D$1001,"EP")+COUNTIF('Demographics'!$A$2:$A$1001,"EP"))=0),"Responses column EP ("""&amp;Responses!$EP$1&amp;""") has data, but no question or demographic is set up to use it — so it won't appear in your results.","")</f>
        <v>0</v>
      </c>
      <c r="F2653" s="4" t="s">
        <v>1962</v>
      </c>
    </row>
    <row r="2654" spans="1:6" ht="75" customHeight="1">
      <c r="A2654" t="s">
        <v>334</v>
      </c>
      <c r="B2654" t="s">
        <v>628</v>
      </c>
      <c r="C2654" t="s">
        <v>1816</v>
      </c>
      <c r="D2654" t="s">
        <v>1808</v>
      </c>
      <c r="E2654" s="4">
        <f>IF(AND(Responses!$EQ$1&lt;&gt;"",ISERROR(SEARCH("response id",LOWER(Responses!$EQ$1))),(COUNTIF('Open Questions'!$A$2:$A$1001,"EQ")+COUNTIF('Multiple Choice Questions'!$A$2:$A$1001,"EQ")+COUNTIF('Hybrid Questions'!$A$2:$A$1001,"EQ")+COUNTIF('Hybrid Questions'!$D$2:$D$1001,"EQ")+COUNTIF('Demographics'!$A$2:$A$1001,"EQ"))=0),"Responses column EQ ("""&amp;Responses!$EQ$1&amp;""") has data, but no question or demographic is set up to use it — so it won't appear in your results.","")</f>
        <v>0</v>
      </c>
      <c r="F2654" s="4" t="s">
        <v>1963</v>
      </c>
    </row>
    <row r="2655" spans="1:6" ht="75" customHeight="1">
      <c r="A2655" t="s">
        <v>334</v>
      </c>
      <c r="B2655" t="s">
        <v>630</v>
      </c>
      <c r="C2655" t="s">
        <v>1816</v>
      </c>
      <c r="D2655" t="s">
        <v>1808</v>
      </c>
      <c r="E2655" s="4">
        <f>IF(AND(Responses!$ER$1&lt;&gt;"",ISERROR(SEARCH("response id",LOWER(Responses!$ER$1))),(COUNTIF('Open Questions'!$A$2:$A$1001,"ER")+COUNTIF('Multiple Choice Questions'!$A$2:$A$1001,"ER")+COUNTIF('Hybrid Questions'!$A$2:$A$1001,"ER")+COUNTIF('Hybrid Questions'!$D$2:$D$1001,"ER")+COUNTIF('Demographics'!$A$2:$A$1001,"ER"))=0),"Responses column ER ("""&amp;Responses!$ER$1&amp;""") has data, but no question or demographic is set up to use it — so it won't appear in your results.","")</f>
        <v>0</v>
      </c>
      <c r="F2655" s="4" t="s">
        <v>1964</v>
      </c>
    </row>
    <row r="2656" spans="1:6" ht="75" customHeight="1">
      <c r="A2656" t="s">
        <v>334</v>
      </c>
      <c r="B2656" t="s">
        <v>632</v>
      </c>
      <c r="C2656" t="s">
        <v>1816</v>
      </c>
      <c r="D2656" t="s">
        <v>1808</v>
      </c>
      <c r="E2656" s="4">
        <f>IF(AND(Responses!$ES$1&lt;&gt;"",ISERROR(SEARCH("response id",LOWER(Responses!$ES$1))),(COUNTIF('Open Questions'!$A$2:$A$1001,"ES")+COUNTIF('Multiple Choice Questions'!$A$2:$A$1001,"ES")+COUNTIF('Hybrid Questions'!$A$2:$A$1001,"ES")+COUNTIF('Hybrid Questions'!$D$2:$D$1001,"ES")+COUNTIF('Demographics'!$A$2:$A$1001,"ES"))=0),"Responses column ES ("""&amp;Responses!$ES$1&amp;""") has data, but no question or demographic is set up to use it — so it won't appear in your results.","")</f>
        <v>0</v>
      </c>
      <c r="F2656" s="4" t="s">
        <v>1965</v>
      </c>
    </row>
    <row r="2657" spans="1:6" ht="75" customHeight="1">
      <c r="A2657" t="s">
        <v>334</v>
      </c>
      <c r="B2657" t="s">
        <v>634</v>
      </c>
      <c r="C2657" t="s">
        <v>1816</v>
      </c>
      <c r="D2657" t="s">
        <v>1808</v>
      </c>
      <c r="E2657" s="4">
        <f>IF(AND(Responses!$ET$1&lt;&gt;"",ISERROR(SEARCH("response id",LOWER(Responses!$ET$1))),(COUNTIF('Open Questions'!$A$2:$A$1001,"ET")+COUNTIF('Multiple Choice Questions'!$A$2:$A$1001,"ET")+COUNTIF('Hybrid Questions'!$A$2:$A$1001,"ET")+COUNTIF('Hybrid Questions'!$D$2:$D$1001,"ET")+COUNTIF('Demographics'!$A$2:$A$1001,"ET"))=0),"Responses column ET ("""&amp;Responses!$ET$1&amp;""") has data, but no question or demographic is set up to use it — so it won't appear in your results.","")</f>
        <v>0</v>
      </c>
      <c r="F2657" s="4" t="s">
        <v>1966</v>
      </c>
    </row>
    <row r="2658" spans="1:6" ht="75" customHeight="1">
      <c r="A2658" t="s">
        <v>334</v>
      </c>
      <c r="B2658" t="s">
        <v>636</v>
      </c>
      <c r="C2658" t="s">
        <v>1816</v>
      </c>
      <c r="D2658" t="s">
        <v>1808</v>
      </c>
      <c r="E2658" s="4">
        <f>IF(AND(Responses!$EU$1&lt;&gt;"",ISERROR(SEARCH("response id",LOWER(Responses!$EU$1))),(COUNTIF('Open Questions'!$A$2:$A$1001,"EU")+COUNTIF('Multiple Choice Questions'!$A$2:$A$1001,"EU")+COUNTIF('Hybrid Questions'!$A$2:$A$1001,"EU")+COUNTIF('Hybrid Questions'!$D$2:$D$1001,"EU")+COUNTIF('Demographics'!$A$2:$A$1001,"EU"))=0),"Responses column EU ("""&amp;Responses!$EU$1&amp;""") has data, but no question or demographic is set up to use it — so it won't appear in your results.","")</f>
        <v>0</v>
      </c>
      <c r="F2658" s="4" t="s">
        <v>1967</v>
      </c>
    </row>
    <row r="2659" spans="1:6" ht="75" customHeight="1">
      <c r="A2659" t="s">
        <v>334</v>
      </c>
      <c r="B2659" t="s">
        <v>638</v>
      </c>
      <c r="C2659" t="s">
        <v>1816</v>
      </c>
      <c r="D2659" t="s">
        <v>1808</v>
      </c>
      <c r="E2659" s="4">
        <f>IF(AND(Responses!$EV$1&lt;&gt;"",ISERROR(SEARCH("response id",LOWER(Responses!$EV$1))),(COUNTIF('Open Questions'!$A$2:$A$1001,"EV")+COUNTIF('Multiple Choice Questions'!$A$2:$A$1001,"EV")+COUNTIF('Hybrid Questions'!$A$2:$A$1001,"EV")+COUNTIF('Hybrid Questions'!$D$2:$D$1001,"EV")+COUNTIF('Demographics'!$A$2:$A$1001,"EV"))=0),"Responses column EV ("""&amp;Responses!$EV$1&amp;""") has data, but no question or demographic is set up to use it — so it won't appear in your results.","")</f>
        <v>0</v>
      </c>
      <c r="F2659" s="4" t="s">
        <v>1968</v>
      </c>
    </row>
    <row r="2660" spans="1:6" ht="75" customHeight="1">
      <c r="A2660" t="s">
        <v>334</v>
      </c>
      <c r="B2660" t="s">
        <v>640</v>
      </c>
      <c r="C2660" t="s">
        <v>1816</v>
      </c>
      <c r="D2660" t="s">
        <v>1808</v>
      </c>
      <c r="E2660" s="4">
        <f>IF(AND(Responses!$EW$1&lt;&gt;"",ISERROR(SEARCH("response id",LOWER(Responses!$EW$1))),(COUNTIF('Open Questions'!$A$2:$A$1001,"EW")+COUNTIF('Multiple Choice Questions'!$A$2:$A$1001,"EW")+COUNTIF('Hybrid Questions'!$A$2:$A$1001,"EW")+COUNTIF('Hybrid Questions'!$D$2:$D$1001,"EW")+COUNTIF('Demographics'!$A$2:$A$1001,"EW"))=0),"Responses column EW ("""&amp;Responses!$EW$1&amp;""") has data, but no question or demographic is set up to use it — so it won't appear in your results.","")</f>
        <v>0</v>
      </c>
      <c r="F2660" s="4" t="s">
        <v>1969</v>
      </c>
    </row>
    <row r="2661" spans="1:6" ht="75" customHeight="1">
      <c r="A2661" t="s">
        <v>334</v>
      </c>
      <c r="B2661" t="s">
        <v>642</v>
      </c>
      <c r="C2661" t="s">
        <v>1816</v>
      </c>
      <c r="D2661" t="s">
        <v>1808</v>
      </c>
      <c r="E2661" s="4">
        <f>IF(AND(Responses!$EX$1&lt;&gt;"",ISERROR(SEARCH("response id",LOWER(Responses!$EX$1))),(COUNTIF('Open Questions'!$A$2:$A$1001,"EX")+COUNTIF('Multiple Choice Questions'!$A$2:$A$1001,"EX")+COUNTIF('Hybrid Questions'!$A$2:$A$1001,"EX")+COUNTIF('Hybrid Questions'!$D$2:$D$1001,"EX")+COUNTIF('Demographics'!$A$2:$A$1001,"EX"))=0),"Responses column EX ("""&amp;Responses!$EX$1&amp;""") has data, but no question or demographic is set up to use it — so it won't appear in your results.","")</f>
        <v>0</v>
      </c>
      <c r="F2661" s="4" t="s">
        <v>1970</v>
      </c>
    </row>
    <row r="2662" spans="1:6" ht="75" customHeight="1">
      <c r="A2662" t="s">
        <v>334</v>
      </c>
      <c r="B2662" t="s">
        <v>644</v>
      </c>
      <c r="C2662" t="s">
        <v>1816</v>
      </c>
      <c r="D2662" t="s">
        <v>1808</v>
      </c>
      <c r="E2662" s="4">
        <f>IF(AND(Responses!$EY$1&lt;&gt;"",ISERROR(SEARCH("response id",LOWER(Responses!$EY$1))),(COUNTIF('Open Questions'!$A$2:$A$1001,"EY")+COUNTIF('Multiple Choice Questions'!$A$2:$A$1001,"EY")+COUNTIF('Hybrid Questions'!$A$2:$A$1001,"EY")+COUNTIF('Hybrid Questions'!$D$2:$D$1001,"EY")+COUNTIF('Demographics'!$A$2:$A$1001,"EY"))=0),"Responses column EY ("""&amp;Responses!$EY$1&amp;""") has data, but no question or demographic is set up to use it — so it won't appear in your results.","")</f>
        <v>0</v>
      </c>
      <c r="F2662" s="4" t="s">
        <v>1971</v>
      </c>
    </row>
    <row r="2663" spans="1:6" ht="75" customHeight="1">
      <c r="A2663" t="s">
        <v>334</v>
      </c>
      <c r="B2663" t="s">
        <v>646</v>
      </c>
      <c r="C2663" t="s">
        <v>1816</v>
      </c>
      <c r="D2663" t="s">
        <v>1808</v>
      </c>
      <c r="E2663" s="4">
        <f>IF(AND(Responses!$EZ$1&lt;&gt;"",ISERROR(SEARCH("response id",LOWER(Responses!$EZ$1))),(COUNTIF('Open Questions'!$A$2:$A$1001,"EZ")+COUNTIF('Multiple Choice Questions'!$A$2:$A$1001,"EZ")+COUNTIF('Hybrid Questions'!$A$2:$A$1001,"EZ")+COUNTIF('Hybrid Questions'!$D$2:$D$1001,"EZ")+COUNTIF('Demographics'!$A$2:$A$1001,"EZ"))=0),"Responses column EZ ("""&amp;Responses!$EZ$1&amp;""") has data, but no question or demographic is set up to use it — so it won't appear in your results.","")</f>
        <v>0</v>
      </c>
      <c r="F2663" s="4" t="s">
        <v>1972</v>
      </c>
    </row>
    <row r="2664" spans="1:6" ht="75" customHeight="1">
      <c r="A2664" t="s">
        <v>334</v>
      </c>
      <c r="B2664" t="s">
        <v>648</v>
      </c>
      <c r="C2664" t="s">
        <v>1816</v>
      </c>
      <c r="D2664" t="s">
        <v>1808</v>
      </c>
      <c r="E2664" s="4">
        <f>IF(AND(Responses!$FA$1&lt;&gt;"",ISERROR(SEARCH("response id",LOWER(Responses!$FA$1))),(COUNTIF('Open Questions'!$A$2:$A$1001,"FA")+COUNTIF('Multiple Choice Questions'!$A$2:$A$1001,"FA")+COUNTIF('Hybrid Questions'!$A$2:$A$1001,"FA")+COUNTIF('Hybrid Questions'!$D$2:$D$1001,"FA")+COUNTIF('Demographics'!$A$2:$A$1001,"FA"))=0),"Responses column FA ("""&amp;Responses!$FA$1&amp;""") has data, but no question or demographic is set up to use it — so it won't appear in your results.","")</f>
        <v>0</v>
      </c>
      <c r="F2664" s="4" t="s">
        <v>1973</v>
      </c>
    </row>
    <row r="2665" spans="1:6" ht="75" customHeight="1">
      <c r="A2665" t="s">
        <v>334</v>
      </c>
      <c r="B2665" t="s">
        <v>650</v>
      </c>
      <c r="C2665" t="s">
        <v>1816</v>
      </c>
      <c r="D2665" t="s">
        <v>1808</v>
      </c>
      <c r="E2665" s="4">
        <f>IF(AND(Responses!$FB$1&lt;&gt;"",ISERROR(SEARCH("response id",LOWER(Responses!$FB$1))),(COUNTIF('Open Questions'!$A$2:$A$1001,"FB")+COUNTIF('Multiple Choice Questions'!$A$2:$A$1001,"FB")+COUNTIF('Hybrid Questions'!$A$2:$A$1001,"FB")+COUNTIF('Hybrid Questions'!$D$2:$D$1001,"FB")+COUNTIF('Demographics'!$A$2:$A$1001,"FB"))=0),"Responses column FB ("""&amp;Responses!$FB$1&amp;""") has data, but no question or demographic is set up to use it — so it won't appear in your results.","")</f>
        <v>0</v>
      </c>
      <c r="F2665" s="4" t="s">
        <v>1974</v>
      </c>
    </row>
    <row r="2666" spans="1:6" ht="75" customHeight="1">
      <c r="A2666" t="s">
        <v>334</v>
      </c>
      <c r="B2666" t="s">
        <v>652</v>
      </c>
      <c r="C2666" t="s">
        <v>1816</v>
      </c>
      <c r="D2666" t="s">
        <v>1808</v>
      </c>
      <c r="E2666" s="4">
        <f>IF(AND(Responses!$FC$1&lt;&gt;"",ISERROR(SEARCH("response id",LOWER(Responses!$FC$1))),(COUNTIF('Open Questions'!$A$2:$A$1001,"FC")+COUNTIF('Multiple Choice Questions'!$A$2:$A$1001,"FC")+COUNTIF('Hybrid Questions'!$A$2:$A$1001,"FC")+COUNTIF('Hybrid Questions'!$D$2:$D$1001,"FC")+COUNTIF('Demographics'!$A$2:$A$1001,"FC"))=0),"Responses column FC ("""&amp;Responses!$FC$1&amp;""") has data, but no question or demographic is set up to use it — so it won't appear in your results.","")</f>
        <v>0</v>
      </c>
      <c r="F2666" s="4" t="s">
        <v>1975</v>
      </c>
    </row>
    <row r="2667" spans="1:6" ht="75" customHeight="1">
      <c r="A2667" t="s">
        <v>334</v>
      </c>
      <c r="B2667" t="s">
        <v>654</v>
      </c>
      <c r="C2667" t="s">
        <v>1816</v>
      </c>
      <c r="D2667" t="s">
        <v>1808</v>
      </c>
      <c r="E2667" s="4">
        <f>IF(AND(Responses!$FD$1&lt;&gt;"",ISERROR(SEARCH("response id",LOWER(Responses!$FD$1))),(COUNTIF('Open Questions'!$A$2:$A$1001,"FD")+COUNTIF('Multiple Choice Questions'!$A$2:$A$1001,"FD")+COUNTIF('Hybrid Questions'!$A$2:$A$1001,"FD")+COUNTIF('Hybrid Questions'!$D$2:$D$1001,"FD")+COUNTIF('Demographics'!$A$2:$A$1001,"FD"))=0),"Responses column FD ("""&amp;Responses!$FD$1&amp;""") has data, but no question or demographic is set up to use it — so it won't appear in your results.","")</f>
        <v>0</v>
      </c>
      <c r="F2667" s="4" t="s">
        <v>1976</v>
      </c>
    </row>
    <row r="2668" spans="1:6" ht="75" customHeight="1">
      <c r="A2668" t="s">
        <v>334</v>
      </c>
      <c r="B2668" t="s">
        <v>656</v>
      </c>
      <c r="C2668" t="s">
        <v>1816</v>
      </c>
      <c r="D2668" t="s">
        <v>1808</v>
      </c>
      <c r="E2668" s="4">
        <f>IF(AND(Responses!$FE$1&lt;&gt;"",ISERROR(SEARCH("response id",LOWER(Responses!$FE$1))),(COUNTIF('Open Questions'!$A$2:$A$1001,"FE")+COUNTIF('Multiple Choice Questions'!$A$2:$A$1001,"FE")+COUNTIF('Hybrid Questions'!$A$2:$A$1001,"FE")+COUNTIF('Hybrid Questions'!$D$2:$D$1001,"FE")+COUNTIF('Demographics'!$A$2:$A$1001,"FE"))=0),"Responses column FE ("""&amp;Responses!$FE$1&amp;""") has data, but no question or demographic is set up to use it — so it won't appear in your results.","")</f>
        <v>0</v>
      </c>
      <c r="F2668" s="4" t="s">
        <v>1977</v>
      </c>
    </row>
    <row r="2669" spans="1:6" ht="75" customHeight="1">
      <c r="A2669" t="s">
        <v>334</v>
      </c>
      <c r="B2669" t="s">
        <v>658</v>
      </c>
      <c r="C2669" t="s">
        <v>1816</v>
      </c>
      <c r="D2669" t="s">
        <v>1808</v>
      </c>
      <c r="E2669" s="4">
        <f>IF(AND(Responses!$FF$1&lt;&gt;"",ISERROR(SEARCH("response id",LOWER(Responses!$FF$1))),(COUNTIF('Open Questions'!$A$2:$A$1001,"FF")+COUNTIF('Multiple Choice Questions'!$A$2:$A$1001,"FF")+COUNTIF('Hybrid Questions'!$A$2:$A$1001,"FF")+COUNTIF('Hybrid Questions'!$D$2:$D$1001,"FF")+COUNTIF('Demographics'!$A$2:$A$1001,"FF"))=0),"Responses column FF ("""&amp;Responses!$FF$1&amp;""") has data, but no question or demographic is set up to use it — so it won't appear in your results.","")</f>
        <v>0</v>
      </c>
      <c r="F2669" s="4" t="s">
        <v>1978</v>
      </c>
    </row>
    <row r="2670" spans="1:6" ht="75" customHeight="1">
      <c r="A2670" t="s">
        <v>334</v>
      </c>
      <c r="B2670" t="s">
        <v>660</v>
      </c>
      <c r="C2670" t="s">
        <v>1816</v>
      </c>
      <c r="D2670" t="s">
        <v>1808</v>
      </c>
      <c r="E2670" s="4">
        <f>IF(AND(Responses!$FG$1&lt;&gt;"",ISERROR(SEARCH("response id",LOWER(Responses!$FG$1))),(COUNTIF('Open Questions'!$A$2:$A$1001,"FG")+COUNTIF('Multiple Choice Questions'!$A$2:$A$1001,"FG")+COUNTIF('Hybrid Questions'!$A$2:$A$1001,"FG")+COUNTIF('Hybrid Questions'!$D$2:$D$1001,"FG")+COUNTIF('Demographics'!$A$2:$A$1001,"FG"))=0),"Responses column FG ("""&amp;Responses!$FG$1&amp;""") has data, but no question or demographic is set up to use it — so it won't appear in your results.","")</f>
        <v>0</v>
      </c>
      <c r="F2670" s="4" t="s">
        <v>1979</v>
      </c>
    </row>
    <row r="2671" spans="1:6" ht="75" customHeight="1">
      <c r="A2671" t="s">
        <v>334</v>
      </c>
      <c r="B2671" t="s">
        <v>662</v>
      </c>
      <c r="C2671" t="s">
        <v>1816</v>
      </c>
      <c r="D2671" t="s">
        <v>1808</v>
      </c>
      <c r="E2671" s="4">
        <f>IF(AND(Responses!$FH$1&lt;&gt;"",ISERROR(SEARCH("response id",LOWER(Responses!$FH$1))),(COUNTIF('Open Questions'!$A$2:$A$1001,"FH")+COUNTIF('Multiple Choice Questions'!$A$2:$A$1001,"FH")+COUNTIF('Hybrid Questions'!$A$2:$A$1001,"FH")+COUNTIF('Hybrid Questions'!$D$2:$D$1001,"FH")+COUNTIF('Demographics'!$A$2:$A$1001,"FH"))=0),"Responses column FH ("""&amp;Responses!$FH$1&amp;""") has data, but no question or demographic is set up to use it — so it won't appear in your results.","")</f>
        <v>0</v>
      </c>
      <c r="F2671" s="4" t="s">
        <v>1980</v>
      </c>
    </row>
    <row r="2672" spans="1:6" ht="75" customHeight="1">
      <c r="A2672" t="s">
        <v>334</v>
      </c>
      <c r="B2672" t="s">
        <v>664</v>
      </c>
      <c r="C2672" t="s">
        <v>1816</v>
      </c>
      <c r="D2672" t="s">
        <v>1808</v>
      </c>
      <c r="E2672" s="4">
        <f>IF(AND(Responses!$FI$1&lt;&gt;"",ISERROR(SEARCH("response id",LOWER(Responses!$FI$1))),(COUNTIF('Open Questions'!$A$2:$A$1001,"FI")+COUNTIF('Multiple Choice Questions'!$A$2:$A$1001,"FI")+COUNTIF('Hybrid Questions'!$A$2:$A$1001,"FI")+COUNTIF('Hybrid Questions'!$D$2:$D$1001,"FI")+COUNTIF('Demographics'!$A$2:$A$1001,"FI"))=0),"Responses column FI ("""&amp;Responses!$FI$1&amp;""") has data, but no question or demographic is set up to use it — so it won't appear in your results.","")</f>
        <v>0</v>
      </c>
      <c r="F2672" s="4" t="s">
        <v>1981</v>
      </c>
    </row>
    <row r="2673" spans="1:6" ht="75" customHeight="1">
      <c r="A2673" t="s">
        <v>334</v>
      </c>
      <c r="B2673" t="s">
        <v>666</v>
      </c>
      <c r="C2673" t="s">
        <v>1816</v>
      </c>
      <c r="D2673" t="s">
        <v>1808</v>
      </c>
      <c r="E2673" s="4">
        <f>IF(AND(Responses!$FJ$1&lt;&gt;"",ISERROR(SEARCH("response id",LOWER(Responses!$FJ$1))),(COUNTIF('Open Questions'!$A$2:$A$1001,"FJ")+COUNTIF('Multiple Choice Questions'!$A$2:$A$1001,"FJ")+COUNTIF('Hybrid Questions'!$A$2:$A$1001,"FJ")+COUNTIF('Hybrid Questions'!$D$2:$D$1001,"FJ")+COUNTIF('Demographics'!$A$2:$A$1001,"FJ"))=0),"Responses column FJ ("""&amp;Responses!$FJ$1&amp;""") has data, but no question or demographic is set up to use it — so it won't appear in your results.","")</f>
        <v>0</v>
      </c>
      <c r="F2673" s="4" t="s">
        <v>1982</v>
      </c>
    </row>
    <row r="2674" spans="1:6" ht="75" customHeight="1">
      <c r="A2674" t="s">
        <v>334</v>
      </c>
      <c r="B2674" t="s">
        <v>668</v>
      </c>
      <c r="C2674" t="s">
        <v>1816</v>
      </c>
      <c r="D2674" t="s">
        <v>1808</v>
      </c>
      <c r="E2674" s="4">
        <f>IF(AND(Responses!$FK$1&lt;&gt;"",ISERROR(SEARCH("response id",LOWER(Responses!$FK$1))),(COUNTIF('Open Questions'!$A$2:$A$1001,"FK")+COUNTIF('Multiple Choice Questions'!$A$2:$A$1001,"FK")+COUNTIF('Hybrid Questions'!$A$2:$A$1001,"FK")+COUNTIF('Hybrid Questions'!$D$2:$D$1001,"FK")+COUNTIF('Demographics'!$A$2:$A$1001,"FK"))=0),"Responses column FK ("""&amp;Responses!$FK$1&amp;""") has data, but no question or demographic is set up to use it — so it won't appear in your results.","")</f>
        <v>0</v>
      </c>
      <c r="F2674" s="4" t="s">
        <v>1983</v>
      </c>
    </row>
    <row r="2675" spans="1:6" ht="75" customHeight="1">
      <c r="A2675" t="s">
        <v>334</v>
      </c>
      <c r="B2675" t="s">
        <v>670</v>
      </c>
      <c r="C2675" t="s">
        <v>1816</v>
      </c>
      <c r="D2675" t="s">
        <v>1808</v>
      </c>
      <c r="E2675" s="4">
        <f>IF(AND(Responses!$FL$1&lt;&gt;"",ISERROR(SEARCH("response id",LOWER(Responses!$FL$1))),(COUNTIF('Open Questions'!$A$2:$A$1001,"FL")+COUNTIF('Multiple Choice Questions'!$A$2:$A$1001,"FL")+COUNTIF('Hybrid Questions'!$A$2:$A$1001,"FL")+COUNTIF('Hybrid Questions'!$D$2:$D$1001,"FL")+COUNTIF('Demographics'!$A$2:$A$1001,"FL"))=0),"Responses column FL ("""&amp;Responses!$FL$1&amp;""") has data, but no question or demographic is set up to use it — so it won't appear in your results.","")</f>
        <v>0</v>
      </c>
      <c r="F2675" s="4" t="s">
        <v>1984</v>
      </c>
    </row>
    <row r="2676" spans="1:6" ht="75" customHeight="1">
      <c r="A2676" t="s">
        <v>334</v>
      </c>
      <c r="B2676" t="s">
        <v>672</v>
      </c>
      <c r="C2676" t="s">
        <v>1816</v>
      </c>
      <c r="D2676" t="s">
        <v>1808</v>
      </c>
      <c r="E2676" s="4">
        <f>IF(AND(Responses!$FM$1&lt;&gt;"",ISERROR(SEARCH("response id",LOWER(Responses!$FM$1))),(COUNTIF('Open Questions'!$A$2:$A$1001,"FM")+COUNTIF('Multiple Choice Questions'!$A$2:$A$1001,"FM")+COUNTIF('Hybrid Questions'!$A$2:$A$1001,"FM")+COUNTIF('Hybrid Questions'!$D$2:$D$1001,"FM")+COUNTIF('Demographics'!$A$2:$A$1001,"FM"))=0),"Responses column FM ("""&amp;Responses!$FM$1&amp;""") has data, but no question or demographic is set up to use it — so it won't appear in your results.","")</f>
        <v>0</v>
      </c>
      <c r="F2676" s="4" t="s">
        <v>1985</v>
      </c>
    </row>
    <row r="2677" spans="1:6" ht="75" customHeight="1">
      <c r="A2677" t="s">
        <v>334</v>
      </c>
      <c r="B2677" t="s">
        <v>674</v>
      </c>
      <c r="C2677" t="s">
        <v>1816</v>
      </c>
      <c r="D2677" t="s">
        <v>1808</v>
      </c>
      <c r="E2677" s="4">
        <f>IF(AND(Responses!$FN$1&lt;&gt;"",ISERROR(SEARCH("response id",LOWER(Responses!$FN$1))),(COUNTIF('Open Questions'!$A$2:$A$1001,"FN")+COUNTIF('Multiple Choice Questions'!$A$2:$A$1001,"FN")+COUNTIF('Hybrid Questions'!$A$2:$A$1001,"FN")+COUNTIF('Hybrid Questions'!$D$2:$D$1001,"FN")+COUNTIF('Demographics'!$A$2:$A$1001,"FN"))=0),"Responses column FN ("""&amp;Responses!$FN$1&amp;""") has data, but no question or demographic is set up to use it — so it won't appear in your results.","")</f>
        <v>0</v>
      </c>
      <c r="F2677" s="4" t="s">
        <v>1986</v>
      </c>
    </row>
    <row r="2678" spans="1:6" ht="75" customHeight="1">
      <c r="A2678" t="s">
        <v>334</v>
      </c>
      <c r="B2678" t="s">
        <v>676</v>
      </c>
      <c r="C2678" t="s">
        <v>1816</v>
      </c>
      <c r="D2678" t="s">
        <v>1808</v>
      </c>
      <c r="E2678" s="4">
        <f>IF(AND(Responses!$FO$1&lt;&gt;"",ISERROR(SEARCH("response id",LOWER(Responses!$FO$1))),(COUNTIF('Open Questions'!$A$2:$A$1001,"FO")+COUNTIF('Multiple Choice Questions'!$A$2:$A$1001,"FO")+COUNTIF('Hybrid Questions'!$A$2:$A$1001,"FO")+COUNTIF('Hybrid Questions'!$D$2:$D$1001,"FO")+COUNTIF('Demographics'!$A$2:$A$1001,"FO"))=0),"Responses column FO ("""&amp;Responses!$FO$1&amp;""") has data, but no question or demographic is set up to use it — so it won't appear in your results.","")</f>
        <v>0</v>
      </c>
      <c r="F2678" s="4" t="s">
        <v>1987</v>
      </c>
    </row>
    <row r="2679" spans="1:6" ht="75" customHeight="1">
      <c r="A2679" t="s">
        <v>334</v>
      </c>
      <c r="B2679" t="s">
        <v>678</v>
      </c>
      <c r="C2679" t="s">
        <v>1816</v>
      </c>
      <c r="D2679" t="s">
        <v>1808</v>
      </c>
      <c r="E2679" s="4">
        <f>IF(AND(Responses!$FP$1&lt;&gt;"",ISERROR(SEARCH("response id",LOWER(Responses!$FP$1))),(COUNTIF('Open Questions'!$A$2:$A$1001,"FP")+COUNTIF('Multiple Choice Questions'!$A$2:$A$1001,"FP")+COUNTIF('Hybrid Questions'!$A$2:$A$1001,"FP")+COUNTIF('Hybrid Questions'!$D$2:$D$1001,"FP")+COUNTIF('Demographics'!$A$2:$A$1001,"FP"))=0),"Responses column FP ("""&amp;Responses!$FP$1&amp;""") has data, but no question or demographic is set up to use it — so it won't appear in your results.","")</f>
        <v>0</v>
      </c>
      <c r="F2679" s="4" t="s">
        <v>1988</v>
      </c>
    </row>
    <row r="2680" spans="1:6" ht="75" customHeight="1">
      <c r="A2680" t="s">
        <v>334</v>
      </c>
      <c r="B2680" t="s">
        <v>680</v>
      </c>
      <c r="C2680" t="s">
        <v>1816</v>
      </c>
      <c r="D2680" t="s">
        <v>1808</v>
      </c>
      <c r="E2680" s="4">
        <f>IF(AND(Responses!$FQ$1&lt;&gt;"",ISERROR(SEARCH("response id",LOWER(Responses!$FQ$1))),(COUNTIF('Open Questions'!$A$2:$A$1001,"FQ")+COUNTIF('Multiple Choice Questions'!$A$2:$A$1001,"FQ")+COUNTIF('Hybrid Questions'!$A$2:$A$1001,"FQ")+COUNTIF('Hybrid Questions'!$D$2:$D$1001,"FQ")+COUNTIF('Demographics'!$A$2:$A$1001,"FQ"))=0),"Responses column FQ ("""&amp;Responses!$FQ$1&amp;""") has data, but no question or demographic is set up to use it — so it won't appear in your results.","")</f>
        <v>0</v>
      </c>
      <c r="F2680" s="4" t="s">
        <v>1989</v>
      </c>
    </row>
    <row r="2681" spans="1:6" ht="75" customHeight="1">
      <c r="A2681" t="s">
        <v>334</v>
      </c>
      <c r="B2681" t="s">
        <v>682</v>
      </c>
      <c r="C2681" t="s">
        <v>1816</v>
      </c>
      <c r="D2681" t="s">
        <v>1808</v>
      </c>
      <c r="E2681" s="4">
        <f>IF(AND(Responses!$FR$1&lt;&gt;"",ISERROR(SEARCH("response id",LOWER(Responses!$FR$1))),(COUNTIF('Open Questions'!$A$2:$A$1001,"FR")+COUNTIF('Multiple Choice Questions'!$A$2:$A$1001,"FR")+COUNTIF('Hybrid Questions'!$A$2:$A$1001,"FR")+COUNTIF('Hybrid Questions'!$D$2:$D$1001,"FR")+COUNTIF('Demographics'!$A$2:$A$1001,"FR"))=0),"Responses column FR ("""&amp;Responses!$FR$1&amp;""") has data, but no question or demographic is set up to use it — so it won't appear in your results.","")</f>
        <v>0</v>
      </c>
      <c r="F2681" s="4" t="s">
        <v>1990</v>
      </c>
    </row>
    <row r="2682" spans="1:6" ht="75" customHeight="1">
      <c r="A2682" t="s">
        <v>334</v>
      </c>
      <c r="B2682" t="s">
        <v>684</v>
      </c>
      <c r="C2682" t="s">
        <v>1816</v>
      </c>
      <c r="D2682" t="s">
        <v>1808</v>
      </c>
      <c r="E2682" s="4">
        <f>IF(AND(Responses!$FS$1&lt;&gt;"",ISERROR(SEARCH("response id",LOWER(Responses!$FS$1))),(COUNTIF('Open Questions'!$A$2:$A$1001,"FS")+COUNTIF('Multiple Choice Questions'!$A$2:$A$1001,"FS")+COUNTIF('Hybrid Questions'!$A$2:$A$1001,"FS")+COUNTIF('Hybrid Questions'!$D$2:$D$1001,"FS")+COUNTIF('Demographics'!$A$2:$A$1001,"FS"))=0),"Responses column FS ("""&amp;Responses!$FS$1&amp;""") has data, but no question or demographic is set up to use it — so it won't appear in your results.","")</f>
        <v>0</v>
      </c>
      <c r="F2682" s="4" t="s">
        <v>1991</v>
      </c>
    </row>
    <row r="2683" spans="1:6" ht="75" customHeight="1">
      <c r="A2683" t="s">
        <v>334</v>
      </c>
      <c r="B2683" t="s">
        <v>686</v>
      </c>
      <c r="C2683" t="s">
        <v>1816</v>
      </c>
      <c r="D2683" t="s">
        <v>1808</v>
      </c>
      <c r="E2683" s="4">
        <f>IF(AND(Responses!$FT$1&lt;&gt;"",ISERROR(SEARCH("response id",LOWER(Responses!$FT$1))),(COUNTIF('Open Questions'!$A$2:$A$1001,"FT")+COUNTIF('Multiple Choice Questions'!$A$2:$A$1001,"FT")+COUNTIF('Hybrid Questions'!$A$2:$A$1001,"FT")+COUNTIF('Hybrid Questions'!$D$2:$D$1001,"FT")+COUNTIF('Demographics'!$A$2:$A$1001,"FT"))=0),"Responses column FT ("""&amp;Responses!$FT$1&amp;""") has data, but no question or demographic is set up to use it — so it won't appear in your results.","")</f>
        <v>0</v>
      </c>
      <c r="F2683" s="4" t="s">
        <v>1992</v>
      </c>
    </row>
    <row r="2684" spans="1:6" ht="75" customHeight="1">
      <c r="A2684" t="s">
        <v>334</v>
      </c>
      <c r="B2684" t="s">
        <v>688</v>
      </c>
      <c r="C2684" t="s">
        <v>1816</v>
      </c>
      <c r="D2684" t="s">
        <v>1808</v>
      </c>
      <c r="E2684" s="4">
        <f>IF(AND(Responses!$FU$1&lt;&gt;"",ISERROR(SEARCH("response id",LOWER(Responses!$FU$1))),(COUNTIF('Open Questions'!$A$2:$A$1001,"FU")+COUNTIF('Multiple Choice Questions'!$A$2:$A$1001,"FU")+COUNTIF('Hybrid Questions'!$A$2:$A$1001,"FU")+COUNTIF('Hybrid Questions'!$D$2:$D$1001,"FU")+COUNTIF('Demographics'!$A$2:$A$1001,"FU"))=0),"Responses column FU ("""&amp;Responses!$FU$1&amp;""") has data, but no question or demographic is set up to use it — so it won't appear in your results.","")</f>
        <v>0</v>
      </c>
      <c r="F2684" s="4" t="s">
        <v>1993</v>
      </c>
    </row>
    <row r="2685" spans="1:6" ht="75" customHeight="1">
      <c r="A2685" t="s">
        <v>334</v>
      </c>
      <c r="B2685" t="s">
        <v>690</v>
      </c>
      <c r="C2685" t="s">
        <v>1816</v>
      </c>
      <c r="D2685" t="s">
        <v>1808</v>
      </c>
      <c r="E2685" s="4">
        <f>IF(AND(Responses!$FV$1&lt;&gt;"",ISERROR(SEARCH("response id",LOWER(Responses!$FV$1))),(COUNTIF('Open Questions'!$A$2:$A$1001,"FV")+COUNTIF('Multiple Choice Questions'!$A$2:$A$1001,"FV")+COUNTIF('Hybrid Questions'!$A$2:$A$1001,"FV")+COUNTIF('Hybrid Questions'!$D$2:$D$1001,"FV")+COUNTIF('Demographics'!$A$2:$A$1001,"FV"))=0),"Responses column FV ("""&amp;Responses!$FV$1&amp;""") has data, but no question or demographic is set up to use it — so it won't appear in your results.","")</f>
        <v>0</v>
      </c>
      <c r="F2685" s="4" t="s">
        <v>1994</v>
      </c>
    </row>
    <row r="2686" spans="1:6" ht="75" customHeight="1">
      <c r="A2686" t="s">
        <v>334</v>
      </c>
      <c r="B2686" t="s">
        <v>692</v>
      </c>
      <c r="C2686" t="s">
        <v>1816</v>
      </c>
      <c r="D2686" t="s">
        <v>1808</v>
      </c>
      <c r="E2686" s="4">
        <f>IF(AND(Responses!$FW$1&lt;&gt;"",ISERROR(SEARCH("response id",LOWER(Responses!$FW$1))),(COUNTIF('Open Questions'!$A$2:$A$1001,"FW")+COUNTIF('Multiple Choice Questions'!$A$2:$A$1001,"FW")+COUNTIF('Hybrid Questions'!$A$2:$A$1001,"FW")+COUNTIF('Hybrid Questions'!$D$2:$D$1001,"FW")+COUNTIF('Demographics'!$A$2:$A$1001,"FW"))=0),"Responses column FW ("""&amp;Responses!$FW$1&amp;""") has data, but no question or demographic is set up to use it — so it won't appear in your results.","")</f>
        <v>0</v>
      </c>
      <c r="F2686" s="4" t="s">
        <v>1995</v>
      </c>
    </row>
    <row r="2687" spans="1:6" ht="75" customHeight="1">
      <c r="A2687" t="s">
        <v>334</v>
      </c>
      <c r="B2687" t="s">
        <v>694</v>
      </c>
      <c r="C2687" t="s">
        <v>1816</v>
      </c>
      <c r="D2687" t="s">
        <v>1808</v>
      </c>
      <c r="E2687" s="4">
        <f>IF(AND(Responses!$FX$1&lt;&gt;"",ISERROR(SEARCH("response id",LOWER(Responses!$FX$1))),(COUNTIF('Open Questions'!$A$2:$A$1001,"FX")+COUNTIF('Multiple Choice Questions'!$A$2:$A$1001,"FX")+COUNTIF('Hybrid Questions'!$A$2:$A$1001,"FX")+COUNTIF('Hybrid Questions'!$D$2:$D$1001,"FX")+COUNTIF('Demographics'!$A$2:$A$1001,"FX"))=0),"Responses column FX ("""&amp;Responses!$FX$1&amp;""") has data, but no question or demographic is set up to use it — so it won't appear in your results.","")</f>
        <v>0</v>
      </c>
      <c r="F2687" s="4" t="s">
        <v>1996</v>
      </c>
    </row>
    <row r="2688" spans="1:6" ht="75" customHeight="1">
      <c r="A2688" t="s">
        <v>334</v>
      </c>
      <c r="B2688" t="s">
        <v>696</v>
      </c>
      <c r="C2688" t="s">
        <v>1816</v>
      </c>
      <c r="D2688" t="s">
        <v>1808</v>
      </c>
      <c r="E2688" s="4">
        <f>IF(AND(Responses!$FY$1&lt;&gt;"",ISERROR(SEARCH("response id",LOWER(Responses!$FY$1))),(COUNTIF('Open Questions'!$A$2:$A$1001,"FY")+COUNTIF('Multiple Choice Questions'!$A$2:$A$1001,"FY")+COUNTIF('Hybrid Questions'!$A$2:$A$1001,"FY")+COUNTIF('Hybrid Questions'!$D$2:$D$1001,"FY")+COUNTIF('Demographics'!$A$2:$A$1001,"FY"))=0),"Responses column FY ("""&amp;Responses!$FY$1&amp;""") has data, but no question or demographic is set up to use it — so it won't appear in your results.","")</f>
        <v>0</v>
      </c>
      <c r="F2688" s="4" t="s">
        <v>1997</v>
      </c>
    </row>
    <row r="2689" spans="1:6" ht="75" customHeight="1">
      <c r="A2689" t="s">
        <v>334</v>
      </c>
      <c r="B2689" t="s">
        <v>698</v>
      </c>
      <c r="C2689" t="s">
        <v>1816</v>
      </c>
      <c r="D2689" t="s">
        <v>1808</v>
      </c>
      <c r="E2689" s="4">
        <f>IF(AND(Responses!$FZ$1&lt;&gt;"",ISERROR(SEARCH("response id",LOWER(Responses!$FZ$1))),(COUNTIF('Open Questions'!$A$2:$A$1001,"FZ")+COUNTIF('Multiple Choice Questions'!$A$2:$A$1001,"FZ")+COUNTIF('Hybrid Questions'!$A$2:$A$1001,"FZ")+COUNTIF('Hybrid Questions'!$D$2:$D$1001,"FZ")+COUNTIF('Demographics'!$A$2:$A$1001,"FZ"))=0),"Responses column FZ ("""&amp;Responses!$FZ$1&amp;""") has data, but no question or demographic is set up to use it — so it won't appear in your results.","")</f>
        <v>0</v>
      </c>
      <c r="F2689" s="4" t="s">
        <v>1998</v>
      </c>
    </row>
    <row r="2690" spans="1:6" ht="75" customHeight="1">
      <c r="A2690" t="s">
        <v>334</v>
      </c>
      <c r="B2690" t="s">
        <v>700</v>
      </c>
      <c r="C2690" t="s">
        <v>1816</v>
      </c>
      <c r="D2690" t="s">
        <v>1808</v>
      </c>
      <c r="E2690" s="4">
        <f>IF(AND(Responses!$GA$1&lt;&gt;"",ISERROR(SEARCH("response id",LOWER(Responses!$GA$1))),(COUNTIF('Open Questions'!$A$2:$A$1001,"GA")+COUNTIF('Multiple Choice Questions'!$A$2:$A$1001,"GA")+COUNTIF('Hybrid Questions'!$A$2:$A$1001,"GA")+COUNTIF('Hybrid Questions'!$D$2:$D$1001,"GA")+COUNTIF('Demographics'!$A$2:$A$1001,"GA"))=0),"Responses column GA ("""&amp;Responses!$GA$1&amp;""") has data, but no question or demographic is set up to use it — so it won't appear in your results.","")</f>
        <v>0</v>
      </c>
      <c r="F2690" s="4" t="s">
        <v>1999</v>
      </c>
    </row>
    <row r="2691" spans="1:6" ht="75" customHeight="1">
      <c r="A2691" t="s">
        <v>334</v>
      </c>
      <c r="B2691" t="s">
        <v>702</v>
      </c>
      <c r="C2691" t="s">
        <v>1816</v>
      </c>
      <c r="D2691" t="s">
        <v>1808</v>
      </c>
      <c r="E2691" s="4">
        <f>IF(AND(Responses!$GB$1&lt;&gt;"",ISERROR(SEARCH("response id",LOWER(Responses!$GB$1))),(COUNTIF('Open Questions'!$A$2:$A$1001,"GB")+COUNTIF('Multiple Choice Questions'!$A$2:$A$1001,"GB")+COUNTIF('Hybrid Questions'!$A$2:$A$1001,"GB")+COUNTIF('Hybrid Questions'!$D$2:$D$1001,"GB")+COUNTIF('Demographics'!$A$2:$A$1001,"GB"))=0),"Responses column GB ("""&amp;Responses!$GB$1&amp;""") has data, but no question or demographic is set up to use it — so it won't appear in your results.","")</f>
        <v>0</v>
      </c>
      <c r="F2691" s="4" t="s">
        <v>2000</v>
      </c>
    </row>
    <row r="2692" spans="1:6" ht="75" customHeight="1">
      <c r="A2692" t="s">
        <v>334</v>
      </c>
      <c r="B2692" t="s">
        <v>704</v>
      </c>
      <c r="C2692" t="s">
        <v>1816</v>
      </c>
      <c r="D2692" t="s">
        <v>1808</v>
      </c>
      <c r="E2692" s="4">
        <f>IF(AND(Responses!$GC$1&lt;&gt;"",ISERROR(SEARCH("response id",LOWER(Responses!$GC$1))),(COUNTIF('Open Questions'!$A$2:$A$1001,"GC")+COUNTIF('Multiple Choice Questions'!$A$2:$A$1001,"GC")+COUNTIF('Hybrid Questions'!$A$2:$A$1001,"GC")+COUNTIF('Hybrid Questions'!$D$2:$D$1001,"GC")+COUNTIF('Demographics'!$A$2:$A$1001,"GC"))=0),"Responses column GC ("""&amp;Responses!$GC$1&amp;""") has data, but no question or demographic is set up to use it — so it won't appear in your results.","")</f>
        <v>0</v>
      </c>
      <c r="F2692" s="4" t="s">
        <v>2001</v>
      </c>
    </row>
    <row r="2693" spans="1:6" ht="75" customHeight="1">
      <c r="A2693" t="s">
        <v>334</v>
      </c>
      <c r="B2693" t="s">
        <v>706</v>
      </c>
      <c r="C2693" t="s">
        <v>1816</v>
      </c>
      <c r="D2693" t="s">
        <v>1808</v>
      </c>
      <c r="E2693" s="4">
        <f>IF(AND(Responses!$GD$1&lt;&gt;"",ISERROR(SEARCH("response id",LOWER(Responses!$GD$1))),(COUNTIF('Open Questions'!$A$2:$A$1001,"GD")+COUNTIF('Multiple Choice Questions'!$A$2:$A$1001,"GD")+COUNTIF('Hybrid Questions'!$A$2:$A$1001,"GD")+COUNTIF('Hybrid Questions'!$D$2:$D$1001,"GD")+COUNTIF('Demographics'!$A$2:$A$1001,"GD"))=0),"Responses column GD ("""&amp;Responses!$GD$1&amp;""") has data, but no question or demographic is set up to use it — so it won't appear in your results.","")</f>
        <v>0</v>
      </c>
      <c r="F2693" s="4" t="s">
        <v>2002</v>
      </c>
    </row>
    <row r="2694" spans="1:6" ht="75" customHeight="1">
      <c r="A2694" t="s">
        <v>334</v>
      </c>
      <c r="B2694" t="s">
        <v>708</v>
      </c>
      <c r="C2694" t="s">
        <v>1816</v>
      </c>
      <c r="D2694" t="s">
        <v>1808</v>
      </c>
      <c r="E2694" s="4">
        <f>IF(AND(Responses!$GE$1&lt;&gt;"",ISERROR(SEARCH("response id",LOWER(Responses!$GE$1))),(COUNTIF('Open Questions'!$A$2:$A$1001,"GE")+COUNTIF('Multiple Choice Questions'!$A$2:$A$1001,"GE")+COUNTIF('Hybrid Questions'!$A$2:$A$1001,"GE")+COUNTIF('Hybrid Questions'!$D$2:$D$1001,"GE")+COUNTIF('Demographics'!$A$2:$A$1001,"GE"))=0),"Responses column GE ("""&amp;Responses!$GE$1&amp;""") has data, but no question or demographic is set up to use it — so it won't appear in your results.","")</f>
        <v>0</v>
      </c>
      <c r="F2694" s="4" t="s">
        <v>2003</v>
      </c>
    </row>
    <row r="2695" spans="1:6" ht="75" customHeight="1">
      <c r="A2695" t="s">
        <v>334</v>
      </c>
      <c r="B2695" t="s">
        <v>710</v>
      </c>
      <c r="C2695" t="s">
        <v>1816</v>
      </c>
      <c r="D2695" t="s">
        <v>1808</v>
      </c>
      <c r="E2695" s="4">
        <f>IF(AND(Responses!$GF$1&lt;&gt;"",ISERROR(SEARCH("response id",LOWER(Responses!$GF$1))),(COUNTIF('Open Questions'!$A$2:$A$1001,"GF")+COUNTIF('Multiple Choice Questions'!$A$2:$A$1001,"GF")+COUNTIF('Hybrid Questions'!$A$2:$A$1001,"GF")+COUNTIF('Hybrid Questions'!$D$2:$D$1001,"GF")+COUNTIF('Demographics'!$A$2:$A$1001,"GF"))=0),"Responses column GF ("""&amp;Responses!$GF$1&amp;""") has data, but no question or demographic is set up to use it — so it won't appear in your results.","")</f>
        <v>0</v>
      </c>
      <c r="F2695" s="4" t="s">
        <v>2004</v>
      </c>
    </row>
    <row r="2696" spans="1:6" ht="75" customHeight="1">
      <c r="A2696" t="s">
        <v>334</v>
      </c>
      <c r="B2696" t="s">
        <v>712</v>
      </c>
      <c r="C2696" t="s">
        <v>1816</v>
      </c>
      <c r="D2696" t="s">
        <v>1808</v>
      </c>
      <c r="E2696" s="4">
        <f>IF(AND(Responses!$GG$1&lt;&gt;"",ISERROR(SEARCH("response id",LOWER(Responses!$GG$1))),(COUNTIF('Open Questions'!$A$2:$A$1001,"GG")+COUNTIF('Multiple Choice Questions'!$A$2:$A$1001,"GG")+COUNTIF('Hybrid Questions'!$A$2:$A$1001,"GG")+COUNTIF('Hybrid Questions'!$D$2:$D$1001,"GG")+COUNTIF('Demographics'!$A$2:$A$1001,"GG"))=0),"Responses column GG ("""&amp;Responses!$GG$1&amp;""") has data, but no question or demographic is set up to use it — so it won't appear in your results.","")</f>
        <v>0</v>
      </c>
      <c r="F2696" s="4" t="s">
        <v>2005</v>
      </c>
    </row>
    <row r="2697" spans="1:6" ht="75" customHeight="1">
      <c r="A2697" t="s">
        <v>334</v>
      </c>
      <c r="B2697" t="s">
        <v>714</v>
      </c>
      <c r="C2697" t="s">
        <v>1816</v>
      </c>
      <c r="D2697" t="s">
        <v>1808</v>
      </c>
      <c r="E2697" s="4">
        <f>IF(AND(Responses!$GH$1&lt;&gt;"",ISERROR(SEARCH("response id",LOWER(Responses!$GH$1))),(COUNTIF('Open Questions'!$A$2:$A$1001,"GH")+COUNTIF('Multiple Choice Questions'!$A$2:$A$1001,"GH")+COUNTIF('Hybrid Questions'!$A$2:$A$1001,"GH")+COUNTIF('Hybrid Questions'!$D$2:$D$1001,"GH")+COUNTIF('Demographics'!$A$2:$A$1001,"GH"))=0),"Responses column GH ("""&amp;Responses!$GH$1&amp;""") has data, but no question or demographic is set up to use it — so it won't appear in your results.","")</f>
        <v>0</v>
      </c>
      <c r="F2697" s="4" t="s">
        <v>2006</v>
      </c>
    </row>
    <row r="2698" spans="1:6" ht="75" customHeight="1">
      <c r="A2698" t="s">
        <v>334</v>
      </c>
      <c r="B2698" t="s">
        <v>716</v>
      </c>
      <c r="C2698" t="s">
        <v>1816</v>
      </c>
      <c r="D2698" t="s">
        <v>1808</v>
      </c>
      <c r="E2698" s="4">
        <f>IF(AND(Responses!$GI$1&lt;&gt;"",ISERROR(SEARCH("response id",LOWER(Responses!$GI$1))),(COUNTIF('Open Questions'!$A$2:$A$1001,"GI")+COUNTIF('Multiple Choice Questions'!$A$2:$A$1001,"GI")+COUNTIF('Hybrid Questions'!$A$2:$A$1001,"GI")+COUNTIF('Hybrid Questions'!$D$2:$D$1001,"GI")+COUNTIF('Demographics'!$A$2:$A$1001,"GI"))=0),"Responses column GI ("""&amp;Responses!$GI$1&amp;""") has data, but no question or demographic is set up to use it — so it won't appear in your results.","")</f>
        <v>0</v>
      </c>
      <c r="F2698" s="4" t="s">
        <v>2007</v>
      </c>
    </row>
    <row r="2699" spans="1:6" ht="75" customHeight="1">
      <c r="A2699" t="s">
        <v>334</v>
      </c>
      <c r="B2699" t="s">
        <v>718</v>
      </c>
      <c r="C2699" t="s">
        <v>1816</v>
      </c>
      <c r="D2699" t="s">
        <v>1808</v>
      </c>
      <c r="E2699" s="4">
        <f>IF(AND(Responses!$GJ$1&lt;&gt;"",ISERROR(SEARCH("response id",LOWER(Responses!$GJ$1))),(COUNTIF('Open Questions'!$A$2:$A$1001,"GJ")+COUNTIF('Multiple Choice Questions'!$A$2:$A$1001,"GJ")+COUNTIF('Hybrid Questions'!$A$2:$A$1001,"GJ")+COUNTIF('Hybrid Questions'!$D$2:$D$1001,"GJ")+COUNTIF('Demographics'!$A$2:$A$1001,"GJ"))=0),"Responses column GJ ("""&amp;Responses!$GJ$1&amp;""") has data, but no question or demographic is set up to use it — so it won't appear in your results.","")</f>
        <v>0</v>
      </c>
      <c r="F2699" s="4" t="s">
        <v>2008</v>
      </c>
    </row>
    <row r="2700" spans="1:6" ht="75" customHeight="1">
      <c r="A2700" t="s">
        <v>334</v>
      </c>
      <c r="B2700" t="s">
        <v>720</v>
      </c>
      <c r="C2700" t="s">
        <v>1816</v>
      </c>
      <c r="D2700" t="s">
        <v>1808</v>
      </c>
      <c r="E2700" s="4">
        <f>IF(AND(Responses!$GK$1&lt;&gt;"",ISERROR(SEARCH("response id",LOWER(Responses!$GK$1))),(COUNTIF('Open Questions'!$A$2:$A$1001,"GK")+COUNTIF('Multiple Choice Questions'!$A$2:$A$1001,"GK")+COUNTIF('Hybrid Questions'!$A$2:$A$1001,"GK")+COUNTIF('Hybrid Questions'!$D$2:$D$1001,"GK")+COUNTIF('Demographics'!$A$2:$A$1001,"GK"))=0),"Responses column GK ("""&amp;Responses!$GK$1&amp;""") has data, but no question or demographic is set up to use it — so it won't appear in your results.","")</f>
        <v>0</v>
      </c>
      <c r="F2700" s="4" t="s">
        <v>2009</v>
      </c>
    </row>
    <row r="2701" spans="1:6" ht="75" customHeight="1">
      <c r="A2701" t="s">
        <v>334</v>
      </c>
      <c r="B2701" t="s">
        <v>722</v>
      </c>
      <c r="C2701" t="s">
        <v>1816</v>
      </c>
      <c r="D2701" t="s">
        <v>1808</v>
      </c>
      <c r="E2701" s="4">
        <f>IF(AND(Responses!$GL$1&lt;&gt;"",ISERROR(SEARCH("response id",LOWER(Responses!$GL$1))),(COUNTIF('Open Questions'!$A$2:$A$1001,"GL")+COUNTIF('Multiple Choice Questions'!$A$2:$A$1001,"GL")+COUNTIF('Hybrid Questions'!$A$2:$A$1001,"GL")+COUNTIF('Hybrid Questions'!$D$2:$D$1001,"GL")+COUNTIF('Demographics'!$A$2:$A$1001,"GL"))=0),"Responses column GL ("""&amp;Responses!$GL$1&amp;""") has data, but no question or demographic is set up to use it — so it won't appear in your results.","")</f>
        <v>0</v>
      </c>
      <c r="F2701" s="4" t="s">
        <v>2010</v>
      </c>
    </row>
    <row r="2702" spans="1:6" ht="75" customHeight="1">
      <c r="A2702" t="s">
        <v>334</v>
      </c>
      <c r="B2702" t="s">
        <v>724</v>
      </c>
      <c r="C2702" t="s">
        <v>1816</v>
      </c>
      <c r="D2702" t="s">
        <v>1808</v>
      </c>
      <c r="E2702" s="4">
        <f>IF(AND(Responses!$GM$1&lt;&gt;"",ISERROR(SEARCH("response id",LOWER(Responses!$GM$1))),(COUNTIF('Open Questions'!$A$2:$A$1001,"GM")+COUNTIF('Multiple Choice Questions'!$A$2:$A$1001,"GM")+COUNTIF('Hybrid Questions'!$A$2:$A$1001,"GM")+COUNTIF('Hybrid Questions'!$D$2:$D$1001,"GM")+COUNTIF('Demographics'!$A$2:$A$1001,"GM"))=0),"Responses column GM ("""&amp;Responses!$GM$1&amp;""") has data, but no question or demographic is set up to use it — so it won't appear in your results.","")</f>
        <v>0</v>
      </c>
      <c r="F2702" s="4" t="s">
        <v>2011</v>
      </c>
    </row>
    <row r="2703" spans="1:6" ht="75" customHeight="1">
      <c r="A2703" t="s">
        <v>334</v>
      </c>
      <c r="B2703" t="s">
        <v>726</v>
      </c>
      <c r="C2703" t="s">
        <v>1816</v>
      </c>
      <c r="D2703" t="s">
        <v>1808</v>
      </c>
      <c r="E2703" s="4">
        <f>IF(AND(Responses!$GN$1&lt;&gt;"",ISERROR(SEARCH("response id",LOWER(Responses!$GN$1))),(COUNTIF('Open Questions'!$A$2:$A$1001,"GN")+COUNTIF('Multiple Choice Questions'!$A$2:$A$1001,"GN")+COUNTIF('Hybrid Questions'!$A$2:$A$1001,"GN")+COUNTIF('Hybrid Questions'!$D$2:$D$1001,"GN")+COUNTIF('Demographics'!$A$2:$A$1001,"GN"))=0),"Responses column GN ("""&amp;Responses!$GN$1&amp;""") has data, but no question or demographic is set up to use it — so it won't appear in your results.","")</f>
        <v>0</v>
      </c>
      <c r="F2703" s="4" t="s">
        <v>2012</v>
      </c>
    </row>
    <row r="2704" spans="1:6" ht="75" customHeight="1">
      <c r="A2704" t="s">
        <v>334</v>
      </c>
      <c r="B2704" t="s">
        <v>728</v>
      </c>
      <c r="C2704" t="s">
        <v>1816</v>
      </c>
      <c r="D2704" t="s">
        <v>1808</v>
      </c>
      <c r="E2704" s="4">
        <f>IF(AND(Responses!$GO$1&lt;&gt;"",ISERROR(SEARCH("response id",LOWER(Responses!$GO$1))),(COUNTIF('Open Questions'!$A$2:$A$1001,"GO")+COUNTIF('Multiple Choice Questions'!$A$2:$A$1001,"GO")+COUNTIF('Hybrid Questions'!$A$2:$A$1001,"GO")+COUNTIF('Hybrid Questions'!$D$2:$D$1001,"GO")+COUNTIF('Demographics'!$A$2:$A$1001,"GO"))=0),"Responses column GO ("""&amp;Responses!$GO$1&amp;""") has data, but no question or demographic is set up to use it — so it won't appear in your results.","")</f>
        <v>0</v>
      </c>
      <c r="F2704" s="4" t="s">
        <v>2013</v>
      </c>
    </row>
    <row r="2705" spans="1:6" ht="75" customHeight="1">
      <c r="A2705" t="s">
        <v>334</v>
      </c>
      <c r="B2705" t="s">
        <v>730</v>
      </c>
      <c r="C2705" t="s">
        <v>1816</v>
      </c>
      <c r="D2705" t="s">
        <v>1808</v>
      </c>
      <c r="E2705" s="4">
        <f>IF(AND(Responses!$GP$1&lt;&gt;"",ISERROR(SEARCH("response id",LOWER(Responses!$GP$1))),(COUNTIF('Open Questions'!$A$2:$A$1001,"GP")+COUNTIF('Multiple Choice Questions'!$A$2:$A$1001,"GP")+COUNTIF('Hybrid Questions'!$A$2:$A$1001,"GP")+COUNTIF('Hybrid Questions'!$D$2:$D$1001,"GP")+COUNTIF('Demographics'!$A$2:$A$1001,"GP"))=0),"Responses column GP ("""&amp;Responses!$GP$1&amp;""") has data, but no question or demographic is set up to use it — so it won't appear in your results.","")</f>
        <v>0</v>
      </c>
      <c r="F2705" s="4" t="s">
        <v>2014</v>
      </c>
    </row>
    <row r="2706" spans="1:6" ht="75" customHeight="1">
      <c r="A2706" t="s">
        <v>334</v>
      </c>
      <c r="B2706" t="s">
        <v>732</v>
      </c>
      <c r="C2706" t="s">
        <v>1816</v>
      </c>
      <c r="D2706" t="s">
        <v>1808</v>
      </c>
      <c r="E2706" s="4">
        <f>IF(AND(Responses!$GQ$1&lt;&gt;"",ISERROR(SEARCH("response id",LOWER(Responses!$GQ$1))),(COUNTIF('Open Questions'!$A$2:$A$1001,"GQ")+COUNTIF('Multiple Choice Questions'!$A$2:$A$1001,"GQ")+COUNTIF('Hybrid Questions'!$A$2:$A$1001,"GQ")+COUNTIF('Hybrid Questions'!$D$2:$D$1001,"GQ")+COUNTIF('Demographics'!$A$2:$A$1001,"GQ"))=0),"Responses column GQ ("""&amp;Responses!$GQ$1&amp;""") has data, but no question or demographic is set up to use it — so it won't appear in your results.","")</f>
        <v>0</v>
      </c>
      <c r="F2706" s="4" t="s">
        <v>2015</v>
      </c>
    </row>
    <row r="2707" spans="1:6" ht="75" customHeight="1">
      <c r="A2707" t="s">
        <v>334</v>
      </c>
      <c r="B2707" t="s">
        <v>734</v>
      </c>
      <c r="C2707" t="s">
        <v>1816</v>
      </c>
      <c r="D2707" t="s">
        <v>1808</v>
      </c>
      <c r="E2707" s="4">
        <f>IF(AND(Responses!$GR$1&lt;&gt;"",ISERROR(SEARCH("response id",LOWER(Responses!$GR$1))),(COUNTIF('Open Questions'!$A$2:$A$1001,"GR")+COUNTIF('Multiple Choice Questions'!$A$2:$A$1001,"GR")+COUNTIF('Hybrid Questions'!$A$2:$A$1001,"GR")+COUNTIF('Hybrid Questions'!$D$2:$D$1001,"GR")+COUNTIF('Demographics'!$A$2:$A$1001,"GR"))=0),"Responses column GR ("""&amp;Responses!$GR$1&amp;""") has data, but no question or demographic is set up to use it — so it won't appear in your results.","")</f>
        <v>0</v>
      </c>
      <c r="F2707" s="4" t="s">
        <v>2016</v>
      </c>
    </row>
    <row r="2708" spans="1:6" ht="75" customHeight="1">
      <c r="A2708" t="s">
        <v>334</v>
      </c>
      <c r="B2708" t="s">
        <v>736</v>
      </c>
      <c r="C2708" t="s">
        <v>1816</v>
      </c>
      <c r="D2708" t="s">
        <v>1808</v>
      </c>
      <c r="E2708" s="4">
        <f>IF(AND(Responses!$GS$1&lt;&gt;"",ISERROR(SEARCH("response id",LOWER(Responses!$GS$1))),(COUNTIF('Open Questions'!$A$2:$A$1001,"GS")+COUNTIF('Multiple Choice Questions'!$A$2:$A$1001,"GS")+COUNTIF('Hybrid Questions'!$A$2:$A$1001,"GS")+COUNTIF('Hybrid Questions'!$D$2:$D$1001,"GS")+COUNTIF('Demographics'!$A$2:$A$1001,"GS"))=0),"Responses column GS ("""&amp;Responses!$GS$1&amp;""") has data, but no question or demographic is set up to use it — so it won't appear in your results.","")</f>
        <v>0</v>
      </c>
      <c r="F2708" s="4" t="s">
        <v>2017</v>
      </c>
    </row>
    <row r="2709" spans="1:6" ht="75" customHeight="1">
      <c r="A2709" t="s">
        <v>334</v>
      </c>
      <c r="B2709" t="s">
        <v>738</v>
      </c>
      <c r="C2709" t="s">
        <v>1816</v>
      </c>
      <c r="D2709" t="s">
        <v>1808</v>
      </c>
      <c r="E2709" s="4">
        <f>IF(AND(Responses!$GT$1&lt;&gt;"",ISERROR(SEARCH("response id",LOWER(Responses!$GT$1))),(COUNTIF('Open Questions'!$A$2:$A$1001,"GT")+COUNTIF('Multiple Choice Questions'!$A$2:$A$1001,"GT")+COUNTIF('Hybrid Questions'!$A$2:$A$1001,"GT")+COUNTIF('Hybrid Questions'!$D$2:$D$1001,"GT")+COUNTIF('Demographics'!$A$2:$A$1001,"GT"))=0),"Responses column GT ("""&amp;Responses!$GT$1&amp;""") has data, but no question or demographic is set up to use it — so it won't appear in your results.","")</f>
        <v>0</v>
      </c>
      <c r="F2709" s="4" t="s">
        <v>2018</v>
      </c>
    </row>
    <row r="2710" spans="1:6" ht="75" customHeight="1">
      <c r="A2710" t="s">
        <v>334</v>
      </c>
      <c r="B2710" t="s">
        <v>740</v>
      </c>
      <c r="C2710" t="s">
        <v>1816</v>
      </c>
      <c r="D2710" t="s">
        <v>1808</v>
      </c>
      <c r="E2710" s="4">
        <f>IF(AND(Responses!$GU$1&lt;&gt;"",ISERROR(SEARCH("response id",LOWER(Responses!$GU$1))),(COUNTIF('Open Questions'!$A$2:$A$1001,"GU")+COUNTIF('Multiple Choice Questions'!$A$2:$A$1001,"GU")+COUNTIF('Hybrid Questions'!$A$2:$A$1001,"GU")+COUNTIF('Hybrid Questions'!$D$2:$D$1001,"GU")+COUNTIF('Demographics'!$A$2:$A$1001,"GU"))=0),"Responses column GU ("""&amp;Responses!$GU$1&amp;""") has data, but no question or demographic is set up to use it — so it won't appear in your results.","")</f>
        <v>0</v>
      </c>
      <c r="F2710" s="4" t="s">
        <v>2019</v>
      </c>
    </row>
    <row r="2711" spans="1:6" ht="75" customHeight="1">
      <c r="A2711" t="s">
        <v>334</v>
      </c>
      <c r="B2711" t="s">
        <v>742</v>
      </c>
      <c r="C2711" t="s">
        <v>1816</v>
      </c>
      <c r="D2711" t="s">
        <v>1808</v>
      </c>
      <c r="E2711" s="4">
        <f>IF(AND(Responses!$GV$1&lt;&gt;"",ISERROR(SEARCH("response id",LOWER(Responses!$GV$1))),(COUNTIF('Open Questions'!$A$2:$A$1001,"GV")+COUNTIF('Multiple Choice Questions'!$A$2:$A$1001,"GV")+COUNTIF('Hybrid Questions'!$A$2:$A$1001,"GV")+COUNTIF('Hybrid Questions'!$D$2:$D$1001,"GV")+COUNTIF('Demographics'!$A$2:$A$1001,"GV"))=0),"Responses column GV ("""&amp;Responses!$GV$1&amp;""") has data, but no question or demographic is set up to use it — so it won't appear in your results.","")</f>
        <v>0</v>
      </c>
      <c r="F2711" s="4" t="s">
        <v>2020</v>
      </c>
    </row>
    <row r="2712" spans="1:6" ht="75" customHeight="1">
      <c r="A2712" t="s">
        <v>334</v>
      </c>
      <c r="B2712" t="s">
        <v>744</v>
      </c>
      <c r="C2712" t="s">
        <v>1816</v>
      </c>
      <c r="D2712" t="s">
        <v>1808</v>
      </c>
      <c r="E2712" s="4">
        <f>IF(AND(Responses!$GW$1&lt;&gt;"",ISERROR(SEARCH("response id",LOWER(Responses!$GW$1))),(COUNTIF('Open Questions'!$A$2:$A$1001,"GW")+COUNTIF('Multiple Choice Questions'!$A$2:$A$1001,"GW")+COUNTIF('Hybrid Questions'!$A$2:$A$1001,"GW")+COUNTIF('Hybrid Questions'!$D$2:$D$1001,"GW")+COUNTIF('Demographics'!$A$2:$A$1001,"GW"))=0),"Responses column GW ("""&amp;Responses!$GW$1&amp;""") has data, but no question or demographic is set up to use it — so it won't appear in your results.","")</f>
        <v>0</v>
      </c>
      <c r="F2712" s="4" t="s">
        <v>2021</v>
      </c>
    </row>
    <row r="2713" spans="1:6" ht="75" customHeight="1">
      <c r="A2713" t="s">
        <v>334</v>
      </c>
      <c r="B2713" t="s">
        <v>746</v>
      </c>
      <c r="C2713" t="s">
        <v>1816</v>
      </c>
      <c r="D2713" t="s">
        <v>1808</v>
      </c>
      <c r="E2713" s="4">
        <f>IF(AND(Responses!$GX$1&lt;&gt;"",ISERROR(SEARCH("response id",LOWER(Responses!$GX$1))),(COUNTIF('Open Questions'!$A$2:$A$1001,"GX")+COUNTIF('Multiple Choice Questions'!$A$2:$A$1001,"GX")+COUNTIF('Hybrid Questions'!$A$2:$A$1001,"GX")+COUNTIF('Hybrid Questions'!$D$2:$D$1001,"GX")+COUNTIF('Demographics'!$A$2:$A$1001,"GX"))=0),"Responses column GX ("""&amp;Responses!$GX$1&amp;""") has data, but no question or demographic is set up to use it — so it won't appear in your results.","")</f>
        <v>0</v>
      </c>
      <c r="F2713" s="4" t="s">
        <v>2022</v>
      </c>
    </row>
    <row r="2714" spans="1:6" ht="75" customHeight="1">
      <c r="A2714" t="s">
        <v>334</v>
      </c>
      <c r="B2714" t="s">
        <v>748</v>
      </c>
      <c r="C2714" t="s">
        <v>1816</v>
      </c>
      <c r="D2714" t="s">
        <v>1808</v>
      </c>
      <c r="E2714" s="4">
        <f>IF(AND(Responses!$GY$1&lt;&gt;"",ISERROR(SEARCH("response id",LOWER(Responses!$GY$1))),(COUNTIF('Open Questions'!$A$2:$A$1001,"GY")+COUNTIF('Multiple Choice Questions'!$A$2:$A$1001,"GY")+COUNTIF('Hybrid Questions'!$A$2:$A$1001,"GY")+COUNTIF('Hybrid Questions'!$D$2:$D$1001,"GY")+COUNTIF('Demographics'!$A$2:$A$1001,"GY"))=0),"Responses column GY ("""&amp;Responses!$GY$1&amp;""") has data, but no question or demographic is set up to use it — so it won't appear in your results.","")</f>
        <v>0</v>
      </c>
      <c r="F2714" s="4" t="s">
        <v>2023</v>
      </c>
    </row>
    <row r="2715" spans="1:6" ht="75" customHeight="1">
      <c r="A2715" t="s">
        <v>334</v>
      </c>
      <c r="B2715" t="s">
        <v>750</v>
      </c>
      <c r="C2715" t="s">
        <v>1816</v>
      </c>
      <c r="D2715" t="s">
        <v>1808</v>
      </c>
      <c r="E2715" s="4">
        <f>IF(AND(Responses!$GZ$1&lt;&gt;"",ISERROR(SEARCH("response id",LOWER(Responses!$GZ$1))),(COUNTIF('Open Questions'!$A$2:$A$1001,"GZ")+COUNTIF('Multiple Choice Questions'!$A$2:$A$1001,"GZ")+COUNTIF('Hybrid Questions'!$A$2:$A$1001,"GZ")+COUNTIF('Hybrid Questions'!$D$2:$D$1001,"GZ")+COUNTIF('Demographics'!$A$2:$A$1001,"GZ"))=0),"Responses column GZ ("""&amp;Responses!$GZ$1&amp;""") has data, but no question or demographic is set up to use it — so it won't appear in your results.","")</f>
        <v>0</v>
      </c>
      <c r="F2715" s="4" t="s">
        <v>2024</v>
      </c>
    </row>
    <row r="2716" spans="1:6" ht="75" customHeight="1">
      <c r="A2716" t="s">
        <v>334</v>
      </c>
      <c r="B2716" t="s">
        <v>752</v>
      </c>
      <c r="C2716" t="s">
        <v>1816</v>
      </c>
      <c r="D2716" t="s">
        <v>1808</v>
      </c>
      <c r="E2716" s="4">
        <f>IF(AND(Responses!$HA$1&lt;&gt;"",ISERROR(SEARCH("response id",LOWER(Responses!$HA$1))),(COUNTIF('Open Questions'!$A$2:$A$1001,"HA")+COUNTIF('Multiple Choice Questions'!$A$2:$A$1001,"HA")+COUNTIF('Hybrid Questions'!$A$2:$A$1001,"HA")+COUNTIF('Hybrid Questions'!$D$2:$D$1001,"HA")+COUNTIF('Demographics'!$A$2:$A$1001,"HA"))=0),"Responses column HA ("""&amp;Responses!$HA$1&amp;""") has data, but no question or demographic is set up to use it — so it won't appear in your results.","")</f>
        <v>0</v>
      </c>
      <c r="F2716" s="4" t="s">
        <v>2025</v>
      </c>
    </row>
    <row r="2717" spans="1:6" ht="75" customHeight="1">
      <c r="A2717" t="s">
        <v>334</v>
      </c>
      <c r="B2717" t="s">
        <v>754</v>
      </c>
      <c r="C2717" t="s">
        <v>1816</v>
      </c>
      <c r="D2717" t="s">
        <v>1808</v>
      </c>
      <c r="E2717" s="4">
        <f>IF(AND(Responses!$HB$1&lt;&gt;"",ISERROR(SEARCH("response id",LOWER(Responses!$HB$1))),(COUNTIF('Open Questions'!$A$2:$A$1001,"HB")+COUNTIF('Multiple Choice Questions'!$A$2:$A$1001,"HB")+COUNTIF('Hybrid Questions'!$A$2:$A$1001,"HB")+COUNTIF('Hybrid Questions'!$D$2:$D$1001,"HB")+COUNTIF('Demographics'!$A$2:$A$1001,"HB"))=0),"Responses column HB ("""&amp;Responses!$HB$1&amp;""") has data, but no question or demographic is set up to use it — so it won't appear in your results.","")</f>
        <v>0</v>
      </c>
      <c r="F2717" s="4" t="s">
        <v>2026</v>
      </c>
    </row>
    <row r="2718" spans="1:6" ht="75" customHeight="1">
      <c r="A2718" t="s">
        <v>334</v>
      </c>
      <c r="B2718" t="s">
        <v>756</v>
      </c>
      <c r="C2718" t="s">
        <v>1816</v>
      </c>
      <c r="D2718" t="s">
        <v>1808</v>
      </c>
      <c r="E2718" s="4">
        <f>IF(AND(Responses!$HC$1&lt;&gt;"",ISERROR(SEARCH("response id",LOWER(Responses!$HC$1))),(COUNTIF('Open Questions'!$A$2:$A$1001,"HC")+COUNTIF('Multiple Choice Questions'!$A$2:$A$1001,"HC")+COUNTIF('Hybrid Questions'!$A$2:$A$1001,"HC")+COUNTIF('Hybrid Questions'!$D$2:$D$1001,"HC")+COUNTIF('Demographics'!$A$2:$A$1001,"HC"))=0),"Responses column HC ("""&amp;Responses!$HC$1&amp;""") has data, but no question or demographic is set up to use it — so it won't appear in your results.","")</f>
        <v>0</v>
      </c>
      <c r="F2718" s="4" t="s">
        <v>2027</v>
      </c>
    </row>
    <row r="2719" spans="1:6" ht="75" customHeight="1">
      <c r="A2719" t="s">
        <v>334</v>
      </c>
      <c r="B2719" t="s">
        <v>758</v>
      </c>
      <c r="C2719" t="s">
        <v>1816</v>
      </c>
      <c r="D2719" t="s">
        <v>1808</v>
      </c>
      <c r="E2719" s="4">
        <f>IF(AND(Responses!$HD$1&lt;&gt;"",ISERROR(SEARCH("response id",LOWER(Responses!$HD$1))),(COUNTIF('Open Questions'!$A$2:$A$1001,"HD")+COUNTIF('Multiple Choice Questions'!$A$2:$A$1001,"HD")+COUNTIF('Hybrid Questions'!$A$2:$A$1001,"HD")+COUNTIF('Hybrid Questions'!$D$2:$D$1001,"HD")+COUNTIF('Demographics'!$A$2:$A$1001,"HD"))=0),"Responses column HD ("""&amp;Responses!$HD$1&amp;""") has data, but no question or demographic is set up to use it — so it won't appear in your results.","")</f>
        <v>0</v>
      </c>
      <c r="F2719" s="4" t="s">
        <v>2028</v>
      </c>
    </row>
    <row r="2720" spans="1:6" ht="75" customHeight="1">
      <c r="A2720" t="s">
        <v>334</v>
      </c>
      <c r="B2720" t="s">
        <v>760</v>
      </c>
      <c r="C2720" t="s">
        <v>1816</v>
      </c>
      <c r="D2720" t="s">
        <v>1808</v>
      </c>
      <c r="E2720" s="4">
        <f>IF(AND(Responses!$HE$1&lt;&gt;"",ISERROR(SEARCH("response id",LOWER(Responses!$HE$1))),(COUNTIF('Open Questions'!$A$2:$A$1001,"HE")+COUNTIF('Multiple Choice Questions'!$A$2:$A$1001,"HE")+COUNTIF('Hybrid Questions'!$A$2:$A$1001,"HE")+COUNTIF('Hybrid Questions'!$D$2:$D$1001,"HE")+COUNTIF('Demographics'!$A$2:$A$1001,"HE"))=0),"Responses column HE ("""&amp;Responses!$HE$1&amp;""") has data, but no question or demographic is set up to use it — so it won't appear in your results.","")</f>
        <v>0</v>
      </c>
      <c r="F2720" s="4" t="s">
        <v>2029</v>
      </c>
    </row>
    <row r="2721" spans="1:6" ht="75" customHeight="1">
      <c r="A2721" t="s">
        <v>334</v>
      </c>
      <c r="B2721" t="s">
        <v>762</v>
      </c>
      <c r="C2721" t="s">
        <v>1816</v>
      </c>
      <c r="D2721" t="s">
        <v>1808</v>
      </c>
      <c r="E2721" s="4">
        <f>IF(AND(Responses!$HF$1&lt;&gt;"",ISERROR(SEARCH("response id",LOWER(Responses!$HF$1))),(COUNTIF('Open Questions'!$A$2:$A$1001,"HF")+COUNTIF('Multiple Choice Questions'!$A$2:$A$1001,"HF")+COUNTIF('Hybrid Questions'!$A$2:$A$1001,"HF")+COUNTIF('Hybrid Questions'!$D$2:$D$1001,"HF")+COUNTIF('Demographics'!$A$2:$A$1001,"HF"))=0),"Responses column HF ("""&amp;Responses!$HF$1&amp;""") has data, but no question or demographic is set up to use it — so it won't appear in your results.","")</f>
        <v>0</v>
      </c>
      <c r="F2721" s="4" t="s">
        <v>2030</v>
      </c>
    </row>
    <row r="2722" spans="1:6" ht="75" customHeight="1">
      <c r="A2722" t="s">
        <v>334</v>
      </c>
      <c r="B2722" t="s">
        <v>764</v>
      </c>
      <c r="C2722" t="s">
        <v>1816</v>
      </c>
      <c r="D2722" t="s">
        <v>1808</v>
      </c>
      <c r="E2722" s="4">
        <f>IF(AND(Responses!$HG$1&lt;&gt;"",ISERROR(SEARCH("response id",LOWER(Responses!$HG$1))),(COUNTIF('Open Questions'!$A$2:$A$1001,"HG")+COUNTIF('Multiple Choice Questions'!$A$2:$A$1001,"HG")+COUNTIF('Hybrid Questions'!$A$2:$A$1001,"HG")+COUNTIF('Hybrid Questions'!$D$2:$D$1001,"HG")+COUNTIF('Demographics'!$A$2:$A$1001,"HG"))=0),"Responses column HG ("""&amp;Responses!$HG$1&amp;""") has data, but no question or demographic is set up to use it — so it won't appear in your results.","")</f>
        <v>0</v>
      </c>
      <c r="F2722" s="4" t="s">
        <v>2031</v>
      </c>
    </row>
    <row r="2723" spans="1:6" ht="75" customHeight="1">
      <c r="A2723" t="s">
        <v>334</v>
      </c>
      <c r="B2723" t="s">
        <v>766</v>
      </c>
      <c r="C2723" t="s">
        <v>1816</v>
      </c>
      <c r="D2723" t="s">
        <v>1808</v>
      </c>
      <c r="E2723" s="4">
        <f>IF(AND(Responses!$HH$1&lt;&gt;"",ISERROR(SEARCH("response id",LOWER(Responses!$HH$1))),(COUNTIF('Open Questions'!$A$2:$A$1001,"HH")+COUNTIF('Multiple Choice Questions'!$A$2:$A$1001,"HH")+COUNTIF('Hybrid Questions'!$A$2:$A$1001,"HH")+COUNTIF('Hybrid Questions'!$D$2:$D$1001,"HH")+COUNTIF('Demographics'!$A$2:$A$1001,"HH"))=0),"Responses column HH ("""&amp;Responses!$HH$1&amp;""") has data, but no question or demographic is set up to use it — so it won't appear in your results.","")</f>
        <v>0</v>
      </c>
      <c r="F2723" s="4" t="s">
        <v>2032</v>
      </c>
    </row>
    <row r="2724" spans="1:6" ht="75" customHeight="1">
      <c r="A2724" t="s">
        <v>334</v>
      </c>
      <c r="B2724" t="s">
        <v>768</v>
      </c>
      <c r="C2724" t="s">
        <v>1816</v>
      </c>
      <c r="D2724" t="s">
        <v>1808</v>
      </c>
      <c r="E2724" s="4">
        <f>IF(AND(Responses!$HI$1&lt;&gt;"",ISERROR(SEARCH("response id",LOWER(Responses!$HI$1))),(COUNTIF('Open Questions'!$A$2:$A$1001,"HI")+COUNTIF('Multiple Choice Questions'!$A$2:$A$1001,"HI")+COUNTIF('Hybrid Questions'!$A$2:$A$1001,"HI")+COUNTIF('Hybrid Questions'!$D$2:$D$1001,"HI")+COUNTIF('Demographics'!$A$2:$A$1001,"HI"))=0),"Responses column HI ("""&amp;Responses!$HI$1&amp;""") has data, but no question or demographic is set up to use it — so it won't appear in your results.","")</f>
        <v>0</v>
      </c>
      <c r="F2724" s="4" t="s">
        <v>2033</v>
      </c>
    </row>
    <row r="2725" spans="1:6" ht="75" customHeight="1">
      <c r="A2725" t="s">
        <v>334</v>
      </c>
      <c r="B2725" t="s">
        <v>770</v>
      </c>
      <c r="C2725" t="s">
        <v>1816</v>
      </c>
      <c r="D2725" t="s">
        <v>1808</v>
      </c>
      <c r="E2725" s="4">
        <f>IF(AND(Responses!$HJ$1&lt;&gt;"",ISERROR(SEARCH("response id",LOWER(Responses!$HJ$1))),(COUNTIF('Open Questions'!$A$2:$A$1001,"HJ")+COUNTIF('Multiple Choice Questions'!$A$2:$A$1001,"HJ")+COUNTIF('Hybrid Questions'!$A$2:$A$1001,"HJ")+COUNTIF('Hybrid Questions'!$D$2:$D$1001,"HJ")+COUNTIF('Demographics'!$A$2:$A$1001,"HJ"))=0),"Responses column HJ ("""&amp;Responses!$HJ$1&amp;""") has data, but no question or demographic is set up to use it — so it won't appear in your results.","")</f>
        <v>0</v>
      </c>
      <c r="F2725" s="4" t="s">
        <v>2034</v>
      </c>
    </row>
    <row r="2726" spans="1:6" ht="75" customHeight="1">
      <c r="A2726" t="s">
        <v>334</v>
      </c>
      <c r="B2726" t="s">
        <v>772</v>
      </c>
      <c r="C2726" t="s">
        <v>1816</v>
      </c>
      <c r="D2726" t="s">
        <v>1808</v>
      </c>
      <c r="E2726" s="4">
        <f>IF(AND(Responses!$HK$1&lt;&gt;"",ISERROR(SEARCH("response id",LOWER(Responses!$HK$1))),(COUNTIF('Open Questions'!$A$2:$A$1001,"HK")+COUNTIF('Multiple Choice Questions'!$A$2:$A$1001,"HK")+COUNTIF('Hybrid Questions'!$A$2:$A$1001,"HK")+COUNTIF('Hybrid Questions'!$D$2:$D$1001,"HK")+COUNTIF('Demographics'!$A$2:$A$1001,"HK"))=0),"Responses column HK ("""&amp;Responses!$HK$1&amp;""") has data, but no question or demographic is set up to use it — so it won't appear in your results.","")</f>
        <v>0</v>
      </c>
      <c r="F2726" s="4" t="s">
        <v>2035</v>
      </c>
    </row>
    <row r="2727" spans="1:6" ht="75" customHeight="1">
      <c r="A2727" t="s">
        <v>334</v>
      </c>
      <c r="B2727" t="s">
        <v>774</v>
      </c>
      <c r="C2727" t="s">
        <v>1816</v>
      </c>
      <c r="D2727" t="s">
        <v>1808</v>
      </c>
      <c r="E2727" s="4">
        <f>IF(AND(Responses!$HL$1&lt;&gt;"",ISERROR(SEARCH("response id",LOWER(Responses!$HL$1))),(COUNTIF('Open Questions'!$A$2:$A$1001,"HL")+COUNTIF('Multiple Choice Questions'!$A$2:$A$1001,"HL")+COUNTIF('Hybrid Questions'!$A$2:$A$1001,"HL")+COUNTIF('Hybrid Questions'!$D$2:$D$1001,"HL")+COUNTIF('Demographics'!$A$2:$A$1001,"HL"))=0),"Responses column HL ("""&amp;Responses!$HL$1&amp;""") has data, but no question or demographic is set up to use it — so it won't appear in your results.","")</f>
        <v>0</v>
      </c>
      <c r="F2727" s="4" t="s">
        <v>2036</v>
      </c>
    </row>
    <row r="2728" spans="1:6" ht="75" customHeight="1">
      <c r="A2728" t="s">
        <v>334</v>
      </c>
      <c r="B2728" t="s">
        <v>776</v>
      </c>
      <c r="C2728" t="s">
        <v>1816</v>
      </c>
      <c r="D2728" t="s">
        <v>1808</v>
      </c>
      <c r="E2728" s="4">
        <f>IF(AND(Responses!$HM$1&lt;&gt;"",ISERROR(SEARCH("response id",LOWER(Responses!$HM$1))),(COUNTIF('Open Questions'!$A$2:$A$1001,"HM")+COUNTIF('Multiple Choice Questions'!$A$2:$A$1001,"HM")+COUNTIF('Hybrid Questions'!$A$2:$A$1001,"HM")+COUNTIF('Hybrid Questions'!$D$2:$D$1001,"HM")+COUNTIF('Demographics'!$A$2:$A$1001,"HM"))=0),"Responses column HM ("""&amp;Responses!$HM$1&amp;""") has data, but no question or demographic is set up to use it — so it won't appear in your results.","")</f>
        <v>0</v>
      </c>
      <c r="F2728" s="4" t="s">
        <v>2037</v>
      </c>
    </row>
    <row r="2729" spans="1:6" ht="75" customHeight="1">
      <c r="A2729" t="s">
        <v>334</v>
      </c>
      <c r="B2729" t="s">
        <v>778</v>
      </c>
      <c r="C2729" t="s">
        <v>1816</v>
      </c>
      <c r="D2729" t="s">
        <v>1808</v>
      </c>
      <c r="E2729" s="4">
        <f>IF(AND(Responses!$HN$1&lt;&gt;"",ISERROR(SEARCH("response id",LOWER(Responses!$HN$1))),(COUNTIF('Open Questions'!$A$2:$A$1001,"HN")+COUNTIF('Multiple Choice Questions'!$A$2:$A$1001,"HN")+COUNTIF('Hybrid Questions'!$A$2:$A$1001,"HN")+COUNTIF('Hybrid Questions'!$D$2:$D$1001,"HN")+COUNTIF('Demographics'!$A$2:$A$1001,"HN"))=0),"Responses column HN ("""&amp;Responses!$HN$1&amp;""") has data, but no question or demographic is set up to use it — so it won't appear in your results.","")</f>
        <v>0</v>
      </c>
      <c r="F2729" s="4" t="s">
        <v>2038</v>
      </c>
    </row>
    <row r="2730" spans="1:6" ht="75" customHeight="1">
      <c r="A2730" t="s">
        <v>334</v>
      </c>
      <c r="B2730" t="s">
        <v>780</v>
      </c>
      <c r="C2730" t="s">
        <v>1816</v>
      </c>
      <c r="D2730" t="s">
        <v>1808</v>
      </c>
      <c r="E2730" s="4">
        <f>IF(AND(Responses!$HO$1&lt;&gt;"",ISERROR(SEARCH("response id",LOWER(Responses!$HO$1))),(COUNTIF('Open Questions'!$A$2:$A$1001,"HO")+COUNTIF('Multiple Choice Questions'!$A$2:$A$1001,"HO")+COUNTIF('Hybrid Questions'!$A$2:$A$1001,"HO")+COUNTIF('Hybrid Questions'!$D$2:$D$1001,"HO")+COUNTIF('Demographics'!$A$2:$A$1001,"HO"))=0),"Responses column HO ("""&amp;Responses!$HO$1&amp;""") has data, but no question or demographic is set up to use it — so it won't appear in your results.","")</f>
        <v>0</v>
      </c>
      <c r="F2730" s="4" t="s">
        <v>2039</v>
      </c>
    </row>
    <row r="2731" spans="1:6" ht="75" customHeight="1">
      <c r="A2731" t="s">
        <v>334</v>
      </c>
      <c r="B2731" t="s">
        <v>782</v>
      </c>
      <c r="C2731" t="s">
        <v>1816</v>
      </c>
      <c r="D2731" t="s">
        <v>1808</v>
      </c>
      <c r="E2731" s="4">
        <f>IF(AND(Responses!$HP$1&lt;&gt;"",ISERROR(SEARCH("response id",LOWER(Responses!$HP$1))),(COUNTIF('Open Questions'!$A$2:$A$1001,"HP")+COUNTIF('Multiple Choice Questions'!$A$2:$A$1001,"HP")+COUNTIF('Hybrid Questions'!$A$2:$A$1001,"HP")+COUNTIF('Hybrid Questions'!$D$2:$D$1001,"HP")+COUNTIF('Demographics'!$A$2:$A$1001,"HP"))=0),"Responses column HP ("""&amp;Responses!$HP$1&amp;""") has data, but no question or demographic is set up to use it — so it won't appear in your results.","")</f>
        <v>0</v>
      </c>
      <c r="F2731" s="4" t="s">
        <v>2040</v>
      </c>
    </row>
    <row r="2732" spans="1:6" ht="75" customHeight="1">
      <c r="A2732" t="s">
        <v>334</v>
      </c>
      <c r="B2732" t="s">
        <v>784</v>
      </c>
      <c r="C2732" t="s">
        <v>1816</v>
      </c>
      <c r="D2732" t="s">
        <v>1808</v>
      </c>
      <c r="E2732" s="4">
        <f>IF(AND(Responses!$HQ$1&lt;&gt;"",ISERROR(SEARCH("response id",LOWER(Responses!$HQ$1))),(COUNTIF('Open Questions'!$A$2:$A$1001,"HQ")+COUNTIF('Multiple Choice Questions'!$A$2:$A$1001,"HQ")+COUNTIF('Hybrid Questions'!$A$2:$A$1001,"HQ")+COUNTIF('Hybrid Questions'!$D$2:$D$1001,"HQ")+COUNTIF('Demographics'!$A$2:$A$1001,"HQ"))=0),"Responses column HQ ("""&amp;Responses!$HQ$1&amp;""") has data, but no question or demographic is set up to use it — so it won't appear in your results.","")</f>
        <v>0</v>
      </c>
      <c r="F2732" s="4" t="s">
        <v>2041</v>
      </c>
    </row>
    <row r="2733" spans="1:6" ht="75" customHeight="1">
      <c r="A2733" t="s">
        <v>334</v>
      </c>
      <c r="B2733" t="s">
        <v>786</v>
      </c>
      <c r="C2733" t="s">
        <v>1816</v>
      </c>
      <c r="D2733" t="s">
        <v>1808</v>
      </c>
      <c r="E2733" s="4">
        <f>IF(AND(Responses!$HR$1&lt;&gt;"",ISERROR(SEARCH("response id",LOWER(Responses!$HR$1))),(COUNTIF('Open Questions'!$A$2:$A$1001,"HR")+COUNTIF('Multiple Choice Questions'!$A$2:$A$1001,"HR")+COUNTIF('Hybrid Questions'!$A$2:$A$1001,"HR")+COUNTIF('Hybrid Questions'!$D$2:$D$1001,"HR")+COUNTIF('Demographics'!$A$2:$A$1001,"HR"))=0),"Responses column HR ("""&amp;Responses!$HR$1&amp;""") has data, but no question or demographic is set up to use it — so it won't appear in your results.","")</f>
        <v>0</v>
      </c>
      <c r="F2733" s="4" t="s">
        <v>2042</v>
      </c>
    </row>
    <row r="2734" spans="1:6" ht="75" customHeight="1">
      <c r="A2734" t="s">
        <v>334</v>
      </c>
      <c r="B2734" t="s">
        <v>788</v>
      </c>
      <c r="C2734" t="s">
        <v>1816</v>
      </c>
      <c r="D2734" t="s">
        <v>1808</v>
      </c>
      <c r="E2734" s="4">
        <f>IF(AND(Responses!$HS$1&lt;&gt;"",ISERROR(SEARCH("response id",LOWER(Responses!$HS$1))),(COUNTIF('Open Questions'!$A$2:$A$1001,"HS")+COUNTIF('Multiple Choice Questions'!$A$2:$A$1001,"HS")+COUNTIF('Hybrid Questions'!$A$2:$A$1001,"HS")+COUNTIF('Hybrid Questions'!$D$2:$D$1001,"HS")+COUNTIF('Demographics'!$A$2:$A$1001,"HS"))=0),"Responses column HS ("""&amp;Responses!$HS$1&amp;""") has data, but no question or demographic is set up to use it — so it won't appear in your results.","")</f>
        <v>0</v>
      </c>
      <c r="F2734" s="4" t="s">
        <v>2043</v>
      </c>
    </row>
    <row r="2735" spans="1:6" ht="75" customHeight="1">
      <c r="A2735" t="s">
        <v>334</v>
      </c>
      <c r="B2735" t="s">
        <v>790</v>
      </c>
      <c r="C2735" t="s">
        <v>1816</v>
      </c>
      <c r="D2735" t="s">
        <v>1808</v>
      </c>
      <c r="E2735" s="4">
        <f>IF(AND(Responses!$HT$1&lt;&gt;"",ISERROR(SEARCH("response id",LOWER(Responses!$HT$1))),(COUNTIF('Open Questions'!$A$2:$A$1001,"HT")+COUNTIF('Multiple Choice Questions'!$A$2:$A$1001,"HT")+COUNTIF('Hybrid Questions'!$A$2:$A$1001,"HT")+COUNTIF('Hybrid Questions'!$D$2:$D$1001,"HT")+COUNTIF('Demographics'!$A$2:$A$1001,"HT"))=0),"Responses column HT ("""&amp;Responses!$HT$1&amp;""") has data, but no question or demographic is set up to use it — so it won't appear in your results.","")</f>
        <v>0</v>
      </c>
      <c r="F2735" s="4" t="s">
        <v>2044</v>
      </c>
    </row>
    <row r="2736" spans="1:6" ht="75" customHeight="1">
      <c r="A2736" t="s">
        <v>334</v>
      </c>
      <c r="B2736" t="s">
        <v>792</v>
      </c>
      <c r="C2736" t="s">
        <v>1816</v>
      </c>
      <c r="D2736" t="s">
        <v>1808</v>
      </c>
      <c r="E2736" s="4">
        <f>IF(AND(Responses!$HU$1&lt;&gt;"",ISERROR(SEARCH("response id",LOWER(Responses!$HU$1))),(COUNTIF('Open Questions'!$A$2:$A$1001,"HU")+COUNTIF('Multiple Choice Questions'!$A$2:$A$1001,"HU")+COUNTIF('Hybrid Questions'!$A$2:$A$1001,"HU")+COUNTIF('Hybrid Questions'!$D$2:$D$1001,"HU")+COUNTIF('Demographics'!$A$2:$A$1001,"HU"))=0),"Responses column HU ("""&amp;Responses!$HU$1&amp;""") has data, but no question or demographic is set up to use it — so it won't appear in your results.","")</f>
        <v>0</v>
      </c>
      <c r="F2736" s="4" t="s">
        <v>2045</v>
      </c>
    </row>
    <row r="2737" spans="1:6" ht="75" customHeight="1">
      <c r="A2737" t="s">
        <v>334</v>
      </c>
      <c r="B2737" t="s">
        <v>794</v>
      </c>
      <c r="C2737" t="s">
        <v>1816</v>
      </c>
      <c r="D2737" t="s">
        <v>1808</v>
      </c>
      <c r="E2737" s="4">
        <f>IF(AND(Responses!$HV$1&lt;&gt;"",ISERROR(SEARCH("response id",LOWER(Responses!$HV$1))),(COUNTIF('Open Questions'!$A$2:$A$1001,"HV")+COUNTIF('Multiple Choice Questions'!$A$2:$A$1001,"HV")+COUNTIF('Hybrid Questions'!$A$2:$A$1001,"HV")+COUNTIF('Hybrid Questions'!$D$2:$D$1001,"HV")+COUNTIF('Demographics'!$A$2:$A$1001,"HV"))=0),"Responses column HV ("""&amp;Responses!$HV$1&amp;""") has data, but no question or demographic is set up to use it — so it won't appear in your results.","")</f>
        <v>0</v>
      </c>
      <c r="F2737" s="4" t="s">
        <v>2046</v>
      </c>
    </row>
    <row r="2738" spans="1:6" ht="75" customHeight="1">
      <c r="A2738" t="s">
        <v>334</v>
      </c>
      <c r="B2738" t="s">
        <v>796</v>
      </c>
      <c r="C2738" t="s">
        <v>1816</v>
      </c>
      <c r="D2738" t="s">
        <v>1808</v>
      </c>
      <c r="E2738" s="4">
        <f>IF(AND(Responses!$HW$1&lt;&gt;"",ISERROR(SEARCH("response id",LOWER(Responses!$HW$1))),(COUNTIF('Open Questions'!$A$2:$A$1001,"HW")+COUNTIF('Multiple Choice Questions'!$A$2:$A$1001,"HW")+COUNTIF('Hybrid Questions'!$A$2:$A$1001,"HW")+COUNTIF('Hybrid Questions'!$D$2:$D$1001,"HW")+COUNTIF('Demographics'!$A$2:$A$1001,"HW"))=0),"Responses column HW ("""&amp;Responses!$HW$1&amp;""") has data, but no question or demographic is set up to use it — so it won't appear in your results.","")</f>
        <v>0</v>
      </c>
      <c r="F2738" s="4" t="s">
        <v>2047</v>
      </c>
    </row>
    <row r="2739" spans="1:6" ht="75" customHeight="1">
      <c r="A2739" t="s">
        <v>334</v>
      </c>
      <c r="B2739" t="s">
        <v>798</v>
      </c>
      <c r="C2739" t="s">
        <v>1816</v>
      </c>
      <c r="D2739" t="s">
        <v>1808</v>
      </c>
      <c r="E2739" s="4">
        <f>IF(AND(Responses!$HX$1&lt;&gt;"",ISERROR(SEARCH("response id",LOWER(Responses!$HX$1))),(COUNTIF('Open Questions'!$A$2:$A$1001,"HX")+COUNTIF('Multiple Choice Questions'!$A$2:$A$1001,"HX")+COUNTIF('Hybrid Questions'!$A$2:$A$1001,"HX")+COUNTIF('Hybrid Questions'!$D$2:$D$1001,"HX")+COUNTIF('Demographics'!$A$2:$A$1001,"HX"))=0),"Responses column HX ("""&amp;Responses!$HX$1&amp;""") has data, but no question or demographic is set up to use it — so it won't appear in your results.","")</f>
        <v>0</v>
      </c>
      <c r="F2739" s="4" t="s">
        <v>2048</v>
      </c>
    </row>
    <row r="2740" spans="1:6" ht="75" customHeight="1">
      <c r="A2740" t="s">
        <v>334</v>
      </c>
      <c r="B2740" t="s">
        <v>800</v>
      </c>
      <c r="C2740" t="s">
        <v>1816</v>
      </c>
      <c r="D2740" t="s">
        <v>1808</v>
      </c>
      <c r="E2740" s="4">
        <f>IF(AND(Responses!$HY$1&lt;&gt;"",ISERROR(SEARCH("response id",LOWER(Responses!$HY$1))),(COUNTIF('Open Questions'!$A$2:$A$1001,"HY")+COUNTIF('Multiple Choice Questions'!$A$2:$A$1001,"HY")+COUNTIF('Hybrid Questions'!$A$2:$A$1001,"HY")+COUNTIF('Hybrid Questions'!$D$2:$D$1001,"HY")+COUNTIF('Demographics'!$A$2:$A$1001,"HY"))=0),"Responses column HY ("""&amp;Responses!$HY$1&amp;""") has data, but no question or demographic is set up to use it — so it won't appear in your results.","")</f>
        <v>0</v>
      </c>
      <c r="F2740" s="4" t="s">
        <v>2049</v>
      </c>
    </row>
    <row r="2741" spans="1:6" ht="75" customHeight="1">
      <c r="A2741" t="s">
        <v>334</v>
      </c>
      <c r="B2741" t="s">
        <v>802</v>
      </c>
      <c r="C2741" t="s">
        <v>1816</v>
      </c>
      <c r="D2741" t="s">
        <v>1808</v>
      </c>
      <c r="E2741" s="4">
        <f>IF(AND(Responses!$HZ$1&lt;&gt;"",ISERROR(SEARCH("response id",LOWER(Responses!$HZ$1))),(COUNTIF('Open Questions'!$A$2:$A$1001,"HZ")+COUNTIF('Multiple Choice Questions'!$A$2:$A$1001,"HZ")+COUNTIF('Hybrid Questions'!$A$2:$A$1001,"HZ")+COUNTIF('Hybrid Questions'!$D$2:$D$1001,"HZ")+COUNTIF('Demographics'!$A$2:$A$1001,"HZ"))=0),"Responses column HZ ("""&amp;Responses!$HZ$1&amp;""") has data, but no question or demographic is set up to use it — so it won't appear in your results.","")</f>
        <v>0</v>
      </c>
      <c r="F2741" s="4" t="s">
        <v>2050</v>
      </c>
    </row>
    <row r="2742" spans="1:6" ht="75" customHeight="1">
      <c r="A2742" t="s">
        <v>334</v>
      </c>
      <c r="B2742" t="s">
        <v>804</v>
      </c>
      <c r="C2742" t="s">
        <v>1816</v>
      </c>
      <c r="D2742" t="s">
        <v>1808</v>
      </c>
      <c r="E2742" s="4">
        <f>IF(AND(Responses!$IA$1&lt;&gt;"",ISERROR(SEARCH("response id",LOWER(Responses!$IA$1))),(COUNTIF('Open Questions'!$A$2:$A$1001,"IA")+COUNTIF('Multiple Choice Questions'!$A$2:$A$1001,"IA")+COUNTIF('Hybrid Questions'!$A$2:$A$1001,"IA")+COUNTIF('Hybrid Questions'!$D$2:$D$1001,"IA")+COUNTIF('Demographics'!$A$2:$A$1001,"IA"))=0),"Responses column IA ("""&amp;Responses!$IA$1&amp;""") has data, but no question or demographic is set up to use it — so it won't appear in your results.","")</f>
        <v>0</v>
      </c>
      <c r="F2742" s="4" t="s">
        <v>2051</v>
      </c>
    </row>
    <row r="2743" spans="1:6" ht="75" customHeight="1">
      <c r="A2743" t="s">
        <v>334</v>
      </c>
      <c r="B2743" t="s">
        <v>806</v>
      </c>
      <c r="C2743" t="s">
        <v>1816</v>
      </c>
      <c r="D2743" t="s">
        <v>1808</v>
      </c>
      <c r="E2743" s="4">
        <f>IF(AND(Responses!$IB$1&lt;&gt;"",ISERROR(SEARCH("response id",LOWER(Responses!$IB$1))),(COUNTIF('Open Questions'!$A$2:$A$1001,"IB")+COUNTIF('Multiple Choice Questions'!$A$2:$A$1001,"IB")+COUNTIF('Hybrid Questions'!$A$2:$A$1001,"IB")+COUNTIF('Hybrid Questions'!$D$2:$D$1001,"IB")+COUNTIF('Demographics'!$A$2:$A$1001,"IB"))=0),"Responses column IB ("""&amp;Responses!$IB$1&amp;""") has data, but no question or demographic is set up to use it — so it won't appear in your results.","")</f>
        <v>0</v>
      </c>
      <c r="F2743" s="4" t="s">
        <v>2052</v>
      </c>
    </row>
    <row r="2744" spans="1:6" ht="75" customHeight="1">
      <c r="A2744" t="s">
        <v>334</v>
      </c>
      <c r="B2744" t="s">
        <v>808</v>
      </c>
      <c r="C2744" t="s">
        <v>1816</v>
      </c>
      <c r="D2744" t="s">
        <v>1808</v>
      </c>
      <c r="E2744" s="4">
        <f>IF(AND(Responses!$IC$1&lt;&gt;"",ISERROR(SEARCH("response id",LOWER(Responses!$IC$1))),(COUNTIF('Open Questions'!$A$2:$A$1001,"IC")+COUNTIF('Multiple Choice Questions'!$A$2:$A$1001,"IC")+COUNTIF('Hybrid Questions'!$A$2:$A$1001,"IC")+COUNTIF('Hybrid Questions'!$D$2:$D$1001,"IC")+COUNTIF('Demographics'!$A$2:$A$1001,"IC"))=0),"Responses column IC ("""&amp;Responses!$IC$1&amp;""") has data, but no question or demographic is set up to use it — so it won't appear in your results.","")</f>
        <v>0</v>
      </c>
      <c r="F2744" s="4" t="s">
        <v>2053</v>
      </c>
    </row>
    <row r="2745" spans="1:6" ht="75" customHeight="1">
      <c r="A2745" t="s">
        <v>334</v>
      </c>
      <c r="B2745" t="s">
        <v>810</v>
      </c>
      <c r="C2745" t="s">
        <v>1816</v>
      </c>
      <c r="D2745" t="s">
        <v>1808</v>
      </c>
      <c r="E2745" s="4">
        <f>IF(AND(Responses!$ID$1&lt;&gt;"",ISERROR(SEARCH("response id",LOWER(Responses!$ID$1))),(COUNTIF('Open Questions'!$A$2:$A$1001,"ID")+COUNTIF('Multiple Choice Questions'!$A$2:$A$1001,"ID")+COUNTIF('Hybrid Questions'!$A$2:$A$1001,"ID")+COUNTIF('Hybrid Questions'!$D$2:$D$1001,"ID")+COUNTIF('Demographics'!$A$2:$A$1001,"ID"))=0),"Responses column ID ("""&amp;Responses!$ID$1&amp;""") has data, but no question or demographic is set up to use it — so it won't appear in your results.","")</f>
        <v>0</v>
      </c>
      <c r="F2745" s="4" t="s">
        <v>2054</v>
      </c>
    </row>
    <row r="2746" spans="1:6" ht="75" customHeight="1">
      <c r="A2746" t="s">
        <v>334</v>
      </c>
      <c r="B2746" t="s">
        <v>812</v>
      </c>
      <c r="C2746" t="s">
        <v>1816</v>
      </c>
      <c r="D2746" t="s">
        <v>1808</v>
      </c>
      <c r="E2746" s="4">
        <f>IF(AND(Responses!$IE$1&lt;&gt;"",ISERROR(SEARCH("response id",LOWER(Responses!$IE$1))),(COUNTIF('Open Questions'!$A$2:$A$1001,"IE")+COUNTIF('Multiple Choice Questions'!$A$2:$A$1001,"IE")+COUNTIF('Hybrid Questions'!$A$2:$A$1001,"IE")+COUNTIF('Hybrid Questions'!$D$2:$D$1001,"IE")+COUNTIF('Demographics'!$A$2:$A$1001,"IE"))=0),"Responses column IE ("""&amp;Responses!$IE$1&amp;""") has data, but no question or demographic is set up to use it — so it won't appear in your results.","")</f>
        <v>0</v>
      </c>
      <c r="F2746" s="4" t="s">
        <v>2055</v>
      </c>
    </row>
    <row r="2747" spans="1:6" ht="75" customHeight="1">
      <c r="A2747" t="s">
        <v>334</v>
      </c>
      <c r="B2747" t="s">
        <v>814</v>
      </c>
      <c r="C2747" t="s">
        <v>1816</v>
      </c>
      <c r="D2747" t="s">
        <v>1808</v>
      </c>
      <c r="E2747" s="4">
        <f>IF(AND(Responses!$IF$1&lt;&gt;"",ISERROR(SEARCH("response id",LOWER(Responses!$IF$1))),(COUNTIF('Open Questions'!$A$2:$A$1001,"IF")+COUNTIF('Multiple Choice Questions'!$A$2:$A$1001,"IF")+COUNTIF('Hybrid Questions'!$A$2:$A$1001,"IF")+COUNTIF('Hybrid Questions'!$D$2:$D$1001,"IF")+COUNTIF('Demographics'!$A$2:$A$1001,"IF"))=0),"Responses column IF ("""&amp;Responses!$IF$1&amp;""") has data, but no question or demographic is set up to use it — so it won't appear in your results.","")</f>
        <v>0</v>
      </c>
      <c r="F2747" s="4" t="s">
        <v>2056</v>
      </c>
    </row>
    <row r="2748" spans="1:6" ht="75" customHeight="1">
      <c r="A2748" t="s">
        <v>334</v>
      </c>
      <c r="B2748" t="s">
        <v>816</v>
      </c>
      <c r="C2748" t="s">
        <v>1816</v>
      </c>
      <c r="D2748" t="s">
        <v>1808</v>
      </c>
      <c r="E2748" s="4">
        <f>IF(AND(Responses!$IG$1&lt;&gt;"",ISERROR(SEARCH("response id",LOWER(Responses!$IG$1))),(COUNTIF('Open Questions'!$A$2:$A$1001,"IG")+COUNTIF('Multiple Choice Questions'!$A$2:$A$1001,"IG")+COUNTIF('Hybrid Questions'!$A$2:$A$1001,"IG")+COUNTIF('Hybrid Questions'!$D$2:$D$1001,"IG")+COUNTIF('Demographics'!$A$2:$A$1001,"IG"))=0),"Responses column IG ("""&amp;Responses!$IG$1&amp;""") has data, but no question or demographic is set up to use it — so it won't appear in your results.","")</f>
        <v>0</v>
      </c>
      <c r="F2748" s="4" t="s">
        <v>2057</v>
      </c>
    </row>
    <row r="2749" spans="1:6" ht="75" customHeight="1">
      <c r="A2749" t="s">
        <v>334</v>
      </c>
      <c r="B2749" t="s">
        <v>818</v>
      </c>
      <c r="C2749" t="s">
        <v>1816</v>
      </c>
      <c r="D2749" t="s">
        <v>1808</v>
      </c>
      <c r="E2749" s="4">
        <f>IF(AND(Responses!$IH$1&lt;&gt;"",ISERROR(SEARCH("response id",LOWER(Responses!$IH$1))),(COUNTIF('Open Questions'!$A$2:$A$1001,"IH")+COUNTIF('Multiple Choice Questions'!$A$2:$A$1001,"IH")+COUNTIF('Hybrid Questions'!$A$2:$A$1001,"IH")+COUNTIF('Hybrid Questions'!$D$2:$D$1001,"IH")+COUNTIF('Demographics'!$A$2:$A$1001,"IH"))=0),"Responses column IH ("""&amp;Responses!$IH$1&amp;""") has data, but no question or demographic is set up to use it — so it won't appear in your results.","")</f>
        <v>0</v>
      </c>
      <c r="F2749" s="4" t="s">
        <v>2058</v>
      </c>
    </row>
    <row r="2750" spans="1:6" ht="75" customHeight="1">
      <c r="A2750" t="s">
        <v>334</v>
      </c>
      <c r="B2750" t="s">
        <v>820</v>
      </c>
      <c r="C2750" t="s">
        <v>1816</v>
      </c>
      <c r="D2750" t="s">
        <v>1808</v>
      </c>
      <c r="E2750" s="4">
        <f>IF(AND(Responses!$II$1&lt;&gt;"",ISERROR(SEARCH("response id",LOWER(Responses!$II$1))),(COUNTIF('Open Questions'!$A$2:$A$1001,"II")+COUNTIF('Multiple Choice Questions'!$A$2:$A$1001,"II")+COUNTIF('Hybrid Questions'!$A$2:$A$1001,"II")+COUNTIF('Hybrid Questions'!$D$2:$D$1001,"II")+COUNTIF('Demographics'!$A$2:$A$1001,"II"))=0),"Responses column II ("""&amp;Responses!$II$1&amp;""") has data, but no question or demographic is set up to use it — so it won't appear in your results.","")</f>
        <v>0</v>
      </c>
      <c r="F2750" s="4" t="s">
        <v>2059</v>
      </c>
    </row>
    <row r="2751" spans="1:6" ht="75" customHeight="1">
      <c r="A2751" t="s">
        <v>334</v>
      </c>
      <c r="B2751" t="s">
        <v>822</v>
      </c>
      <c r="C2751" t="s">
        <v>1816</v>
      </c>
      <c r="D2751" t="s">
        <v>1808</v>
      </c>
      <c r="E2751" s="4">
        <f>IF(AND(Responses!$IJ$1&lt;&gt;"",ISERROR(SEARCH("response id",LOWER(Responses!$IJ$1))),(COUNTIF('Open Questions'!$A$2:$A$1001,"IJ")+COUNTIF('Multiple Choice Questions'!$A$2:$A$1001,"IJ")+COUNTIF('Hybrid Questions'!$A$2:$A$1001,"IJ")+COUNTIF('Hybrid Questions'!$D$2:$D$1001,"IJ")+COUNTIF('Demographics'!$A$2:$A$1001,"IJ"))=0),"Responses column IJ ("""&amp;Responses!$IJ$1&amp;""") has data, but no question or demographic is set up to use it — so it won't appear in your results.","")</f>
        <v>0</v>
      </c>
      <c r="F2751" s="4" t="s">
        <v>2060</v>
      </c>
    </row>
    <row r="2752" spans="1:6" ht="75" customHeight="1">
      <c r="A2752" t="s">
        <v>334</v>
      </c>
      <c r="B2752" t="s">
        <v>824</v>
      </c>
      <c r="C2752" t="s">
        <v>1816</v>
      </c>
      <c r="D2752" t="s">
        <v>1808</v>
      </c>
      <c r="E2752" s="4">
        <f>IF(AND(Responses!$IK$1&lt;&gt;"",ISERROR(SEARCH("response id",LOWER(Responses!$IK$1))),(COUNTIF('Open Questions'!$A$2:$A$1001,"IK")+COUNTIF('Multiple Choice Questions'!$A$2:$A$1001,"IK")+COUNTIF('Hybrid Questions'!$A$2:$A$1001,"IK")+COUNTIF('Hybrid Questions'!$D$2:$D$1001,"IK")+COUNTIF('Demographics'!$A$2:$A$1001,"IK"))=0),"Responses column IK ("""&amp;Responses!$IK$1&amp;""") has data, but no question or demographic is set up to use it — so it won't appear in your results.","")</f>
        <v>0</v>
      </c>
      <c r="F2752" s="4" t="s">
        <v>2061</v>
      </c>
    </row>
    <row r="2753" spans="1:6" ht="75" customHeight="1">
      <c r="A2753" t="s">
        <v>334</v>
      </c>
      <c r="B2753" t="s">
        <v>826</v>
      </c>
      <c r="C2753" t="s">
        <v>1816</v>
      </c>
      <c r="D2753" t="s">
        <v>1808</v>
      </c>
      <c r="E2753" s="4">
        <f>IF(AND(Responses!$IL$1&lt;&gt;"",ISERROR(SEARCH("response id",LOWER(Responses!$IL$1))),(COUNTIF('Open Questions'!$A$2:$A$1001,"IL")+COUNTIF('Multiple Choice Questions'!$A$2:$A$1001,"IL")+COUNTIF('Hybrid Questions'!$A$2:$A$1001,"IL")+COUNTIF('Hybrid Questions'!$D$2:$D$1001,"IL")+COUNTIF('Demographics'!$A$2:$A$1001,"IL"))=0),"Responses column IL ("""&amp;Responses!$IL$1&amp;""") has data, but no question or demographic is set up to use it — so it won't appear in your results.","")</f>
        <v>0</v>
      </c>
      <c r="F2753" s="4" t="s">
        <v>2062</v>
      </c>
    </row>
    <row r="2754" spans="1:6" ht="75" customHeight="1">
      <c r="A2754" t="s">
        <v>334</v>
      </c>
      <c r="B2754" t="s">
        <v>828</v>
      </c>
      <c r="C2754" t="s">
        <v>1816</v>
      </c>
      <c r="D2754" t="s">
        <v>1808</v>
      </c>
      <c r="E2754" s="4">
        <f>IF(AND(Responses!$IM$1&lt;&gt;"",ISERROR(SEARCH("response id",LOWER(Responses!$IM$1))),(COUNTIF('Open Questions'!$A$2:$A$1001,"IM")+COUNTIF('Multiple Choice Questions'!$A$2:$A$1001,"IM")+COUNTIF('Hybrid Questions'!$A$2:$A$1001,"IM")+COUNTIF('Hybrid Questions'!$D$2:$D$1001,"IM")+COUNTIF('Demographics'!$A$2:$A$1001,"IM"))=0),"Responses column IM ("""&amp;Responses!$IM$1&amp;""") has data, but no question or demographic is set up to use it — so it won't appear in your results.","")</f>
        <v>0</v>
      </c>
      <c r="F2754" s="4" t="s">
        <v>2063</v>
      </c>
    </row>
    <row r="2755" spans="1:6" ht="75" customHeight="1">
      <c r="A2755" t="s">
        <v>334</v>
      </c>
      <c r="B2755" t="s">
        <v>830</v>
      </c>
      <c r="C2755" t="s">
        <v>1816</v>
      </c>
      <c r="D2755" t="s">
        <v>1808</v>
      </c>
      <c r="E2755" s="4">
        <f>IF(AND(Responses!$IN$1&lt;&gt;"",ISERROR(SEARCH("response id",LOWER(Responses!$IN$1))),(COUNTIF('Open Questions'!$A$2:$A$1001,"IN")+COUNTIF('Multiple Choice Questions'!$A$2:$A$1001,"IN")+COUNTIF('Hybrid Questions'!$A$2:$A$1001,"IN")+COUNTIF('Hybrid Questions'!$D$2:$D$1001,"IN")+COUNTIF('Demographics'!$A$2:$A$1001,"IN"))=0),"Responses column IN ("""&amp;Responses!$IN$1&amp;""") has data, but no question or demographic is set up to use it — so it won't appear in your results.","")</f>
        <v>0</v>
      </c>
      <c r="F2755" s="4" t="s">
        <v>2064</v>
      </c>
    </row>
    <row r="2756" spans="1:6" ht="75" customHeight="1">
      <c r="A2756" t="s">
        <v>334</v>
      </c>
      <c r="B2756" t="s">
        <v>832</v>
      </c>
      <c r="C2756" t="s">
        <v>1816</v>
      </c>
      <c r="D2756" t="s">
        <v>1808</v>
      </c>
      <c r="E2756" s="4">
        <f>IF(AND(Responses!$IO$1&lt;&gt;"",ISERROR(SEARCH("response id",LOWER(Responses!$IO$1))),(COUNTIF('Open Questions'!$A$2:$A$1001,"IO")+COUNTIF('Multiple Choice Questions'!$A$2:$A$1001,"IO")+COUNTIF('Hybrid Questions'!$A$2:$A$1001,"IO")+COUNTIF('Hybrid Questions'!$D$2:$D$1001,"IO")+COUNTIF('Demographics'!$A$2:$A$1001,"IO"))=0),"Responses column IO ("""&amp;Responses!$IO$1&amp;""") has data, but no question or demographic is set up to use it — so it won't appear in your results.","")</f>
        <v>0</v>
      </c>
      <c r="F2756" s="4" t="s">
        <v>2065</v>
      </c>
    </row>
    <row r="2757" spans="1:6" ht="75" customHeight="1">
      <c r="A2757" t="s">
        <v>334</v>
      </c>
      <c r="B2757" t="s">
        <v>834</v>
      </c>
      <c r="C2757" t="s">
        <v>1816</v>
      </c>
      <c r="D2757" t="s">
        <v>1808</v>
      </c>
      <c r="E2757" s="4">
        <f>IF(AND(Responses!$IP$1&lt;&gt;"",ISERROR(SEARCH("response id",LOWER(Responses!$IP$1))),(COUNTIF('Open Questions'!$A$2:$A$1001,"IP")+COUNTIF('Multiple Choice Questions'!$A$2:$A$1001,"IP")+COUNTIF('Hybrid Questions'!$A$2:$A$1001,"IP")+COUNTIF('Hybrid Questions'!$D$2:$D$1001,"IP")+COUNTIF('Demographics'!$A$2:$A$1001,"IP"))=0),"Responses column IP ("""&amp;Responses!$IP$1&amp;""") has data, but no question or demographic is set up to use it — so it won't appear in your results.","")</f>
        <v>0</v>
      </c>
      <c r="F2757" s="4" t="s">
        <v>2066</v>
      </c>
    </row>
    <row r="2758" spans="1:6" ht="75" customHeight="1">
      <c r="A2758" t="s">
        <v>334</v>
      </c>
      <c r="B2758" t="s">
        <v>836</v>
      </c>
      <c r="C2758" t="s">
        <v>1816</v>
      </c>
      <c r="D2758" t="s">
        <v>1808</v>
      </c>
      <c r="E2758" s="4">
        <f>IF(AND(Responses!$IQ$1&lt;&gt;"",ISERROR(SEARCH("response id",LOWER(Responses!$IQ$1))),(COUNTIF('Open Questions'!$A$2:$A$1001,"IQ")+COUNTIF('Multiple Choice Questions'!$A$2:$A$1001,"IQ")+COUNTIF('Hybrid Questions'!$A$2:$A$1001,"IQ")+COUNTIF('Hybrid Questions'!$D$2:$D$1001,"IQ")+COUNTIF('Demographics'!$A$2:$A$1001,"IQ"))=0),"Responses column IQ ("""&amp;Responses!$IQ$1&amp;""") has data, but no question or demographic is set up to use it — so it won't appear in your results.","")</f>
        <v>0</v>
      </c>
      <c r="F2758" s="4" t="s">
        <v>2067</v>
      </c>
    </row>
    <row r="2759" spans="1:6" ht="75" customHeight="1">
      <c r="A2759" t="s">
        <v>334</v>
      </c>
      <c r="B2759" t="s">
        <v>838</v>
      </c>
      <c r="C2759" t="s">
        <v>1816</v>
      </c>
      <c r="D2759" t="s">
        <v>1808</v>
      </c>
      <c r="E2759" s="4">
        <f>IF(AND(Responses!$IR$1&lt;&gt;"",ISERROR(SEARCH("response id",LOWER(Responses!$IR$1))),(COUNTIF('Open Questions'!$A$2:$A$1001,"IR")+COUNTIF('Multiple Choice Questions'!$A$2:$A$1001,"IR")+COUNTIF('Hybrid Questions'!$A$2:$A$1001,"IR")+COUNTIF('Hybrid Questions'!$D$2:$D$1001,"IR")+COUNTIF('Demographics'!$A$2:$A$1001,"IR"))=0),"Responses column IR ("""&amp;Responses!$IR$1&amp;""") has data, but no question or demographic is set up to use it — so it won't appear in your results.","")</f>
        <v>0</v>
      </c>
      <c r="F2759" s="4" t="s">
        <v>2068</v>
      </c>
    </row>
    <row r="2760" spans="1:6" ht="75" customHeight="1">
      <c r="A2760" t="s">
        <v>334</v>
      </c>
      <c r="B2760" t="s">
        <v>840</v>
      </c>
      <c r="C2760" t="s">
        <v>1816</v>
      </c>
      <c r="D2760" t="s">
        <v>1808</v>
      </c>
      <c r="E2760" s="4">
        <f>IF(AND(Responses!$IS$1&lt;&gt;"",ISERROR(SEARCH("response id",LOWER(Responses!$IS$1))),(COUNTIF('Open Questions'!$A$2:$A$1001,"IS")+COUNTIF('Multiple Choice Questions'!$A$2:$A$1001,"IS")+COUNTIF('Hybrid Questions'!$A$2:$A$1001,"IS")+COUNTIF('Hybrid Questions'!$D$2:$D$1001,"IS")+COUNTIF('Demographics'!$A$2:$A$1001,"IS"))=0),"Responses column IS ("""&amp;Responses!$IS$1&amp;""") has data, but no question or demographic is set up to use it — so it won't appear in your results.","")</f>
        <v>0</v>
      </c>
      <c r="F2760" s="4" t="s">
        <v>2069</v>
      </c>
    </row>
    <row r="2761" spans="1:6" ht="75" customHeight="1">
      <c r="A2761" t="s">
        <v>334</v>
      </c>
      <c r="B2761" t="s">
        <v>842</v>
      </c>
      <c r="C2761" t="s">
        <v>1816</v>
      </c>
      <c r="D2761" t="s">
        <v>1808</v>
      </c>
      <c r="E2761" s="4">
        <f>IF(AND(Responses!$IT$1&lt;&gt;"",ISERROR(SEARCH("response id",LOWER(Responses!$IT$1))),(COUNTIF('Open Questions'!$A$2:$A$1001,"IT")+COUNTIF('Multiple Choice Questions'!$A$2:$A$1001,"IT")+COUNTIF('Hybrid Questions'!$A$2:$A$1001,"IT")+COUNTIF('Hybrid Questions'!$D$2:$D$1001,"IT")+COUNTIF('Demographics'!$A$2:$A$1001,"IT"))=0),"Responses column IT ("""&amp;Responses!$IT$1&amp;""") has data, but no question or demographic is set up to use it — so it won't appear in your results.","")</f>
        <v>0</v>
      </c>
      <c r="F2761" s="4" t="s">
        <v>2070</v>
      </c>
    </row>
    <row r="2762" spans="1:6" ht="75" customHeight="1">
      <c r="A2762" t="s">
        <v>334</v>
      </c>
      <c r="B2762" t="s">
        <v>844</v>
      </c>
      <c r="C2762" t="s">
        <v>1816</v>
      </c>
      <c r="D2762" t="s">
        <v>1808</v>
      </c>
      <c r="E2762" s="4">
        <f>IF(AND(Responses!$IU$1&lt;&gt;"",ISERROR(SEARCH("response id",LOWER(Responses!$IU$1))),(COUNTIF('Open Questions'!$A$2:$A$1001,"IU")+COUNTIF('Multiple Choice Questions'!$A$2:$A$1001,"IU")+COUNTIF('Hybrid Questions'!$A$2:$A$1001,"IU")+COUNTIF('Hybrid Questions'!$D$2:$D$1001,"IU")+COUNTIF('Demographics'!$A$2:$A$1001,"IU"))=0),"Responses column IU ("""&amp;Responses!$IU$1&amp;""") has data, but no question or demographic is set up to use it — so it won't appear in your results.","")</f>
        <v>0</v>
      </c>
      <c r="F2762" s="4" t="s">
        <v>2071</v>
      </c>
    </row>
    <row r="2763" spans="1:6" ht="75" customHeight="1">
      <c r="A2763" t="s">
        <v>334</v>
      </c>
      <c r="B2763" t="s">
        <v>846</v>
      </c>
      <c r="C2763" t="s">
        <v>1816</v>
      </c>
      <c r="D2763" t="s">
        <v>1808</v>
      </c>
      <c r="E2763" s="4">
        <f>IF(AND(Responses!$IV$1&lt;&gt;"",ISERROR(SEARCH("response id",LOWER(Responses!$IV$1))),(COUNTIF('Open Questions'!$A$2:$A$1001,"IV")+COUNTIF('Multiple Choice Questions'!$A$2:$A$1001,"IV")+COUNTIF('Hybrid Questions'!$A$2:$A$1001,"IV")+COUNTIF('Hybrid Questions'!$D$2:$D$1001,"IV")+COUNTIF('Demographics'!$A$2:$A$1001,"IV"))=0),"Responses column IV ("""&amp;Responses!$IV$1&amp;""") has data, but no question or demographic is set up to use it — so it won't appear in your results.","")</f>
        <v>0</v>
      </c>
      <c r="F2763" s="4" t="s">
        <v>2072</v>
      </c>
    </row>
    <row r="2764" spans="1:6" ht="75" customHeight="1">
      <c r="A2764" t="s">
        <v>334</v>
      </c>
      <c r="B2764" t="s">
        <v>848</v>
      </c>
      <c r="C2764" t="s">
        <v>1816</v>
      </c>
      <c r="D2764" t="s">
        <v>1808</v>
      </c>
      <c r="E2764" s="4">
        <f>IF(AND(Responses!$IW$1&lt;&gt;"",ISERROR(SEARCH("response id",LOWER(Responses!$IW$1))),(COUNTIF('Open Questions'!$A$2:$A$1001,"IW")+COUNTIF('Multiple Choice Questions'!$A$2:$A$1001,"IW")+COUNTIF('Hybrid Questions'!$A$2:$A$1001,"IW")+COUNTIF('Hybrid Questions'!$D$2:$D$1001,"IW")+COUNTIF('Demographics'!$A$2:$A$1001,"IW"))=0),"Responses column IW ("""&amp;Responses!$IW$1&amp;""") has data, but no question or demographic is set up to use it — so it won't appear in your results.","")</f>
        <v>0</v>
      </c>
      <c r="F2764" s="4" t="s">
        <v>2073</v>
      </c>
    </row>
    <row r="2765" spans="1:6" ht="75" customHeight="1">
      <c r="A2765" t="s">
        <v>334</v>
      </c>
      <c r="B2765" t="s">
        <v>850</v>
      </c>
      <c r="C2765" t="s">
        <v>1816</v>
      </c>
      <c r="D2765" t="s">
        <v>1808</v>
      </c>
      <c r="E2765" s="4">
        <f>IF(AND(Responses!$IX$1&lt;&gt;"",ISERROR(SEARCH("response id",LOWER(Responses!$IX$1))),(COUNTIF('Open Questions'!$A$2:$A$1001,"IX")+COUNTIF('Multiple Choice Questions'!$A$2:$A$1001,"IX")+COUNTIF('Hybrid Questions'!$A$2:$A$1001,"IX")+COUNTIF('Hybrid Questions'!$D$2:$D$1001,"IX")+COUNTIF('Demographics'!$A$2:$A$1001,"IX"))=0),"Responses column IX ("""&amp;Responses!$IX$1&amp;""") has data, but no question or demographic is set up to use it — so it won't appear in your results.","")</f>
        <v>0</v>
      </c>
      <c r="F2765" s="4" t="s">
        <v>2074</v>
      </c>
    </row>
    <row r="2766" spans="1:6" ht="75" customHeight="1">
      <c r="A2766" t="s">
        <v>334</v>
      </c>
      <c r="B2766" t="s">
        <v>852</v>
      </c>
      <c r="C2766" t="s">
        <v>1816</v>
      </c>
      <c r="D2766" t="s">
        <v>1808</v>
      </c>
      <c r="E2766" s="4">
        <f>IF(AND(Responses!$IY$1&lt;&gt;"",ISERROR(SEARCH("response id",LOWER(Responses!$IY$1))),(COUNTIF('Open Questions'!$A$2:$A$1001,"IY")+COUNTIF('Multiple Choice Questions'!$A$2:$A$1001,"IY")+COUNTIF('Hybrid Questions'!$A$2:$A$1001,"IY")+COUNTIF('Hybrid Questions'!$D$2:$D$1001,"IY")+COUNTIF('Demographics'!$A$2:$A$1001,"IY"))=0),"Responses column IY ("""&amp;Responses!$IY$1&amp;""") has data, but no question or demographic is set up to use it — so it won't appear in your results.","")</f>
        <v>0</v>
      </c>
      <c r="F2766" s="4" t="s">
        <v>2075</v>
      </c>
    </row>
    <row r="2767" spans="1:6" ht="75" customHeight="1">
      <c r="A2767" t="s">
        <v>334</v>
      </c>
      <c r="B2767" t="s">
        <v>854</v>
      </c>
      <c r="C2767" t="s">
        <v>1816</v>
      </c>
      <c r="D2767" t="s">
        <v>1808</v>
      </c>
      <c r="E2767" s="4">
        <f>IF(AND(Responses!$IZ$1&lt;&gt;"",ISERROR(SEARCH("response id",LOWER(Responses!$IZ$1))),(COUNTIF('Open Questions'!$A$2:$A$1001,"IZ")+COUNTIF('Multiple Choice Questions'!$A$2:$A$1001,"IZ")+COUNTIF('Hybrid Questions'!$A$2:$A$1001,"IZ")+COUNTIF('Hybrid Questions'!$D$2:$D$1001,"IZ")+COUNTIF('Demographics'!$A$2:$A$1001,"IZ"))=0),"Responses column IZ ("""&amp;Responses!$IZ$1&amp;""") has data, but no question or demographic is set up to use it — so it won't appear in your results.","")</f>
        <v>0</v>
      </c>
      <c r="F2767" s="4" t="s">
        <v>2076</v>
      </c>
    </row>
    <row r="2768" spans="1:6" ht="75" customHeight="1">
      <c r="A2768" t="s">
        <v>334</v>
      </c>
      <c r="B2768" t="s">
        <v>856</v>
      </c>
      <c r="C2768" t="s">
        <v>1816</v>
      </c>
      <c r="D2768" t="s">
        <v>1808</v>
      </c>
      <c r="E2768" s="4">
        <f>IF(AND(Responses!$JA$1&lt;&gt;"",ISERROR(SEARCH("response id",LOWER(Responses!$JA$1))),(COUNTIF('Open Questions'!$A$2:$A$1001,"JA")+COUNTIF('Multiple Choice Questions'!$A$2:$A$1001,"JA")+COUNTIF('Hybrid Questions'!$A$2:$A$1001,"JA")+COUNTIF('Hybrid Questions'!$D$2:$D$1001,"JA")+COUNTIF('Demographics'!$A$2:$A$1001,"JA"))=0),"Responses column JA ("""&amp;Responses!$JA$1&amp;""") has data, but no question or demographic is set up to use it — so it won't appear in your results.","")</f>
        <v>0</v>
      </c>
      <c r="F2768" s="4" t="s">
        <v>2077</v>
      </c>
    </row>
    <row r="2769" spans="1:6" ht="75" customHeight="1">
      <c r="A2769" t="s">
        <v>334</v>
      </c>
      <c r="B2769" t="s">
        <v>858</v>
      </c>
      <c r="C2769" t="s">
        <v>1816</v>
      </c>
      <c r="D2769" t="s">
        <v>1808</v>
      </c>
      <c r="E2769" s="4">
        <f>IF(AND(Responses!$JB$1&lt;&gt;"",ISERROR(SEARCH("response id",LOWER(Responses!$JB$1))),(COUNTIF('Open Questions'!$A$2:$A$1001,"JB")+COUNTIF('Multiple Choice Questions'!$A$2:$A$1001,"JB")+COUNTIF('Hybrid Questions'!$A$2:$A$1001,"JB")+COUNTIF('Hybrid Questions'!$D$2:$D$1001,"JB")+COUNTIF('Demographics'!$A$2:$A$1001,"JB"))=0),"Responses column JB ("""&amp;Responses!$JB$1&amp;""") has data, but no question or demographic is set up to use it — so it won't appear in your results.","")</f>
        <v>0</v>
      </c>
      <c r="F2769" s="4" t="s">
        <v>2078</v>
      </c>
    </row>
    <row r="2770" spans="1:6" ht="75" customHeight="1">
      <c r="A2770" t="s">
        <v>334</v>
      </c>
      <c r="B2770" t="s">
        <v>860</v>
      </c>
      <c r="C2770" t="s">
        <v>1816</v>
      </c>
      <c r="D2770" t="s">
        <v>1808</v>
      </c>
      <c r="E2770" s="4">
        <f>IF(AND(Responses!$JC$1&lt;&gt;"",ISERROR(SEARCH("response id",LOWER(Responses!$JC$1))),(COUNTIF('Open Questions'!$A$2:$A$1001,"JC")+COUNTIF('Multiple Choice Questions'!$A$2:$A$1001,"JC")+COUNTIF('Hybrid Questions'!$A$2:$A$1001,"JC")+COUNTIF('Hybrid Questions'!$D$2:$D$1001,"JC")+COUNTIF('Demographics'!$A$2:$A$1001,"JC"))=0),"Responses column JC ("""&amp;Responses!$JC$1&amp;""") has data, but no question or demographic is set up to use it — so it won't appear in your results.","")</f>
        <v>0</v>
      </c>
      <c r="F2770" s="4" t="s">
        <v>2079</v>
      </c>
    </row>
    <row r="2771" spans="1:6" ht="75" customHeight="1">
      <c r="A2771" t="s">
        <v>334</v>
      </c>
      <c r="B2771" t="s">
        <v>862</v>
      </c>
      <c r="C2771" t="s">
        <v>1816</v>
      </c>
      <c r="D2771" t="s">
        <v>1808</v>
      </c>
      <c r="E2771" s="4">
        <f>IF(AND(Responses!$JD$1&lt;&gt;"",ISERROR(SEARCH("response id",LOWER(Responses!$JD$1))),(COUNTIF('Open Questions'!$A$2:$A$1001,"JD")+COUNTIF('Multiple Choice Questions'!$A$2:$A$1001,"JD")+COUNTIF('Hybrid Questions'!$A$2:$A$1001,"JD")+COUNTIF('Hybrid Questions'!$D$2:$D$1001,"JD")+COUNTIF('Demographics'!$A$2:$A$1001,"JD"))=0),"Responses column JD ("""&amp;Responses!$JD$1&amp;""") has data, but no question or demographic is set up to use it — so it won't appear in your results.","")</f>
        <v>0</v>
      </c>
      <c r="F2771" s="4" t="s">
        <v>2080</v>
      </c>
    </row>
    <row r="2772" spans="1:6" ht="75" customHeight="1">
      <c r="A2772" t="s">
        <v>334</v>
      </c>
      <c r="B2772" t="s">
        <v>864</v>
      </c>
      <c r="C2772" t="s">
        <v>1816</v>
      </c>
      <c r="D2772" t="s">
        <v>1808</v>
      </c>
      <c r="E2772" s="4">
        <f>IF(AND(Responses!$JE$1&lt;&gt;"",ISERROR(SEARCH("response id",LOWER(Responses!$JE$1))),(COUNTIF('Open Questions'!$A$2:$A$1001,"JE")+COUNTIF('Multiple Choice Questions'!$A$2:$A$1001,"JE")+COUNTIF('Hybrid Questions'!$A$2:$A$1001,"JE")+COUNTIF('Hybrid Questions'!$D$2:$D$1001,"JE")+COUNTIF('Demographics'!$A$2:$A$1001,"JE"))=0),"Responses column JE ("""&amp;Responses!$JE$1&amp;""") has data, but no question or demographic is set up to use it — so it won't appear in your results.","")</f>
        <v>0</v>
      </c>
      <c r="F2772" s="4" t="s">
        <v>2081</v>
      </c>
    </row>
    <row r="2773" spans="1:6" ht="75" customHeight="1">
      <c r="A2773" t="s">
        <v>334</v>
      </c>
      <c r="B2773" t="s">
        <v>866</v>
      </c>
      <c r="C2773" t="s">
        <v>1816</v>
      </c>
      <c r="D2773" t="s">
        <v>1808</v>
      </c>
      <c r="E2773" s="4">
        <f>IF(AND(Responses!$JF$1&lt;&gt;"",ISERROR(SEARCH("response id",LOWER(Responses!$JF$1))),(COUNTIF('Open Questions'!$A$2:$A$1001,"JF")+COUNTIF('Multiple Choice Questions'!$A$2:$A$1001,"JF")+COUNTIF('Hybrid Questions'!$A$2:$A$1001,"JF")+COUNTIF('Hybrid Questions'!$D$2:$D$1001,"JF")+COUNTIF('Demographics'!$A$2:$A$1001,"JF"))=0),"Responses column JF ("""&amp;Responses!$JF$1&amp;""") has data, but no question or demographic is set up to use it — so it won't appear in your results.","")</f>
        <v>0</v>
      </c>
      <c r="F2773" s="4" t="s">
        <v>2082</v>
      </c>
    </row>
    <row r="2774" spans="1:6" ht="75" customHeight="1">
      <c r="A2774" t="s">
        <v>334</v>
      </c>
      <c r="B2774" t="s">
        <v>868</v>
      </c>
      <c r="C2774" t="s">
        <v>1816</v>
      </c>
      <c r="D2774" t="s">
        <v>1808</v>
      </c>
      <c r="E2774" s="4">
        <f>IF(AND(Responses!$JG$1&lt;&gt;"",ISERROR(SEARCH("response id",LOWER(Responses!$JG$1))),(COUNTIF('Open Questions'!$A$2:$A$1001,"JG")+COUNTIF('Multiple Choice Questions'!$A$2:$A$1001,"JG")+COUNTIF('Hybrid Questions'!$A$2:$A$1001,"JG")+COUNTIF('Hybrid Questions'!$D$2:$D$1001,"JG")+COUNTIF('Demographics'!$A$2:$A$1001,"JG"))=0),"Responses column JG ("""&amp;Responses!$JG$1&amp;""") has data, but no question or demographic is set up to use it — so it won't appear in your results.","")</f>
        <v>0</v>
      </c>
      <c r="F2774" s="4" t="s">
        <v>2083</v>
      </c>
    </row>
    <row r="2775" spans="1:6" ht="75" customHeight="1">
      <c r="A2775" t="s">
        <v>334</v>
      </c>
      <c r="B2775" t="s">
        <v>870</v>
      </c>
      <c r="C2775" t="s">
        <v>1816</v>
      </c>
      <c r="D2775" t="s">
        <v>1808</v>
      </c>
      <c r="E2775" s="4">
        <f>IF(AND(Responses!$JH$1&lt;&gt;"",ISERROR(SEARCH("response id",LOWER(Responses!$JH$1))),(COUNTIF('Open Questions'!$A$2:$A$1001,"JH")+COUNTIF('Multiple Choice Questions'!$A$2:$A$1001,"JH")+COUNTIF('Hybrid Questions'!$A$2:$A$1001,"JH")+COUNTIF('Hybrid Questions'!$D$2:$D$1001,"JH")+COUNTIF('Demographics'!$A$2:$A$1001,"JH"))=0),"Responses column JH ("""&amp;Responses!$JH$1&amp;""") has data, but no question or demographic is set up to use it — so it won't appear in your results.","")</f>
        <v>0</v>
      </c>
      <c r="F2775" s="4" t="s">
        <v>2084</v>
      </c>
    </row>
    <row r="2776" spans="1:6" ht="75" customHeight="1">
      <c r="A2776" t="s">
        <v>334</v>
      </c>
      <c r="B2776" t="s">
        <v>872</v>
      </c>
      <c r="C2776" t="s">
        <v>1816</v>
      </c>
      <c r="D2776" t="s">
        <v>1808</v>
      </c>
      <c r="E2776" s="4">
        <f>IF(AND(Responses!$JI$1&lt;&gt;"",ISERROR(SEARCH("response id",LOWER(Responses!$JI$1))),(COUNTIF('Open Questions'!$A$2:$A$1001,"JI")+COUNTIF('Multiple Choice Questions'!$A$2:$A$1001,"JI")+COUNTIF('Hybrid Questions'!$A$2:$A$1001,"JI")+COUNTIF('Hybrid Questions'!$D$2:$D$1001,"JI")+COUNTIF('Demographics'!$A$2:$A$1001,"JI"))=0),"Responses column JI ("""&amp;Responses!$JI$1&amp;""") has data, but no question or demographic is set up to use it — so it won't appear in your results.","")</f>
        <v>0</v>
      </c>
      <c r="F2776" s="4" t="s">
        <v>2085</v>
      </c>
    </row>
    <row r="2777" spans="1:6" ht="75" customHeight="1">
      <c r="A2777" t="s">
        <v>334</v>
      </c>
      <c r="B2777" t="s">
        <v>874</v>
      </c>
      <c r="C2777" t="s">
        <v>1816</v>
      </c>
      <c r="D2777" t="s">
        <v>1808</v>
      </c>
      <c r="E2777" s="4">
        <f>IF(AND(Responses!$JJ$1&lt;&gt;"",ISERROR(SEARCH("response id",LOWER(Responses!$JJ$1))),(COUNTIF('Open Questions'!$A$2:$A$1001,"JJ")+COUNTIF('Multiple Choice Questions'!$A$2:$A$1001,"JJ")+COUNTIF('Hybrid Questions'!$A$2:$A$1001,"JJ")+COUNTIF('Hybrid Questions'!$D$2:$D$1001,"JJ")+COUNTIF('Demographics'!$A$2:$A$1001,"JJ"))=0),"Responses column JJ ("""&amp;Responses!$JJ$1&amp;""") has data, but no question or demographic is set up to use it — so it won't appear in your results.","")</f>
        <v>0</v>
      </c>
      <c r="F2777" s="4" t="s">
        <v>2086</v>
      </c>
    </row>
    <row r="2778" spans="1:6" ht="75" customHeight="1">
      <c r="A2778" t="s">
        <v>334</v>
      </c>
      <c r="B2778" t="s">
        <v>876</v>
      </c>
      <c r="C2778" t="s">
        <v>1816</v>
      </c>
      <c r="D2778" t="s">
        <v>1808</v>
      </c>
      <c r="E2778" s="4">
        <f>IF(AND(Responses!$JK$1&lt;&gt;"",ISERROR(SEARCH("response id",LOWER(Responses!$JK$1))),(COUNTIF('Open Questions'!$A$2:$A$1001,"JK")+COUNTIF('Multiple Choice Questions'!$A$2:$A$1001,"JK")+COUNTIF('Hybrid Questions'!$A$2:$A$1001,"JK")+COUNTIF('Hybrid Questions'!$D$2:$D$1001,"JK")+COUNTIF('Demographics'!$A$2:$A$1001,"JK"))=0),"Responses column JK ("""&amp;Responses!$JK$1&amp;""") has data, but no question or demographic is set up to use it — so it won't appear in your results.","")</f>
        <v>0</v>
      </c>
      <c r="F2778" s="4" t="s">
        <v>2087</v>
      </c>
    </row>
    <row r="2779" spans="1:6" ht="75" customHeight="1">
      <c r="A2779" t="s">
        <v>334</v>
      </c>
      <c r="B2779" t="s">
        <v>878</v>
      </c>
      <c r="C2779" t="s">
        <v>1816</v>
      </c>
      <c r="D2779" t="s">
        <v>1808</v>
      </c>
      <c r="E2779" s="4">
        <f>IF(AND(Responses!$JL$1&lt;&gt;"",ISERROR(SEARCH("response id",LOWER(Responses!$JL$1))),(COUNTIF('Open Questions'!$A$2:$A$1001,"JL")+COUNTIF('Multiple Choice Questions'!$A$2:$A$1001,"JL")+COUNTIF('Hybrid Questions'!$A$2:$A$1001,"JL")+COUNTIF('Hybrid Questions'!$D$2:$D$1001,"JL")+COUNTIF('Demographics'!$A$2:$A$1001,"JL"))=0),"Responses column JL ("""&amp;Responses!$JL$1&amp;""") has data, but no question or demographic is set up to use it — so it won't appear in your results.","")</f>
        <v>0</v>
      </c>
      <c r="F2779" s="4" t="s">
        <v>2088</v>
      </c>
    </row>
    <row r="2780" spans="1:6" ht="75" customHeight="1">
      <c r="A2780" t="s">
        <v>334</v>
      </c>
      <c r="B2780" t="s">
        <v>880</v>
      </c>
      <c r="C2780" t="s">
        <v>1816</v>
      </c>
      <c r="D2780" t="s">
        <v>1808</v>
      </c>
      <c r="E2780" s="4">
        <f>IF(AND(Responses!$JM$1&lt;&gt;"",ISERROR(SEARCH("response id",LOWER(Responses!$JM$1))),(COUNTIF('Open Questions'!$A$2:$A$1001,"JM")+COUNTIF('Multiple Choice Questions'!$A$2:$A$1001,"JM")+COUNTIF('Hybrid Questions'!$A$2:$A$1001,"JM")+COUNTIF('Hybrid Questions'!$D$2:$D$1001,"JM")+COUNTIF('Demographics'!$A$2:$A$1001,"JM"))=0),"Responses column JM ("""&amp;Responses!$JM$1&amp;""") has data, but no question or demographic is set up to use it — so it won't appear in your results.","")</f>
        <v>0</v>
      </c>
      <c r="F2780" s="4" t="s">
        <v>2089</v>
      </c>
    </row>
    <row r="2781" spans="1:6" ht="75" customHeight="1">
      <c r="A2781" t="s">
        <v>334</v>
      </c>
      <c r="B2781" t="s">
        <v>882</v>
      </c>
      <c r="C2781" t="s">
        <v>1816</v>
      </c>
      <c r="D2781" t="s">
        <v>1808</v>
      </c>
      <c r="E2781" s="4">
        <f>IF(AND(Responses!$JN$1&lt;&gt;"",ISERROR(SEARCH("response id",LOWER(Responses!$JN$1))),(COUNTIF('Open Questions'!$A$2:$A$1001,"JN")+COUNTIF('Multiple Choice Questions'!$A$2:$A$1001,"JN")+COUNTIF('Hybrid Questions'!$A$2:$A$1001,"JN")+COUNTIF('Hybrid Questions'!$D$2:$D$1001,"JN")+COUNTIF('Demographics'!$A$2:$A$1001,"JN"))=0),"Responses column JN ("""&amp;Responses!$JN$1&amp;""") has data, but no question or demographic is set up to use it — so it won't appear in your results.","")</f>
        <v>0</v>
      </c>
      <c r="F2781" s="4" t="s">
        <v>2090</v>
      </c>
    </row>
    <row r="2782" spans="1:6" ht="75" customHeight="1">
      <c r="A2782" t="s">
        <v>334</v>
      </c>
      <c r="B2782" t="s">
        <v>884</v>
      </c>
      <c r="C2782" t="s">
        <v>1816</v>
      </c>
      <c r="D2782" t="s">
        <v>1808</v>
      </c>
      <c r="E2782" s="4">
        <f>IF(AND(Responses!$JO$1&lt;&gt;"",ISERROR(SEARCH("response id",LOWER(Responses!$JO$1))),(COUNTIF('Open Questions'!$A$2:$A$1001,"JO")+COUNTIF('Multiple Choice Questions'!$A$2:$A$1001,"JO")+COUNTIF('Hybrid Questions'!$A$2:$A$1001,"JO")+COUNTIF('Hybrid Questions'!$D$2:$D$1001,"JO")+COUNTIF('Demographics'!$A$2:$A$1001,"JO"))=0),"Responses column JO ("""&amp;Responses!$JO$1&amp;""") has data, but no question or demographic is set up to use it — so it won't appear in your results.","")</f>
        <v>0</v>
      </c>
      <c r="F2782" s="4" t="s">
        <v>2091</v>
      </c>
    </row>
    <row r="2783" spans="1:6" ht="75" customHeight="1">
      <c r="A2783" t="s">
        <v>334</v>
      </c>
      <c r="B2783" t="s">
        <v>886</v>
      </c>
      <c r="C2783" t="s">
        <v>1816</v>
      </c>
      <c r="D2783" t="s">
        <v>1808</v>
      </c>
      <c r="E2783" s="4">
        <f>IF(AND(Responses!$JP$1&lt;&gt;"",ISERROR(SEARCH("response id",LOWER(Responses!$JP$1))),(COUNTIF('Open Questions'!$A$2:$A$1001,"JP")+COUNTIF('Multiple Choice Questions'!$A$2:$A$1001,"JP")+COUNTIF('Hybrid Questions'!$A$2:$A$1001,"JP")+COUNTIF('Hybrid Questions'!$D$2:$D$1001,"JP")+COUNTIF('Demographics'!$A$2:$A$1001,"JP"))=0),"Responses column JP ("""&amp;Responses!$JP$1&amp;""") has data, but no question or demographic is set up to use it — so it won't appear in your results.","")</f>
        <v>0</v>
      </c>
      <c r="F2783" s="4" t="s">
        <v>2092</v>
      </c>
    </row>
    <row r="2784" spans="1:6" ht="75" customHeight="1">
      <c r="A2784" t="s">
        <v>334</v>
      </c>
      <c r="B2784" t="s">
        <v>888</v>
      </c>
      <c r="C2784" t="s">
        <v>1816</v>
      </c>
      <c r="D2784" t="s">
        <v>1808</v>
      </c>
      <c r="E2784" s="4">
        <f>IF(AND(Responses!$JQ$1&lt;&gt;"",ISERROR(SEARCH("response id",LOWER(Responses!$JQ$1))),(COUNTIF('Open Questions'!$A$2:$A$1001,"JQ")+COUNTIF('Multiple Choice Questions'!$A$2:$A$1001,"JQ")+COUNTIF('Hybrid Questions'!$A$2:$A$1001,"JQ")+COUNTIF('Hybrid Questions'!$D$2:$D$1001,"JQ")+COUNTIF('Demographics'!$A$2:$A$1001,"JQ"))=0),"Responses column JQ ("""&amp;Responses!$JQ$1&amp;""") has data, but no question or demographic is set up to use it — so it won't appear in your results.","")</f>
        <v>0</v>
      </c>
      <c r="F2784" s="4" t="s">
        <v>2093</v>
      </c>
    </row>
    <row r="2785" spans="1:6" ht="75" customHeight="1">
      <c r="A2785" t="s">
        <v>334</v>
      </c>
      <c r="B2785" t="s">
        <v>890</v>
      </c>
      <c r="C2785" t="s">
        <v>1816</v>
      </c>
      <c r="D2785" t="s">
        <v>1808</v>
      </c>
      <c r="E2785" s="4">
        <f>IF(AND(Responses!$JR$1&lt;&gt;"",ISERROR(SEARCH("response id",LOWER(Responses!$JR$1))),(COUNTIF('Open Questions'!$A$2:$A$1001,"JR")+COUNTIF('Multiple Choice Questions'!$A$2:$A$1001,"JR")+COUNTIF('Hybrid Questions'!$A$2:$A$1001,"JR")+COUNTIF('Hybrid Questions'!$D$2:$D$1001,"JR")+COUNTIF('Demographics'!$A$2:$A$1001,"JR"))=0),"Responses column JR ("""&amp;Responses!$JR$1&amp;""") has data, but no question or demographic is set up to use it — so it won't appear in your results.","")</f>
        <v>0</v>
      </c>
      <c r="F2785" s="4" t="s">
        <v>2094</v>
      </c>
    </row>
    <row r="2786" spans="1:6" ht="75" customHeight="1">
      <c r="A2786" t="s">
        <v>334</v>
      </c>
      <c r="B2786" t="s">
        <v>892</v>
      </c>
      <c r="C2786" t="s">
        <v>1816</v>
      </c>
      <c r="D2786" t="s">
        <v>1808</v>
      </c>
      <c r="E2786" s="4">
        <f>IF(AND(Responses!$JS$1&lt;&gt;"",ISERROR(SEARCH("response id",LOWER(Responses!$JS$1))),(COUNTIF('Open Questions'!$A$2:$A$1001,"JS")+COUNTIF('Multiple Choice Questions'!$A$2:$A$1001,"JS")+COUNTIF('Hybrid Questions'!$A$2:$A$1001,"JS")+COUNTIF('Hybrid Questions'!$D$2:$D$1001,"JS")+COUNTIF('Demographics'!$A$2:$A$1001,"JS"))=0),"Responses column JS ("""&amp;Responses!$JS$1&amp;""") has data, but no question or demographic is set up to use it — so it won't appear in your results.","")</f>
        <v>0</v>
      </c>
      <c r="F2786" s="4" t="s">
        <v>2095</v>
      </c>
    </row>
    <row r="2787" spans="1:6" ht="75" customHeight="1">
      <c r="A2787" t="s">
        <v>334</v>
      </c>
      <c r="B2787" t="s">
        <v>894</v>
      </c>
      <c r="C2787" t="s">
        <v>1816</v>
      </c>
      <c r="D2787" t="s">
        <v>1808</v>
      </c>
      <c r="E2787" s="4">
        <f>IF(AND(Responses!$JT$1&lt;&gt;"",ISERROR(SEARCH("response id",LOWER(Responses!$JT$1))),(COUNTIF('Open Questions'!$A$2:$A$1001,"JT")+COUNTIF('Multiple Choice Questions'!$A$2:$A$1001,"JT")+COUNTIF('Hybrid Questions'!$A$2:$A$1001,"JT")+COUNTIF('Hybrid Questions'!$D$2:$D$1001,"JT")+COUNTIF('Demographics'!$A$2:$A$1001,"JT"))=0),"Responses column JT ("""&amp;Responses!$JT$1&amp;""") has data, but no question or demographic is set up to use it — so it won't appear in your results.","")</f>
        <v>0</v>
      </c>
      <c r="F2787" s="4" t="s">
        <v>2096</v>
      </c>
    </row>
    <row r="2788" spans="1:6" ht="75" customHeight="1">
      <c r="A2788" t="s">
        <v>334</v>
      </c>
      <c r="B2788" t="s">
        <v>896</v>
      </c>
      <c r="C2788" t="s">
        <v>1816</v>
      </c>
      <c r="D2788" t="s">
        <v>1808</v>
      </c>
      <c r="E2788" s="4">
        <f>IF(AND(Responses!$JU$1&lt;&gt;"",ISERROR(SEARCH("response id",LOWER(Responses!$JU$1))),(COUNTIF('Open Questions'!$A$2:$A$1001,"JU")+COUNTIF('Multiple Choice Questions'!$A$2:$A$1001,"JU")+COUNTIF('Hybrid Questions'!$A$2:$A$1001,"JU")+COUNTIF('Hybrid Questions'!$D$2:$D$1001,"JU")+COUNTIF('Demographics'!$A$2:$A$1001,"JU"))=0),"Responses column JU ("""&amp;Responses!$JU$1&amp;""") has data, but no question or demographic is set up to use it — so it won't appear in your results.","")</f>
        <v>0</v>
      </c>
      <c r="F2788" s="4" t="s">
        <v>2097</v>
      </c>
    </row>
    <row r="2789" spans="1:6" ht="75" customHeight="1">
      <c r="A2789" t="s">
        <v>334</v>
      </c>
      <c r="B2789" t="s">
        <v>898</v>
      </c>
      <c r="C2789" t="s">
        <v>1816</v>
      </c>
      <c r="D2789" t="s">
        <v>1808</v>
      </c>
      <c r="E2789" s="4">
        <f>IF(AND(Responses!$JV$1&lt;&gt;"",ISERROR(SEARCH("response id",LOWER(Responses!$JV$1))),(COUNTIF('Open Questions'!$A$2:$A$1001,"JV")+COUNTIF('Multiple Choice Questions'!$A$2:$A$1001,"JV")+COUNTIF('Hybrid Questions'!$A$2:$A$1001,"JV")+COUNTIF('Hybrid Questions'!$D$2:$D$1001,"JV")+COUNTIF('Demographics'!$A$2:$A$1001,"JV"))=0),"Responses column JV ("""&amp;Responses!$JV$1&amp;""") has data, but no question or demographic is set up to use it — so it won't appear in your results.","")</f>
        <v>0</v>
      </c>
      <c r="F2789" s="4" t="s">
        <v>2098</v>
      </c>
    </row>
    <row r="2790" spans="1:6" ht="75" customHeight="1">
      <c r="A2790" t="s">
        <v>334</v>
      </c>
      <c r="B2790" t="s">
        <v>900</v>
      </c>
      <c r="C2790" t="s">
        <v>1816</v>
      </c>
      <c r="D2790" t="s">
        <v>1808</v>
      </c>
      <c r="E2790" s="4">
        <f>IF(AND(Responses!$JW$1&lt;&gt;"",ISERROR(SEARCH("response id",LOWER(Responses!$JW$1))),(COUNTIF('Open Questions'!$A$2:$A$1001,"JW")+COUNTIF('Multiple Choice Questions'!$A$2:$A$1001,"JW")+COUNTIF('Hybrid Questions'!$A$2:$A$1001,"JW")+COUNTIF('Hybrid Questions'!$D$2:$D$1001,"JW")+COUNTIF('Demographics'!$A$2:$A$1001,"JW"))=0),"Responses column JW ("""&amp;Responses!$JW$1&amp;""") has data, but no question or demographic is set up to use it — so it won't appear in your results.","")</f>
        <v>0</v>
      </c>
      <c r="F2790" s="4" t="s">
        <v>2099</v>
      </c>
    </row>
    <row r="2791" spans="1:6" ht="75" customHeight="1">
      <c r="A2791" t="s">
        <v>334</v>
      </c>
      <c r="B2791" t="s">
        <v>902</v>
      </c>
      <c r="C2791" t="s">
        <v>1816</v>
      </c>
      <c r="D2791" t="s">
        <v>1808</v>
      </c>
      <c r="E2791" s="4">
        <f>IF(AND(Responses!$JX$1&lt;&gt;"",ISERROR(SEARCH("response id",LOWER(Responses!$JX$1))),(COUNTIF('Open Questions'!$A$2:$A$1001,"JX")+COUNTIF('Multiple Choice Questions'!$A$2:$A$1001,"JX")+COUNTIF('Hybrid Questions'!$A$2:$A$1001,"JX")+COUNTIF('Hybrid Questions'!$D$2:$D$1001,"JX")+COUNTIF('Demographics'!$A$2:$A$1001,"JX"))=0),"Responses column JX ("""&amp;Responses!$JX$1&amp;""") has data, but no question or demographic is set up to use it — so it won't appear in your results.","")</f>
        <v>0</v>
      </c>
      <c r="F2791" s="4" t="s">
        <v>2100</v>
      </c>
    </row>
    <row r="2792" spans="1:6" ht="75" customHeight="1">
      <c r="A2792" t="s">
        <v>334</v>
      </c>
      <c r="B2792" t="s">
        <v>904</v>
      </c>
      <c r="C2792" t="s">
        <v>1816</v>
      </c>
      <c r="D2792" t="s">
        <v>1808</v>
      </c>
      <c r="E2792" s="4">
        <f>IF(AND(Responses!$JY$1&lt;&gt;"",ISERROR(SEARCH("response id",LOWER(Responses!$JY$1))),(COUNTIF('Open Questions'!$A$2:$A$1001,"JY")+COUNTIF('Multiple Choice Questions'!$A$2:$A$1001,"JY")+COUNTIF('Hybrid Questions'!$A$2:$A$1001,"JY")+COUNTIF('Hybrid Questions'!$D$2:$D$1001,"JY")+COUNTIF('Demographics'!$A$2:$A$1001,"JY"))=0),"Responses column JY ("""&amp;Responses!$JY$1&amp;""") has data, but no question or demographic is set up to use it — so it won't appear in your results.","")</f>
        <v>0</v>
      </c>
      <c r="F2792" s="4" t="s">
        <v>2101</v>
      </c>
    </row>
    <row r="2793" spans="1:6" ht="75" customHeight="1">
      <c r="A2793" t="s">
        <v>334</v>
      </c>
      <c r="B2793" t="s">
        <v>906</v>
      </c>
      <c r="C2793" t="s">
        <v>1816</v>
      </c>
      <c r="D2793" t="s">
        <v>1808</v>
      </c>
      <c r="E2793" s="4">
        <f>IF(AND(Responses!$JZ$1&lt;&gt;"",ISERROR(SEARCH("response id",LOWER(Responses!$JZ$1))),(COUNTIF('Open Questions'!$A$2:$A$1001,"JZ")+COUNTIF('Multiple Choice Questions'!$A$2:$A$1001,"JZ")+COUNTIF('Hybrid Questions'!$A$2:$A$1001,"JZ")+COUNTIF('Hybrid Questions'!$D$2:$D$1001,"JZ")+COUNTIF('Demographics'!$A$2:$A$1001,"JZ"))=0),"Responses column JZ ("""&amp;Responses!$JZ$1&amp;""") has data, but no question or demographic is set up to use it — so it won't appear in your results.","")</f>
        <v>0</v>
      </c>
      <c r="F2793" s="4" t="s">
        <v>2102</v>
      </c>
    </row>
    <row r="2794" spans="1:6" ht="75" customHeight="1">
      <c r="A2794" t="s">
        <v>334</v>
      </c>
      <c r="B2794" t="s">
        <v>908</v>
      </c>
      <c r="C2794" t="s">
        <v>1816</v>
      </c>
      <c r="D2794" t="s">
        <v>1808</v>
      </c>
      <c r="E2794" s="4">
        <f>IF(AND(Responses!$KA$1&lt;&gt;"",ISERROR(SEARCH("response id",LOWER(Responses!$KA$1))),(COUNTIF('Open Questions'!$A$2:$A$1001,"KA")+COUNTIF('Multiple Choice Questions'!$A$2:$A$1001,"KA")+COUNTIF('Hybrid Questions'!$A$2:$A$1001,"KA")+COUNTIF('Hybrid Questions'!$D$2:$D$1001,"KA")+COUNTIF('Demographics'!$A$2:$A$1001,"KA"))=0),"Responses column KA ("""&amp;Responses!$KA$1&amp;""") has data, but no question or demographic is set up to use it — so it won't appear in your results.","")</f>
        <v>0</v>
      </c>
      <c r="F2794" s="4" t="s">
        <v>2103</v>
      </c>
    </row>
    <row r="2795" spans="1:6" ht="75" customHeight="1">
      <c r="A2795" t="s">
        <v>334</v>
      </c>
      <c r="B2795" t="s">
        <v>910</v>
      </c>
      <c r="C2795" t="s">
        <v>1816</v>
      </c>
      <c r="D2795" t="s">
        <v>1808</v>
      </c>
      <c r="E2795" s="4">
        <f>IF(AND(Responses!$KB$1&lt;&gt;"",ISERROR(SEARCH("response id",LOWER(Responses!$KB$1))),(COUNTIF('Open Questions'!$A$2:$A$1001,"KB")+COUNTIF('Multiple Choice Questions'!$A$2:$A$1001,"KB")+COUNTIF('Hybrid Questions'!$A$2:$A$1001,"KB")+COUNTIF('Hybrid Questions'!$D$2:$D$1001,"KB")+COUNTIF('Demographics'!$A$2:$A$1001,"KB"))=0),"Responses column KB ("""&amp;Responses!$KB$1&amp;""") has data, but no question or demographic is set up to use it — so it won't appear in your results.","")</f>
        <v>0</v>
      </c>
      <c r="F2795" s="4" t="s">
        <v>2104</v>
      </c>
    </row>
    <row r="2796" spans="1:6" ht="75" customHeight="1">
      <c r="A2796" t="s">
        <v>334</v>
      </c>
      <c r="B2796" t="s">
        <v>912</v>
      </c>
      <c r="C2796" t="s">
        <v>1816</v>
      </c>
      <c r="D2796" t="s">
        <v>1808</v>
      </c>
      <c r="E2796" s="4">
        <f>IF(AND(Responses!$KC$1&lt;&gt;"",ISERROR(SEARCH("response id",LOWER(Responses!$KC$1))),(COUNTIF('Open Questions'!$A$2:$A$1001,"KC")+COUNTIF('Multiple Choice Questions'!$A$2:$A$1001,"KC")+COUNTIF('Hybrid Questions'!$A$2:$A$1001,"KC")+COUNTIF('Hybrid Questions'!$D$2:$D$1001,"KC")+COUNTIF('Demographics'!$A$2:$A$1001,"KC"))=0),"Responses column KC ("""&amp;Responses!$KC$1&amp;""") has data, but no question or demographic is set up to use it — so it won't appear in your results.","")</f>
        <v>0</v>
      </c>
      <c r="F2796" s="4" t="s">
        <v>2105</v>
      </c>
    </row>
    <row r="2797" spans="1:6" ht="75" customHeight="1">
      <c r="A2797" t="s">
        <v>334</v>
      </c>
      <c r="B2797" t="s">
        <v>914</v>
      </c>
      <c r="C2797" t="s">
        <v>1816</v>
      </c>
      <c r="D2797" t="s">
        <v>1808</v>
      </c>
      <c r="E2797" s="4">
        <f>IF(AND(Responses!$KD$1&lt;&gt;"",ISERROR(SEARCH("response id",LOWER(Responses!$KD$1))),(COUNTIF('Open Questions'!$A$2:$A$1001,"KD")+COUNTIF('Multiple Choice Questions'!$A$2:$A$1001,"KD")+COUNTIF('Hybrid Questions'!$A$2:$A$1001,"KD")+COUNTIF('Hybrid Questions'!$D$2:$D$1001,"KD")+COUNTIF('Demographics'!$A$2:$A$1001,"KD"))=0),"Responses column KD ("""&amp;Responses!$KD$1&amp;""") has data, but no question or demographic is set up to use it — so it won't appear in your results.","")</f>
        <v>0</v>
      </c>
      <c r="F2797" s="4" t="s">
        <v>2106</v>
      </c>
    </row>
    <row r="2798" spans="1:6" ht="75" customHeight="1">
      <c r="A2798" t="s">
        <v>334</v>
      </c>
      <c r="B2798" t="s">
        <v>916</v>
      </c>
      <c r="C2798" t="s">
        <v>1816</v>
      </c>
      <c r="D2798" t="s">
        <v>1808</v>
      </c>
      <c r="E2798" s="4">
        <f>IF(AND(Responses!$KE$1&lt;&gt;"",ISERROR(SEARCH("response id",LOWER(Responses!$KE$1))),(COUNTIF('Open Questions'!$A$2:$A$1001,"KE")+COUNTIF('Multiple Choice Questions'!$A$2:$A$1001,"KE")+COUNTIF('Hybrid Questions'!$A$2:$A$1001,"KE")+COUNTIF('Hybrid Questions'!$D$2:$D$1001,"KE")+COUNTIF('Demographics'!$A$2:$A$1001,"KE"))=0),"Responses column KE ("""&amp;Responses!$KE$1&amp;""") has data, but no question or demographic is set up to use it — so it won't appear in your results.","")</f>
        <v>0</v>
      </c>
      <c r="F2798" s="4" t="s">
        <v>2107</v>
      </c>
    </row>
    <row r="2799" spans="1:6" ht="75" customHeight="1">
      <c r="A2799" t="s">
        <v>334</v>
      </c>
      <c r="B2799" t="s">
        <v>918</v>
      </c>
      <c r="C2799" t="s">
        <v>1816</v>
      </c>
      <c r="D2799" t="s">
        <v>1808</v>
      </c>
      <c r="E2799" s="4">
        <f>IF(AND(Responses!$KF$1&lt;&gt;"",ISERROR(SEARCH("response id",LOWER(Responses!$KF$1))),(COUNTIF('Open Questions'!$A$2:$A$1001,"KF")+COUNTIF('Multiple Choice Questions'!$A$2:$A$1001,"KF")+COUNTIF('Hybrid Questions'!$A$2:$A$1001,"KF")+COUNTIF('Hybrid Questions'!$D$2:$D$1001,"KF")+COUNTIF('Demographics'!$A$2:$A$1001,"KF"))=0),"Responses column KF ("""&amp;Responses!$KF$1&amp;""") has data, but no question or demographic is set up to use it — so it won't appear in your results.","")</f>
        <v>0</v>
      </c>
      <c r="F2799" s="4" t="s">
        <v>2108</v>
      </c>
    </row>
    <row r="2800" spans="1:6" ht="75" customHeight="1">
      <c r="A2800" t="s">
        <v>334</v>
      </c>
      <c r="B2800" t="s">
        <v>920</v>
      </c>
      <c r="C2800" t="s">
        <v>1816</v>
      </c>
      <c r="D2800" t="s">
        <v>1808</v>
      </c>
      <c r="E2800" s="4">
        <f>IF(AND(Responses!$KG$1&lt;&gt;"",ISERROR(SEARCH("response id",LOWER(Responses!$KG$1))),(COUNTIF('Open Questions'!$A$2:$A$1001,"KG")+COUNTIF('Multiple Choice Questions'!$A$2:$A$1001,"KG")+COUNTIF('Hybrid Questions'!$A$2:$A$1001,"KG")+COUNTIF('Hybrid Questions'!$D$2:$D$1001,"KG")+COUNTIF('Demographics'!$A$2:$A$1001,"KG"))=0),"Responses column KG ("""&amp;Responses!$KG$1&amp;""") has data, but no question or demographic is set up to use it — so it won't appear in your results.","")</f>
        <v>0</v>
      </c>
      <c r="F2800" s="4" t="s">
        <v>2109</v>
      </c>
    </row>
    <row r="2801" spans="1:6" ht="75" customHeight="1">
      <c r="A2801" t="s">
        <v>334</v>
      </c>
      <c r="B2801" t="s">
        <v>922</v>
      </c>
      <c r="C2801" t="s">
        <v>1816</v>
      </c>
      <c r="D2801" t="s">
        <v>1808</v>
      </c>
      <c r="E2801" s="4">
        <f>IF(AND(Responses!$KH$1&lt;&gt;"",ISERROR(SEARCH("response id",LOWER(Responses!$KH$1))),(COUNTIF('Open Questions'!$A$2:$A$1001,"KH")+COUNTIF('Multiple Choice Questions'!$A$2:$A$1001,"KH")+COUNTIF('Hybrid Questions'!$A$2:$A$1001,"KH")+COUNTIF('Hybrid Questions'!$D$2:$D$1001,"KH")+COUNTIF('Demographics'!$A$2:$A$1001,"KH"))=0),"Responses column KH ("""&amp;Responses!$KH$1&amp;""") has data, but no question or demographic is set up to use it — so it won't appear in your results.","")</f>
        <v>0</v>
      </c>
      <c r="F2801" s="4" t="s">
        <v>2110</v>
      </c>
    </row>
    <row r="2802" spans="1:6" ht="75" customHeight="1">
      <c r="A2802" t="s">
        <v>334</v>
      </c>
      <c r="B2802" t="s">
        <v>924</v>
      </c>
      <c r="C2802" t="s">
        <v>1816</v>
      </c>
      <c r="D2802" t="s">
        <v>1808</v>
      </c>
      <c r="E2802" s="4">
        <f>IF(AND(Responses!$KI$1&lt;&gt;"",ISERROR(SEARCH("response id",LOWER(Responses!$KI$1))),(COUNTIF('Open Questions'!$A$2:$A$1001,"KI")+COUNTIF('Multiple Choice Questions'!$A$2:$A$1001,"KI")+COUNTIF('Hybrid Questions'!$A$2:$A$1001,"KI")+COUNTIF('Hybrid Questions'!$D$2:$D$1001,"KI")+COUNTIF('Demographics'!$A$2:$A$1001,"KI"))=0),"Responses column KI ("""&amp;Responses!$KI$1&amp;""") has data, but no question or demographic is set up to use it — so it won't appear in your results.","")</f>
        <v>0</v>
      </c>
      <c r="F2802" s="4" t="s">
        <v>2111</v>
      </c>
    </row>
    <row r="2803" spans="1:6" ht="75" customHeight="1">
      <c r="A2803" t="s">
        <v>334</v>
      </c>
      <c r="B2803" t="s">
        <v>926</v>
      </c>
      <c r="C2803" t="s">
        <v>1816</v>
      </c>
      <c r="D2803" t="s">
        <v>1808</v>
      </c>
      <c r="E2803" s="4">
        <f>IF(AND(Responses!$KJ$1&lt;&gt;"",ISERROR(SEARCH("response id",LOWER(Responses!$KJ$1))),(COUNTIF('Open Questions'!$A$2:$A$1001,"KJ")+COUNTIF('Multiple Choice Questions'!$A$2:$A$1001,"KJ")+COUNTIF('Hybrid Questions'!$A$2:$A$1001,"KJ")+COUNTIF('Hybrid Questions'!$D$2:$D$1001,"KJ")+COUNTIF('Demographics'!$A$2:$A$1001,"KJ"))=0),"Responses column KJ ("""&amp;Responses!$KJ$1&amp;""") has data, but no question or demographic is set up to use it — so it won't appear in your results.","")</f>
        <v>0</v>
      </c>
      <c r="F2803" s="4" t="s">
        <v>2112</v>
      </c>
    </row>
    <row r="2804" spans="1:6" ht="75" customHeight="1">
      <c r="A2804" t="s">
        <v>334</v>
      </c>
      <c r="B2804" t="s">
        <v>928</v>
      </c>
      <c r="C2804" t="s">
        <v>1816</v>
      </c>
      <c r="D2804" t="s">
        <v>1808</v>
      </c>
      <c r="E2804" s="4">
        <f>IF(AND(Responses!$KK$1&lt;&gt;"",ISERROR(SEARCH("response id",LOWER(Responses!$KK$1))),(COUNTIF('Open Questions'!$A$2:$A$1001,"KK")+COUNTIF('Multiple Choice Questions'!$A$2:$A$1001,"KK")+COUNTIF('Hybrid Questions'!$A$2:$A$1001,"KK")+COUNTIF('Hybrid Questions'!$D$2:$D$1001,"KK")+COUNTIF('Demographics'!$A$2:$A$1001,"KK"))=0),"Responses column KK ("""&amp;Responses!$KK$1&amp;""") has data, but no question or demographic is set up to use it — so it won't appear in your results.","")</f>
        <v>0</v>
      </c>
      <c r="F2804" s="4" t="s">
        <v>2113</v>
      </c>
    </row>
    <row r="2805" spans="1:6" ht="75" customHeight="1">
      <c r="A2805" t="s">
        <v>334</v>
      </c>
      <c r="B2805" t="s">
        <v>930</v>
      </c>
      <c r="C2805" t="s">
        <v>1816</v>
      </c>
      <c r="D2805" t="s">
        <v>1808</v>
      </c>
      <c r="E2805" s="4">
        <f>IF(AND(Responses!$KL$1&lt;&gt;"",ISERROR(SEARCH("response id",LOWER(Responses!$KL$1))),(COUNTIF('Open Questions'!$A$2:$A$1001,"KL")+COUNTIF('Multiple Choice Questions'!$A$2:$A$1001,"KL")+COUNTIF('Hybrid Questions'!$A$2:$A$1001,"KL")+COUNTIF('Hybrid Questions'!$D$2:$D$1001,"KL")+COUNTIF('Demographics'!$A$2:$A$1001,"KL"))=0),"Responses column KL ("""&amp;Responses!$KL$1&amp;""") has data, but no question or demographic is set up to use it — so it won't appear in your results.","")</f>
        <v>0</v>
      </c>
      <c r="F2805" s="4" t="s">
        <v>2114</v>
      </c>
    </row>
    <row r="2806" spans="1:6" ht="75" customHeight="1">
      <c r="A2806" t="s">
        <v>334</v>
      </c>
      <c r="B2806" t="s">
        <v>932</v>
      </c>
      <c r="C2806" t="s">
        <v>1816</v>
      </c>
      <c r="D2806" t="s">
        <v>1808</v>
      </c>
      <c r="E2806" s="4">
        <f>IF(AND(Responses!$KM$1&lt;&gt;"",ISERROR(SEARCH("response id",LOWER(Responses!$KM$1))),(COUNTIF('Open Questions'!$A$2:$A$1001,"KM")+COUNTIF('Multiple Choice Questions'!$A$2:$A$1001,"KM")+COUNTIF('Hybrid Questions'!$A$2:$A$1001,"KM")+COUNTIF('Hybrid Questions'!$D$2:$D$1001,"KM")+COUNTIF('Demographics'!$A$2:$A$1001,"KM"))=0),"Responses column KM ("""&amp;Responses!$KM$1&amp;""") has data, but no question or demographic is set up to use it — so it won't appear in your results.","")</f>
        <v>0</v>
      </c>
      <c r="F2806" s="4" t="s">
        <v>2115</v>
      </c>
    </row>
    <row r="2807" spans="1:6" ht="75" customHeight="1">
      <c r="A2807" t="s">
        <v>334</v>
      </c>
      <c r="B2807" t="s">
        <v>934</v>
      </c>
      <c r="C2807" t="s">
        <v>1816</v>
      </c>
      <c r="D2807" t="s">
        <v>1808</v>
      </c>
      <c r="E2807" s="4">
        <f>IF(AND(Responses!$KN$1&lt;&gt;"",ISERROR(SEARCH("response id",LOWER(Responses!$KN$1))),(COUNTIF('Open Questions'!$A$2:$A$1001,"KN")+COUNTIF('Multiple Choice Questions'!$A$2:$A$1001,"KN")+COUNTIF('Hybrid Questions'!$A$2:$A$1001,"KN")+COUNTIF('Hybrid Questions'!$D$2:$D$1001,"KN")+COUNTIF('Demographics'!$A$2:$A$1001,"KN"))=0),"Responses column KN ("""&amp;Responses!$KN$1&amp;""") has data, but no question or demographic is set up to use it — so it won't appear in your results.","")</f>
        <v>0</v>
      </c>
      <c r="F2807" s="4" t="s">
        <v>2116</v>
      </c>
    </row>
    <row r="2808" spans="1:6" ht="75" customHeight="1">
      <c r="A2808" t="s">
        <v>334</v>
      </c>
      <c r="B2808" t="s">
        <v>936</v>
      </c>
      <c r="C2808" t="s">
        <v>1816</v>
      </c>
      <c r="D2808" t="s">
        <v>1808</v>
      </c>
      <c r="E2808" s="4">
        <f>IF(AND(Responses!$KO$1&lt;&gt;"",ISERROR(SEARCH("response id",LOWER(Responses!$KO$1))),(COUNTIF('Open Questions'!$A$2:$A$1001,"KO")+COUNTIF('Multiple Choice Questions'!$A$2:$A$1001,"KO")+COUNTIF('Hybrid Questions'!$A$2:$A$1001,"KO")+COUNTIF('Hybrid Questions'!$D$2:$D$1001,"KO")+COUNTIF('Demographics'!$A$2:$A$1001,"KO"))=0),"Responses column KO ("""&amp;Responses!$KO$1&amp;""") has data, but no question or demographic is set up to use it — so it won't appear in your results.","")</f>
        <v>0</v>
      </c>
      <c r="F2808" s="4" t="s">
        <v>2117</v>
      </c>
    </row>
    <row r="2809" spans="1:6" ht="75" customHeight="1">
      <c r="A2809" t="s">
        <v>334</v>
      </c>
      <c r="B2809" t="s">
        <v>938</v>
      </c>
      <c r="C2809" t="s">
        <v>1816</v>
      </c>
      <c r="D2809" t="s">
        <v>1808</v>
      </c>
      <c r="E2809" s="4">
        <f>IF(AND(Responses!$KP$1&lt;&gt;"",ISERROR(SEARCH("response id",LOWER(Responses!$KP$1))),(COUNTIF('Open Questions'!$A$2:$A$1001,"KP")+COUNTIF('Multiple Choice Questions'!$A$2:$A$1001,"KP")+COUNTIF('Hybrid Questions'!$A$2:$A$1001,"KP")+COUNTIF('Hybrid Questions'!$D$2:$D$1001,"KP")+COUNTIF('Demographics'!$A$2:$A$1001,"KP"))=0),"Responses column KP ("""&amp;Responses!$KP$1&amp;""") has data, but no question or demographic is set up to use it — so it won't appear in your results.","")</f>
        <v>0</v>
      </c>
      <c r="F2809" s="4" t="s">
        <v>2118</v>
      </c>
    </row>
    <row r="2810" spans="1:6" ht="75" customHeight="1">
      <c r="A2810" t="s">
        <v>334</v>
      </c>
      <c r="B2810" t="s">
        <v>940</v>
      </c>
      <c r="C2810" t="s">
        <v>1816</v>
      </c>
      <c r="D2810" t="s">
        <v>1808</v>
      </c>
      <c r="E2810" s="4">
        <f>IF(AND(Responses!$KQ$1&lt;&gt;"",ISERROR(SEARCH("response id",LOWER(Responses!$KQ$1))),(COUNTIF('Open Questions'!$A$2:$A$1001,"KQ")+COUNTIF('Multiple Choice Questions'!$A$2:$A$1001,"KQ")+COUNTIF('Hybrid Questions'!$A$2:$A$1001,"KQ")+COUNTIF('Hybrid Questions'!$D$2:$D$1001,"KQ")+COUNTIF('Demographics'!$A$2:$A$1001,"KQ"))=0),"Responses column KQ ("""&amp;Responses!$KQ$1&amp;""") has data, but no question or demographic is set up to use it — so it won't appear in your results.","")</f>
        <v>0</v>
      </c>
      <c r="F2810" s="4" t="s">
        <v>2119</v>
      </c>
    </row>
    <row r="2811" spans="1:6" ht="75" customHeight="1">
      <c r="A2811" t="s">
        <v>334</v>
      </c>
      <c r="B2811" t="s">
        <v>942</v>
      </c>
      <c r="C2811" t="s">
        <v>1816</v>
      </c>
      <c r="D2811" t="s">
        <v>1808</v>
      </c>
      <c r="E2811" s="4">
        <f>IF(AND(Responses!$KR$1&lt;&gt;"",ISERROR(SEARCH("response id",LOWER(Responses!$KR$1))),(COUNTIF('Open Questions'!$A$2:$A$1001,"KR")+COUNTIF('Multiple Choice Questions'!$A$2:$A$1001,"KR")+COUNTIF('Hybrid Questions'!$A$2:$A$1001,"KR")+COUNTIF('Hybrid Questions'!$D$2:$D$1001,"KR")+COUNTIF('Demographics'!$A$2:$A$1001,"KR"))=0),"Responses column KR ("""&amp;Responses!$KR$1&amp;""") has data, but no question or demographic is set up to use it — so it won't appear in your results.","")</f>
        <v>0</v>
      </c>
      <c r="F2811" s="4" t="s">
        <v>2120</v>
      </c>
    </row>
    <row r="2812" spans="1:6" ht="75" customHeight="1">
      <c r="A2812" t="s">
        <v>334</v>
      </c>
      <c r="B2812" t="s">
        <v>944</v>
      </c>
      <c r="C2812" t="s">
        <v>1816</v>
      </c>
      <c r="D2812" t="s">
        <v>1808</v>
      </c>
      <c r="E2812" s="4">
        <f>IF(AND(Responses!$KS$1&lt;&gt;"",ISERROR(SEARCH("response id",LOWER(Responses!$KS$1))),(COUNTIF('Open Questions'!$A$2:$A$1001,"KS")+COUNTIF('Multiple Choice Questions'!$A$2:$A$1001,"KS")+COUNTIF('Hybrid Questions'!$A$2:$A$1001,"KS")+COUNTIF('Hybrid Questions'!$D$2:$D$1001,"KS")+COUNTIF('Demographics'!$A$2:$A$1001,"KS"))=0),"Responses column KS ("""&amp;Responses!$KS$1&amp;""") has data, but no question or demographic is set up to use it — so it won't appear in your results.","")</f>
        <v>0</v>
      </c>
      <c r="F2812" s="4" t="s">
        <v>2121</v>
      </c>
    </row>
    <row r="2813" spans="1:6" ht="75" customHeight="1">
      <c r="A2813" t="s">
        <v>334</v>
      </c>
      <c r="B2813" t="s">
        <v>946</v>
      </c>
      <c r="C2813" t="s">
        <v>1816</v>
      </c>
      <c r="D2813" t="s">
        <v>1808</v>
      </c>
      <c r="E2813" s="4">
        <f>IF(AND(Responses!$KT$1&lt;&gt;"",ISERROR(SEARCH("response id",LOWER(Responses!$KT$1))),(COUNTIF('Open Questions'!$A$2:$A$1001,"KT")+COUNTIF('Multiple Choice Questions'!$A$2:$A$1001,"KT")+COUNTIF('Hybrid Questions'!$A$2:$A$1001,"KT")+COUNTIF('Hybrid Questions'!$D$2:$D$1001,"KT")+COUNTIF('Demographics'!$A$2:$A$1001,"KT"))=0),"Responses column KT ("""&amp;Responses!$KT$1&amp;""") has data, but no question or demographic is set up to use it — so it won't appear in your results.","")</f>
        <v>0</v>
      </c>
      <c r="F2813" s="4" t="s">
        <v>2122</v>
      </c>
    </row>
    <row r="2814" spans="1:6" ht="75" customHeight="1">
      <c r="A2814" t="s">
        <v>334</v>
      </c>
      <c r="B2814" t="s">
        <v>948</v>
      </c>
      <c r="C2814" t="s">
        <v>1816</v>
      </c>
      <c r="D2814" t="s">
        <v>1808</v>
      </c>
      <c r="E2814" s="4">
        <f>IF(AND(Responses!$KU$1&lt;&gt;"",ISERROR(SEARCH("response id",LOWER(Responses!$KU$1))),(COUNTIF('Open Questions'!$A$2:$A$1001,"KU")+COUNTIF('Multiple Choice Questions'!$A$2:$A$1001,"KU")+COUNTIF('Hybrid Questions'!$A$2:$A$1001,"KU")+COUNTIF('Hybrid Questions'!$D$2:$D$1001,"KU")+COUNTIF('Demographics'!$A$2:$A$1001,"KU"))=0),"Responses column KU ("""&amp;Responses!$KU$1&amp;""") has data, but no question or demographic is set up to use it — so it won't appear in your results.","")</f>
        <v>0</v>
      </c>
      <c r="F2814" s="4" t="s">
        <v>2123</v>
      </c>
    </row>
    <row r="2815" spans="1:6" ht="75" customHeight="1">
      <c r="A2815" t="s">
        <v>334</v>
      </c>
      <c r="B2815" t="s">
        <v>950</v>
      </c>
      <c r="C2815" t="s">
        <v>1816</v>
      </c>
      <c r="D2815" t="s">
        <v>1808</v>
      </c>
      <c r="E2815" s="4">
        <f>IF(AND(Responses!$KV$1&lt;&gt;"",ISERROR(SEARCH("response id",LOWER(Responses!$KV$1))),(COUNTIF('Open Questions'!$A$2:$A$1001,"KV")+COUNTIF('Multiple Choice Questions'!$A$2:$A$1001,"KV")+COUNTIF('Hybrid Questions'!$A$2:$A$1001,"KV")+COUNTIF('Hybrid Questions'!$D$2:$D$1001,"KV")+COUNTIF('Demographics'!$A$2:$A$1001,"KV"))=0),"Responses column KV ("""&amp;Responses!$KV$1&amp;""") has data, but no question or demographic is set up to use it — so it won't appear in your results.","")</f>
        <v>0</v>
      </c>
      <c r="F2815" s="4" t="s">
        <v>2124</v>
      </c>
    </row>
    <row r="2816" spans="1:6" ht="75" customHeight="1">
      <c r="A2816" t="s">
        <v>334</v>
      </c>
      <c r="B2816" t="s">
        <v>952</v>
      </c>
      <c r="C2816" t="s">
        <v>1816</v>
      </c>
      <c r="D2816" t="s">
        <v>1808</v>
      </c>
      <c r="E2816" s="4">
        <f>IF(AND(Responses!$KW$1&lt;&gt;"",ISERROR(SEARCH("response id",LOWER(Responses!$KW$1))),(COUNTIF('Open Questions'!$A$2:$A$1001,"KW")+COUNTIF('Multiple Choice Questions'!$A$2:$A$1001,"KW")+COUNTIF('Hybrid Questions'!$A$2:$A$1001,"KW")+COUNTIF('Hybrid Questions'!$D$2:$D$1001,"KW")+COUNTIF('Demographics'!$A$2:$A$1001,"KW"))=0),"Responses column KW ("""&amp;Responses!$KW$1&amp;""") has data, but no question or demographic is set up to use it — so it won't appear in your results.","")</f>
        <v>0</v>
      </c>
      <c r="F2816" s="4" t="s">
        <v>2125</v>
      </c>
    </row>
    <row r="2817" spans="1:6" ht="75" customHeight="1">
      <c r="A2817" t="s">
        <v>334</v>
      </c>
      <c r="B2817" t="s">
        <v>954</v>
      </c>
      <c r="C2817" t="s">
        <v>1816</v>
      </c>
      <c r="D2817" t="s">
        <v>1808</v>
      </c>
      <c r="E2817" s="4">
        <f>IF(AND(Responses!$KX$1&lt;&gt;"",ISERROR(SEARCH("response id",LOWER(Responses!$KX$1))),(COUNTIF('Open Questions'!$A$2:$A$1001,"KX")+COUNTIF('Multiple Choice Questions'!$A$2:$A$1001,"KX")+COUNTIF('Hybrid Questions'!$A$2:$A$1001,"KX")+COUNTIF('Hybrid Questions'!$D$2:$D$1001,"KX")+COUNTIF('Demographics'!$A$2:$A$1001,"KX"))=0),"Responses column KX ("""&amp;Responses!$KX$1&amp;""") has data, but no question or demographic is set up to use it — so it won't appear in your results.","")</f>
        <v>0</v>
      </c>
      <c r="F2817" s="4" t="s">
        <v>2126</v>
      </c>
    </row>
    <row r="2818" spans="1:6" ht="75" customHeight="1">
      <c r="A2818" t="s">
        <v>334</v>
      </c>
      <c r="B2818" t="s">
        <v>956</v>
      </c>
      <c r="C2818" t="s">
        <v>1816</v>
      </c>
      <c r="D2818" t="s">
        <v>1808</v>
      </c>
      <c r="E2818" s="4">
        <f>IF(AND(Responses!$KY$1&lt;&gt;"",ISERROR(SEARCH("response id",LOWER(Responses!$KY$1))),(COUNTIF('Open Questions'!$A$2:$A$1001,"KY")+COUNTIF('Multiple Choice Questions'!$A$2:$A$1001,"KY")+COUNTIF('Hybrid Questions'!$A$2:$A$1001,"KY")+COUNTIF('Hybrid Questions'!$D$2:$D$1001,"KY")+COUNTIF('Demographics'!$A$2:$A$1001,"KY"))=0),"Responses column KY ("""&amp;Responses!$KY$1&amp;""") has data, but no question or demographic is set up to use it — so it won't appear in your results.","")</f>
        <v>0</v>
      </c>
      <c r="F2818" s="4" t="s">
        <v>2127</v>
      </c>
    </row>
    <row r="2819" spans="1:6" ht="75" customHeight="1">
      <c r="A2819" t="s">
        <v>334</v>
      </c>
      <c r="B2819" t="s">
        <v>958</v>
      </c>
      <c r="C2819" t="s">
        <v>1816</v>
      </c>
      <c r="D2819" t="s">
        <v>1808</v>
      </c>
      <c r="E2819" s="4">
        <f>IF(AND(Responses!$KZ$1&lt;&gt;"",ISERROR(SEARCH("response id",LOWER(Responses!$KZ$1))),(COUNTIF('Open Questions'!$A$2:$A$1001,"KZ")+COUNTIF('Multiple Choice Questions'!$A$2:$A$1001,"KZ")+COUNTIF('Hybrid Questions'!$A$2:$A$1001,"KZ")+COUNTIF('Hybrid Questions'!$D$2:$D$1001,"KZ")+COUNTIF('Demographics'!$A$2:$A$1001,"KZ"))=0),"Responses column KZ ("""&amp;Responses!$KZ$1&amp;""") has data, but no question or demographic is set up to use it — so it won't appear in your results.","")</f>
        <v>0</v>
      </c>
      <c r="F2819" s="4" t="s">
        <v>2128</v>
      </c>
    </row>
    <row r="2820" spans="1:6" ht="75" customHeight="1">
      <c r="A2820" t="s">
        <v>334</v>
      </c>
      <c r="B2820" t="s">
        <v>960</v>
      </c>
      <c r="C2820" t="s">
        <v>1816</v>
      </c>
      <c r="D2820" t="s">
        <v>1808</v>
      </c>
      <c r="E2820" s="4">
        <f>IF(AND(Responses!$LA$1&lt;&gt;"",ISERROR(SEARCH("response id",LOWER(Responses!$LA$1))),(COUNTIF('Open Questions'!$A$2:$A$1001,"LA")+COUNTIF('Multiple Choice Questions'!$A$2:$A$1001,"LA")+COUNTIF('Hybrid Questions'!$A$2:$A$1001,"LA")+COUNTIF('Hybrid Questions'!$D$2:$D$1001,"LA")+COUNTIF('Demographics'!$A$2:$A$1001,"LA"))=0),"Responses column LA ("""&amp;Responses!$LA$1&amp;""") has data, but no question or demographic is set up to use it — so it won't appear in your results.","")</f>
        <v>0</v>
      </c>
      <c r="F2820" s="4" t="s">
        <v>2129</v>
      </c>
    </row>
    <row r="2821" spans="1:6" ht="75" customHeight="1">
      <c r="A2821" t="s">
        <v>334</v>
      </c>
      <c r="B2821" t="s">
        <v>962</v>
      </c>
      <c r="C2821" t="s">
        <v>1816</v>
      </c>
      <c r="D2821" t="s">
        <v>1808</v>
      </c>
      <c r="E2821" s="4">
        <f>IF(AND(Responses!$LB$1&lt;&gt;"",ISERROR(SEARCH("response id",LOWER(Responses!$LB$1))),(COUNTIF('Open Questions'!$A$2:$A$1001,"LB")+COUNTIF('Multiple Choice Questions'!$A$2:$A$1001,"LB")+COUNTIF('Hybrid Questions'!$A$2:$A$1001,"LB")+COUNTIF('Hybrid Questions'!$D$2:$D$1001,"LB")+COUNTIF('Demographics'!$A$2:$A$1001,"LB"))=0),"Responses column LB ("""&amp;Responses!$LB$1&amp;""") has data, but no question or demographic is set up to use it — so it won't appear in your results.","")</f>
        <v>0</v>
      </c>
      <c r="F2821" s="4" t="s">
        <v>2130</v>
      </c>
    </row>
    <row r="2822" spans="1:6" ht="75" customHeight="1">
      <c r="A2822" t="s">
        <v>334</v>
      </c>
      <c r="B2822" t="s">
        <v>964</v>
      </c>
      <c r="C2822" t="s">
        <v>1816</v>
      </c>
      <c r="D2822" t="s">
        <v>1808</v>
      </c>
      <c r="E2822" s="4">
        <f>IF(AND(Responses!$LC$1&lt;&gt;"",ISERROR(SEARCH("response id",LOWER(Responses!$LC$1))),(COUNTIF('Open Questions'!$A$2:$A$1001,"LC")+COUNTIF('Multiple Choice Questions'!$A$2:$A$1001,"LC")+COUNTIF('Hybrid Questions'!$A$2:$A$1001,"LC")+COUNTIF('Hybrid Questions'!$D$2:$D$1001,"LC")+COUNTIF('Demographics'!$A$2:$A$1001,"LC"))=0),"Responses column LC ("""&amp;Responses!$LC$1&amp;""") has data, but no question or demographic is set up to use it — so it won't appear in your results.","")</f>
        <v>0</v>
      </c>
      <c r="F2822" s="4" t="s">
        <v>2131</v>
      </c>
    </row>
    <row r="2823" spans="1:6" ht="75" customHeight="1">
      <c r="A2823" t="s">
        <v>334</v>
      </c>
      <c r="B2823" t="s">
        <v>966</v>
      </c>
      <c r="C2823" t="s">
        <v>1816</v>
      </c>
      <c r="D2823" t="s">
        <v>1808</v>
      </c>
      <c r="E2823" s="4">
        <f>IF(AND(Responses!$LD$1&lt;&gt;"",ISERROR(SEARCH("response id",LOWER(Responses!$LD$1))),(COUNTIF('Open Questions'!$A$2:$A$1001,"LD")+COUNTIF('Multiple Choice Questions'!$A$2:$A$1001,"LD")+COUNTIF('Hybrid Questions'!$A$2:$A$1001,"LD")+COUNTIF('Hybrid Questions'!$D$2:$D$1001,"LD")+COUNTIF('Demographics'!$A$2:$A$1001,"LD"))=0),"Responses column LD ("""&amp;Responses!$LD$1&amp;""") has data, but no question or demographic is set up to use it — so it won't appear in your results.","")</f>
        <v>0</v>
      </c>
      <c r="F2823" s="4" t="s">
        <v>2132</v>
      </c>
    </row>
    <row r="2824" spans="1:6" ht="75" customHeight="1">
      <c r="A2824" t="s">
        <v>334</v>
      </c>
      <c r="B2824" t="s">
        <v>968</v>
      </c>
      <c r="C2824" t="s">
        <v>1816</v>
      </c>
      <c r="D2824" t="s">
        <v>1808</v>
      </c>
      <c r="E2824" s="4">
        <f>IF(AND(Responses!$LE$1&lt;&gt;"",ISERROR(SEARCH("response id",LOWER(Responses!$LE$1))),(COUNTIF('Open Questions'!$A$2:$A$1001,"LE")+COUNTIF('Multiple Choice Questions'!$A$2:$A$1001,"LE")+COUNTIF('Hybrid Questions'!$A$2:$A$1001,"LE")+COUNTIF('Hybrid Questions'!$D$2:$D$1001,"LE")+COUNTIF('Demographics'!$A$2:$A$1001,"LE"))=0),"Responses column LE ("""&amp;Responses!$LE$1&amp;""") has data, but no question or demographic is set up to use it — so it won't appear in your results.","")</f>
        <v>0</v>
      </c>
      <c r="F2824" s="4" t="s">
        <v>2133</v>
      </c>
    </row>
    <row r="2825" spans="1:6" ht="75" customHeight="1">
      <c r="A2825" t="s">
        <v>334</v>
      </c>
      <c r="B2825" t="s">
        <v>970</v>
      </c>
      <c r="C2825" t="s">
        <v>1816</v>
      </c>
      <c r="D2825" t="s">
        <v>1808</v>
      </c>
      <c r="E2825" s="4">
        <f>IF(AND(Responses!$LF$1&lt;&gt;"",ISERROR(SEARCH("response id",LOWER(Responses!$LF$1))),(COUNTIF('Open Questions'!$A$2:$A$1001,"LF")+COUNTIF('Multiple Choice Questions'!$A$2:$A$1001,"LF")+COUNTIF('Hybrid Questions'!$A$2:$A$1001,"LF")+COUNTIF('Hybrid Questions'!$D$2:$D$1001,"LF")+COUNTIF('Demographics'!$A$2:$A$1001,"LF"))=0),"Responses column LF ("""&amp;Responses!$LF$1&amp;""") has data, but no question or demographic is set up to use it — so it won't appear in your results.","")</f>
        <v>0</v>
      </c>
      <c r="F2825" s="4" t="s">
        <v>2134</v>
      </c>
    </row>
    <row r="2826" spans="1:6" ht="75" customHeight="1">
      <c r="A2826" t="s">
        <v>334</v>
      </c>
      <c r="B2826" t="s">
        <v>972</v>
      </c>
      <c r="C2826" t="s">
        <v>1816</v>
      </c>
      <c r="D2826" t="s">
        <v>1808</v>
      </c>
      <c r="E2826" s="4">
        <f>IF(AND(Responses!$LG$1&lt;&gt;"",ISERROR(SEARCH("response id",LOWER(Responses!$LG$1))),(COUNTIF('Open Questions'!$A$2:$A$1001,"LG")+COUNTIF('Multiple Choice Questions'!$A$2:$A$1001,"LG")+COUNTIF('Hybrid Questions'!$A$2:$A$1001,"LG")+COUNTIF('Hybrid Questions'!$D$2:$D$1001,"LG")+COUNTIF('Demographics'!$A$2:$A$1001,"LG"))=0),"Responses column LG ("""&amp;Responses!$LG$1&amp;""") has data, but no question or demographic is set up to use it — so it won't appear in your results.","")</f>
        <v>0</v>
      </c>
      <c r="F2826" s="4" t="s">
        <v>2135</v>
      </c>
    </row>
    <row r="2827" spans="1:6" ht="75" customHeight="1">
      <c r="A2827" t="s">
        <v>334</v>
      </c>
      <c r="B2827" t="s">
        <v>974</v>
      </c>
      <c r="C2827" t="s">
        <v>1816</v>
      </c>
      <c r="D2827" t="s">
        <v>1808</v>
      </c>
      <c r="E2827" s="4">
        <f>IF(AND(Responses!$LH$1&lt;&gt;"",ISERROR(SEARCH("response id",LOWER(Responses!$LH$1))),(COUNTIF('Open Questions'!$A$2:$A$1001,"LH")+COUNTIF('Multiple Choice Questions'!$A$2:$A$1001,"LH")+COUNTIF('Hybrid Questions'!$A$2:$A$1001,"LH")+COUNTIF('Hybrid Questions'!$D$2:$D$1001,"LH")+COUNTIF('Demographics'!$A$2:$A$1001,"LH"))=0),"Responses column LH ("""&amp;Responses!$LH$1&amp;""") has data, but no question or demographic is set up to use it — so it won't appear in your results.","")</f>
        <v>0</v>
      </c>
      <c r="F2827" s="4" t="s">
        <v>2136</v>
      </c>
    </row>
    <row r="2828" spans="1:6" ht="75" customHeight="1">
      <c r="A2828" t="s">
        <v>334</v>
      </c>
      <c r="B2828" t="s">
        <v>976</v>
      </c>
      <c r="C2828" t="s">
        <v>1816</v>
      </c>
      <c r="D2828" t="s">
        <v>1808</v>
      </c>
      <c r="E2828" s="4">
        <f>IF(AND(Responses!$LI$1&lt;&gt;"",ISERROR(SEARCH("response id",LOWER(Responses!$LI$1))),(COUNTIF('Open Questions'!$A$2:$A$1001,"LI")+COUNTIF('Multiple Choice Questions'!$A$2:$A$1001,"LI")+COUNTIF('Hybrid Questions'!$A$2:$A$1001,"LI")+COUNTIF('Hybrid Questions'!$D$2:$D$1001,"LI")+COUNTIF('Demographics'!$A$2:$A$1001,"LI"))=0),"Responses column LI ("""&amp;Responses!$LI$1&amp;""") has data, but no question or demographic is set up to use it — so it won't appear in your results.","")</f>
        <v>0</v>
      </c>
      <c r="F2828" s="4" t="s">
        <v>2137</v>
      </c>
    </row>
    <row r="2829" spans="1:6" ht="75" customHeight="1">
      <c r="A2829" t="s">
        <v>334</v>
      </c>
      <c r="B2829" t="s">
        <v>978</v>
      </c>
      <c r="C2829" t="s">
        <v>1816</v>
      </c>
      <c r="D2829" t="s">
        <v>1808</v>
      </c>
      <c r="E2829" s="4">
        <f>IF(AND(Responses!$LJ$1&lt;&gt;"",ISERROR(SEARCH("response id",LOWER(Responses!$LJ$1))),(COUNTIF('Open Questions'!$A$2:$A$1001,"LJ")+COUNTIF('Multiple Choice Questions'!$A$2:$A$1001,"LJ")+COUNTIF('Hybrid Questions'!$A$2:$A$1001,"LJ")+COUNTIF('Hybrid Questions'!$D$2:$D$1001,"LJ")+COUNTIF('Demographics'!$A$2:$A$1001,"LJ"))=0),"Responses column LJ ("""&amp;Responses!$LJ$1&amp;""") has data, but no question or demographic is set up to use it — so it won't appear in your results.","")</f>
        <v>0</v>
      </c>
      <c r="F2829" s="4" t="s">
        <v>2138</v>
      </c>
    </row>
    <row r="2830" spans="1:6" ht="75" customHeight="1">
      <c r="A2830" t="s">
        <v>334</v>
      </c>
      <c r="B2830" t="s">
        <v>980</v>
      </c>
      <c r="C2830" t="s">
        <v>1816</v>
      </c>
      <c r="D2830" t="s">
        <v>1808</v>
      </c>
      <c r="E2830" s="4">
        <f>IF(AND(Responses!$LK$1&lt;&gt;"",ISERROR(SEARCH("response id",LOWER(Responses!$LK$1))),(COUNTIF('Open Questions'!$A$2:$A$1001,"LK")+COUNTIF('Multiple Choice Questions'!$A$2:$A$1001,"LK")+COUNTIF('Hybrid Questions'!$A$2:$A$1001,"LK")+COUNTIF('Hybrid Questions'!$D$2:$D$1001,"LK")+COUNTIF('Demographics'!$A$2:$A$1001,"LK"))=0),"Responses column LK ("""&amp;Responses!$LK$1&amp;""") has data, but no question or demographic is set up to use it — so it won't appear in your results.","")</f>
        <v>0</v>
      </c>
      <c r="F2830" s="4" t="s">
        <v>2139</v>
      </c>
    </row>
    <row r="2831" spans="1:6" ht="75" customHeight="1">
      <c r="A2831" t="s">
        <v>334</v>
      </c>
      <c r="B2831" t="s">
        <v>982</v>
      </c>
      <c r="C2831" t="s">
        <v>1816</v>
      </c>
      <c r="D2831" t="s">
        <v>1808</v>
      </c>
      <c r="E2831" s="4">
        <f>IF(AND(Responses!$LL$1&lt;&gt;"",ISERROR(SEARCH("response id",LOWER(Responses!$LL$1))),(COUNTIF('Open Questions'!$A$2:$A$1001,"LL")+COUNTIF('Multiple Choice Questions'!$A$2:$A$1001,"LL")+COUNTIF('Hybrid Questions'!$A$2:$A$1001,"LL")+COUNTIF('Hybrid Questions'!$D$2:$D$1001,"LL")+COUNTIF('Demographics'!$A$2:$A$1001,"LL"))=0),"Responses column LL ("""&amp;Responses!$LL$1&amp;""") has data, but no question or demographic is set up to use it — so it won't appear in your results.","")</f>
        <v>0</v>
      </c>
      <c r="F2831" s="4" t="s">
        <v>2140</v>
      </c>
    </row>
    <row r="2832" spans="1:6" ht="75" customHeight="1">
      <c r="A2832" t="s">
        <v>334</v>
      </c>
      <c r="B2832" t="s">
        <v>984</v>
      </c>
      <c r="C2832" t="s">
        <v>1816</v>
      </c>
      <c r="D2832" t="s">
        <v>1808</v>
      </c>
      <c r="E2832" s="4">
        <f>IF(AND(Responses!$LM$1&lt;&gt;"",ISERROR(SEARCH("response id",LOWER(Responses!$LM$1))),(COUNTIF('Open Questions'!$A$2:$A$1001,"LM")+COUNTIF('Multiple Choice Questions'!$A$2:$A$1001,"LM")+COUNTIF('Hybrid Questions'!$A$2:$A$1001,"LM")+COUNTIF('Hybrid Questions'!$D$2:$D$1001,"LM")+COUNTIF('Demographics'!$A$2:$A$1001,"LM"))=0),"Responses column LM ("""&amp;Responses!$LM$1&amp;""") has data, but no question or demographic is set up to use it — so it won't appear in your results.","")</f>
        <v>0</v>
      </c>
      <c r="F2832" s="4" t="s">
        <v>2141</v>
      </c>
    </row>
    <row r="2833" spans="1:6" ht="75" customHeight="1">
      <c r="A2833" t="s">
        <v>334</v>
      </c>
      <c r="B2833" t="s">
        <v>986</v>
      </c>
      <c r="C2833" t="s">
        <v>1816</v>
      </c>
      <c r="D2833" t="s">
        <v>1808</v>
      </c>
      <c r="E2833" s="4">
        <f>IF(AND(Responses!$LN$1&lt;&gt;"",ISERROR(SEARCH("response id",LOWER(Responses!$LN$1))),(COUNTIF('Open Questions'!$A$2:$A$1001,"LN")+COUNTIF('Multiple Choice Questions'!$A$2:$A$1001,"LN")+COUNTIF('Hybrid Questions'!$A$2:$A$1001,"LN")+COUNTIF('Hybrid Questions'!$D$2:$D$1001,"LN")+COUNTIF('Demographics'!$A$2:$A$1001,"LN"))=0),"Responses column LN ("""&amp;Responses!$LN$1&amp;""") has data, but no question or demographic is set up to use it — so it won't appear in your results.","")</f>
        <v>0</v>
      </c>
      <c r="F2833" s="4" t="s">
        <v>2142</v>
      </c>
    </row>
    <row r="2834" spans="1:6" ht="75" customHeight="1">
      <c r="A2834" t="s">
        <v>334</v>
      </c>
      <c r="B2834" t="s">
        <v>988</v>
      </c>
      <c r="C2834" t="s">
        <v>1816</v>
      </c>
      <c r="D2834" t="s">
        <v>1808</v>
      </c>
      <c r="E2834" s="4">
        <f>IF(AND(Responses!$LO$1&lt;&gt;"",ISERROR(SEARCH("response id",LOWER(Responses!$LO$1))),(COUNTIF('Open Questions'!$A$2:$A$1001,"LO")+COUNTIF('Multiple Choice Questions'!$A$2:$A$1001,"LO")+COUNTIF('Hybrid Questions'!$A$2:$A$1001,"LO")+COUNTIF('Hybrid Questions'!$D$2:$D$1001,"LO")+COUNTIF('Demographics'!$A$2:$A$1001,"LO"))=0),"Responses column LO ("""&amp;Responses!$LO$1&amp;""") has data, but no question or demographic is set up to use it — so it won't appear in your results.","")</f>
        <v>0</v>
      </c>
      <c r="F2834" s="4" t="s">
        <v>2143</v>
      </c>
    </row>
    <row r="2835" spans="1:6" ht="75" customHeight="1">
      <c r="A2835" t="s">
        <v>334</v>
      </c>
      <c r="B2835" t="s">
        <v>990</v>
      </c>
      <c r="C2835" t="s">
        <v>1816</v>
      </c>
      <c r="D2835" t="s">
        <v>1808</v>
      </c>
      <c r="E2835" s="4">
        <f>IF(AND(Responses!$LP$1&lt;&gt;"",ISERROR(SEARCH("response id",LOWER(Responses!$LP$1))),(COUNTIF('Open Questions'!$A$2:$A$1001,"LP")+COUNTIF('Multiple Choice Questions'!$A$2:$A$1001,"LP")+COUNTIF('Hybrid Questions'!$A$2:$A$1001,"LP")+COUNTIF('Hybrid Questions'!$D$2:$D$1001,"LP")+COUNTIF('Demographics'!$A$2:$A$1001,"LP"))=0),"Responses column LP ("""&amp;Responses!$LP$1&amp;""") has data, but no question or demographic is set up to use it — so it won't appear in your results.","")</f>
        <v>0</v>
      </c>
      <c r="F2835" s="4" t="s">
        <v>2144</v>
      </c>
    </row>
    <row r="2836" spans="1:6" ht="75" customHeight="1">
      <c r="A2836" t="s">
        <v>334</v>
      </c>
      <c r="B2836" t="s">
        <v>992</v>
      </c>
      <c r="C2836" t="s">
        <v>1816</v>
      </c>
      <c r="D2836" t="s">
        <v>1808</v>
      </c>
      <c r="E2836" s="4">
        <f>IF(AND(Responses!$LQ$1&lt;&gt;"",ISERROR(SEARCH("response id",LOWER(Responses!$LQ$1))),(COUNTIF('Open Questions'!$A$2:$A$1001,"LQ")+COUNTIF('Multiple Choice Questions'!$A$2:$A$1001,"LQ")+COUNTIF('Hybrid Questions'!$A$2:$A$1001,"LQ")+COUNTIF('Hybrid Questions'!$D$2:$D$1001,"LQ")+COUNTIF('Demographics'!$A$2:$A$1001,"LQ"))=0),"Responses column LQ ("""&amp;Responses!$LQ$1&amp;""") has data, but no question or demographic is set up to use it — so it won't appear in your results.","")</f>
        <v>0</v>
      </c>
      <c r="F2836" s="4" t="s">
        <v>2145</v>
      </c>
    </row>
    <row r="2837" spans="1:6" ht="75" customHeight="1">
      <c r="A2837" t="s">
        <v>334</v>
      </c>
      <c r="B2837" t="s">
        <v>994</v>
      </c>
      <c r="C2837" t="s">
        <v>1816</v>
      </c>
      <c r="D2837" t="s">
        <v>1808</v>
      </c>
      <c r="E2837" s="4">
        <f>IF(AND(Responses!$LR$1&lt;&gt;"",ISERROR(SEARCH("response id",LOWER(Responses!$LR$1))),(COUNTIF('Open Questions'!$A$2:$A$1001,"LR")+COUNTIF('Multiple Choice Questions'!$A$2:$A$1001,"LR")+COUNTIF('Hybrid Questions'!$A$2:$A$1001,"LR")+COUNTIF('Hybrid Questions'!$D$2:$D$1001,"LR")+COUNTIF('Demographics'!$A$2:$A$1001,"LR"))=0),"Responses column LR ("""&amp;Responses!$LR$1&amp;""") has data, but no question or demographic is set up to use it — so it won't appear in your results.","")</f>
        <v>0</v>
      </c>
      <c r="F2837" s="4" t="s">
        <v>2146</v>
      </c>
    </row>
    <row r="2838" spans="1:6" ht="75" customHeight="1">
      <c r="A2838" t="s">
        <v>334</v>
      </c>
      <c r="B2838" t="s">
        <v>996</v>
      </c>
      <c r="C2838" t="s">
        <v>1816</v>
      </c>
      <c r="D2838" t="s">
        <v>1808</v>
      </c>
      <c r="E2838" s="4">
        <f>IF(AND(Responses!$LS$1&lt;&gt;"",ISERROR(SEARCH("response id",LOWER(Responses!$LS$1))),(COUNTIF('Open Questions'!$A$2:$A$1001,"LS")+COUNTIF('Multiple Choice Questions'!$A$2:$A$1001,"LS")+COUNTIF('Hybrid Questions'!$A$2:$A$1001,"LS")+COUNTIF('Hybrid Questions'!$D$2:$D$1001,"LS")+COUNTIF('Demographics'!$A$2:$A$1001,"LS"))=0),"Responses column LS ("""&amp;Responses!$LS$1&amp;""") has data, but no question or demographic is set up to use it — so it won't appear in your results.","")</f>
        <v>0</v>
      </c>
      <c r="F2838" s="4" t="s">
        <v>2147</v>
      </c>
    </row>
    <row r="2839" spans="1:6" ht="75" customHeight="1">
      <c r="A2839" t="s">
        <v>334</v>
      </c>
      <c r="B2839" t="s">
        <v>998</v>
      </c>
      <c r="C2839" t="s">
        <v>1816</v>
      </c>
      <c r="D2839" t="s">
        <v>1808</v>
      </c>
      <c r="E2839" s="4">
        <f>IF(AND(Responses!$LT$1&lt;&gt;"",ISERROR(SEARCH("response id",LOWER(Responses!$LT$1))),(COUNTIF('Open Questions'!$A$2:$A$1001,"LT")+COUNTIF('Multiple Choice Questions'!$A$2:$A$1001,"LT")+COUNTIF('Hybrid Questions'!$A$2:$A$1001,"LT")+COUNTIF('Hybrid Questions'!$D$2:$D$1001,"LT")+COUNTIF('Demographics'!$A$2:$A$1001,"LT"))=0),"Responses column LT ("""&amp;Responses!$LT$1&amp;""") has data, but no question or demographic is set up to use it — so it won't appear in your results.","")</f>
        <v>0</v>
      </c>
      <c r="F2839" s="4" t="s">
        <v>2148</v>
      </c>
    </row>
    <row r="2840" spans="1:6" ht="75" customHeight="1">
      <c r="A2840" t="s">
        <v>334</v>
      </c>
      <c r="B2840" t="s">
        <v>1000</v>
      </c>
      <c r="C2840" t="s">
        <v>1816</v>
      </c>
      <c r="D2840" t="s">
        <v>1808</v>
      </c>
      <c r="E2840" s="4">
        <f>IF(AND(Responses!$LU$1&lt;&gt;"",ISERROR(SEARCH("response id",LOWER(Responses!$LU$1))),(COUNTIF('Open Questions'!$A$2:$A$1001,"LU")+COUNTIF('Multiple Choice Questions'!$A$2:$A$1001,"LU")+COUNTIF('Hybrid Questions'!$A$2:$A$1001,"LU")+COUNTIF('Hybrid Questions'!$D$2:$D$1001,"LU")+COUNTIF('Demographics'!$A$2:$A$1001,"LU"))=0),"Responses column LU ("""&amp;Responses!$LU$1&amp;""") has data, but no question or demographic is set up to use it — so it won't appear in your results.","")</f>
        <v>0</v>
      </c>
      <c r="F2840" s="4" t="s">
        <v>2149</v>
      </c>
    </row>
    <row r="2841" spans="1:6" ht="75" customHeight="1">
      <c r="A2841" t="s">
        <v>334</v>
      </c>
      <c r="B2841" t="s">
        <v>1002</v>
      </c>
      <c r="C2841" t="s">
        <v>1816</v>
      </c>
      <c r="D2841" t="s">
        <v>1808</v>
      </c>
      <c r="E2841" s="4">
        <f>IF(AND(Responses!$LV$1&lt;&gt;"",ISERROR(SEARCH("response id",LOWER(Responses!$LV$1))),(COUNTIF('Open Questions'!$A$2:$A$1001,"LV")+COUNTIF('Multiple Choice Questions'!$A$2:$A$1001,"LV")+COUNTIF('Hybrid Questions'!$A$2:$A$1001,"LV")+COUNTIF('Hybrid Questions'!$D$2:$D$1001,"LV")+COUNTIF('Demographics'!$A$2:$A$1001,"LV"))=0),"Responses column LV ("""&amp;Responses!$LV$1&amp;""") has data, but no question or demographic is set up to use it — so it won't appear in your results.","")</f>
        <v>0</v>
      </c>
      <c r="F2841" s="4" t="s">
        <v>2150</v>
      </c>
    </row>
    <row r="2842" spans="1:6" ht="75" customHeight="1">
      <c r="A2842" t="s">
        <v>334</v>
      </c>
      <c r="B2842" t="s">
        <v>1004</v>
      </c>
      <c r="C2842" t="s">
        <v>1816</v>
      </c>
      <c r="D2842" t="s">
        <v>1808</v>
      </c>
      <c r="E2842" s="4">
        <f>IF(AND(Responses!$LW$1&lt;&gt;"",ISERROR(SEARCH("response id",LOWER(Responses!$LW$1))),(COUNTIF('Open Questions'!$A$2:$A$1001,"LW")+COUNTIF('Multiple Choice Questions'!$A$2:$A$1001,"LW")+COUNTIF('Hybrid Questions'!$A$2:$A$1001,"LW")+COUNTIF('Hybrid Questions'!$D$2:$D$1001,"LW")+COUNTIF('Demographics'!$A$2:$A$1001,"LW"))=0),"Responses column LW ("""&amp;Responses!$LW$1&amp;""") has data, but no question or demographic is set up to use it — so it won't appear in your results.","")</f>
        <v>0</v>
      </c>
      <c r="F2842" s="4" t="s">
        <v>2151</v>
      </c>
    </row>
    <row r="2843" spans="1:6" ht="75" customHeight="1">
      <c r="A2843" t="s">
        <v>334</v>
      </c>
      <c r="B2843" t="s">
        <v>1006</v>
      </c>
      <c r="C2843" t="s">
        <v>1816</v>
      </c>
      <c r="D2843" t="s">
        <v>1808</v>
      </c>
      <c r="E2843" s="4">
        <f>IF(AND(Responses!$LX$1&lt;&gt;"",ISERROR(SEARCH("response id",LOWER(Responses!$LX$1))),(COUNTIF('Open Questions'!$A$2:$A$1001,"LX")+COUNTIF('Multiple Choice Questions'!$A$2:$A$1001,"LX")+COUNTIF('Hybrid Questions'!$A$2:$A$1001,"LX")+COUNTIF('Hybrid Questions'!$D$2:$D$1001,"LX")+COUNTIF('Demographics'!$A$2:$A$1001,"LX"))=0),"Responses column LX ("""&amp;Responses!$LX$1&amp;""") has data, but no question or demographic is set up to use it — so it won't appear in your results.","")</f>
        <v>0</v>
      </c>
      <c r="F2843" s="4" t="s">
        <v>2152</v>
      </c>
    </row>
    <row r="2844" spans="1:6" ht="75" customHeight="1">
      <c r="A2844" t="s">
        <v>334</v>
      </c>
      <c r="B2844" t="s">
        <v>1008</v>
      </c>
      <c r="C2844" t="s">
        <v>1816</v>
      </c>
      <c r="D2844" t="s">
        <v>1808</v>
      </c>
      <c r="E2844" s="4">
        <f>IF(AND(Responses!$LY$1&lt;&gt;"",ISERROR(SEARCH("response id",LOWER(Responses!$LY$1))),(COUNTIF('Open Questions'!$A$2:$A$1001,"LY")+COUNTIF('Multiple Choice Questions'!$A$2:$A$1001,"LY")+COUNTIF('Hybrid Questions'!$A$2:$A$1001,"LY")+COUNTIF('Hybrid Questions'!$D$2:$D$1001,"LY")+COUNTIF('Demographics'!$A$2:$A$1001,"LY"))=0),"Responses column LY ("""&amp;Responses!$LY$1&amp;""") has data, but no question or demographic is set up to use it — so it won't appear in your results.","")</f>
        <v>0</v>
      </c>
      <c r="F2844" s="4" t="s">
        <v>2153</v>
      </c>
    </row>
    <row r="2845" spans="1:6" ht="75" customHeight="1">
      <c r="A2845" t="s">
        <v>334</v>
      </c>
      <c r="B2845" t="s">
        <v>1010</v>
      </c>
      <c r="C2845" t="s">
        <v>1816</v>
      </c>
      <c r="D2845" t="s">
        <v>1808</v>
      </c>
      <c r="E2845" s="4">
        <f>IF(AND(Responses!$LZ$1&lt;&gt;"",ISERROR(SEARCH("response id",LOWER(Responses!$LZ$1))),(COUNTIF('Open Questions'!$A$2:$A$1001,"LZ")+COUNTIF('Multiple Choice Questions'!$A$2:$A$1001,"LZ")+COUNTIF('Hybrid Questions'!$A$2:$A$1001,"LZ")+COUNTIF('Hybrid Questions'!$D$2:$D$1001,"LZ")+COUNTIF('Demographics'!$A$2:$A$1001,"LZ"))=0),"Responses column LZ ("""&amp;Responses!$LZ$1&amp;""") has data, but no question or demographic is set up to use it — so it won't appear in your results.","")</f>
        <v>0</v>
      </c>
      <c r="F2845" s="4" t="s">
        <v>2154</v>
      </c>
    </row>
    <row r="2846" spans="1:6" ht="75" customHeight="1">
      <c r="A2846" t="s">
        <v>334</v>
      </c>
      <c r="B2846" t="s">
        <v>1012</v>
      </c>
      <c r="C2846" t="s">
        <v>1816</v>
      </c>
      <c r="D2846" t="s">
        <v>1808</v>
      </c>
      <c r="E2846" s="4">
        <f>IF(AND(Responses!$MA$1&lt;&gt;"",ISERROR(SEARCH("response id",LOWER(Responses!$MA$1))),(COUNTIF('Open Questions'!$A$2:$A$1001,"MA")+COUNTIF('Multiple Choice Questions'!$A$2:$A$1001,"MA")+COUNTIF('Hybrid Questions'!$A$2:$A$1001,"MA")+COUNTIF('Hybrid Questions'!$D$2:$D$1001,"MA")+COUNTIF('Demographics'!$A$2:$A$1001,"MA"))=0),"Responses column MA ("""&amp;Responses!$MA$1&amp;""") has data, but no question or demographic is set up to use it — so it won't appear in your results.","")</f>
        <v>0</v>
      </c>
      <c r="F2846" s="4" t="s">
        <v>2155</v>
      </c>
    </row>
    <row r="2847" spans="1:6" ht="75" customHeight="1">
      <c r="A2847" t="s">
        <v>334</v>
      </c>
      <c r="B2847" t="s">
        <v>1014</v>
      </c>
      <c r="C2847" t="s">
        <v>1816</v>
      </c>
      <c r="D2847" t="s">
        <v>1808</v>
      </c>
      <c r="E2847" s="4">
        <f>IF(AND(Responses!$MB$1&lt;&gt;"",ISERROR(SEARCH("response id",LOWER(Responses!$MB$1))),(COUNTIF('Open Questions'!$A$2:$A$1001,"MB")+COUNTIF('Multiple Choice Questions'!$A$2:$A$1001,"MB")+COUNTIF('Hybrid Questions'!$A$2:$A$1001,"MB")+COUNTIF('Hybrid Questions'!$D$2:$D$1001,"MB")+COUNTIF('Demographics'!$A$2:$A$1001,"MB"))=0),"Responses column MB ("""&amp;Responses!$MB$1&amp;""") has data, but no question or demographic is set up to use it — so it won't appear in your results.","")</f>
        <v>0</v>
      </c>
      <c r="F2847" s="4" t="s">
        <v>2156</v>
      </c>
    </row>
    <row r="2848" spans="1:6" ht="75" customHeight="1">
      <c r="A2848" t="s">
        <v>334</v>
      </c>
      <c r="B2848" t="s">
        <v>1016</v>
      </c>
      <c r="C2848" t="s">
        <v>1816</v>
      </c>
      <c r="D2848" t="s">
        <v>1808</v>
      </c>
      <c r="E2848" s="4">
        <f>IF(AND(Responses!$MC$1&lt;&gt;"",ISERROR(SEARCH("response id",LOWER(Responses!$MC$1))),(COUNTIF('Open Questions'!$A$2:$A$1001,"MC")+COUNTIF('Multiple Choice Questions'!$A$2:$A$1001,"MC")+COUNTIF('Hybrid Questions'!$A$2:$A$1001,"MC")+COUNTIF('Hybrid Questions'!$D$2:$D$1001,"MC")+COUNTIF('Demographics'!$A$2:$A$1001,"MC"))=0),"Responses column MC ("""&amp;Responses!$MC$1&amp;""") has data, but no question or demographic is set up to use it — so it won't appear in your results.","")</f>
        <v>0</v>
      </c>
      <c r="F2848" s="4" t="s">
        <v>2157</v>
      </c>
    </row>
    <row r="2849" spans="1:6" ht="75" customHeight="1">
      <c r="A2849" t="s">
        <v>334</v>
      </c>
      <c r="B2849" t="s">
        <v>1018</v>
      </c>
      <c r="C2849" t="s">
        <v>1816</v>
      </c>
      <c r="D2849" t="s">
        <v>1808</v>
      </c>
      <c r="E2849" s="4">
        <f>IF(AND(Responses!$MD$1&lt;&gt;"",ISERROR(SEARCH("response id",LOWER(Responses!$MD$1))),(COUNTIF('Open Questions'!$A$2:$A$1001,"MD")+COUNTIF('Multiple Choice Questions'!$A$2:$A$1001,"MD")+COUNTIF('Hybrid Questions'!$A$2:$A$1001,"MD")+COUNTIF('Hybrid Questions'!$D$2:$D$1001,"MD")+COUNTIF('Demographics'!$A$2:$A$1001,"MD"))=0),"Responses column MD ("""&amp;Responses!$MD$1&amp;""") has data, but no question or demographic is set up to use it — so it won't appear in your results.","")</f>
        <v>0</v>
      </c>
      <c r="F2849" s="4" t="s">
        <v>2158</v>
      </c>
    </row>
    <row r="2850" spans="1:6" ht="75" customHeight="1">
      <c r="A2850" t="s">
        <v>334</v>
      </c>
      <c r="B2850" t="s">
        <v>1020</v>
      </c>
      <c r="C2850" t="s">
        <v>1816</v>
      </c>
      <c r="D2850" t="s">
        <v>1808</v>
      </c>
      <c r="E2850" s="4">
        <f>IF(AND(Responses!$ME$1&lt;&gt;"",ISERROR(SEARCH("response id",LOWER(Responses!$ME$1))),(COUNTIF('Open Questions'!$A$2:$A$1001,"ME")+COUNTIF('Multiple Choice Questions'!$A$2:$A$1001,"ME")+COUNTIF('Hybrid Questions'!$A$2:$A$1001,"ME")+COUNTIF('Hybrid Questions'!$D$2:$D$1001,"ME")+COUNTIF('Demographics'!$A$2:$A$1001,"ME"))=0),"Responses column ME ("""&amp;Responses!$ME$1&amp;""") has data, but no question or demographic is set up to use it — so it won't appear in your results.","")</f>
        <v>0</v>
      </c>
      <c r="F2850" s="4" t="s">
        <v>2159</v>
      </c>
    </row>
    <row r="2851" spans="1:6" ht="75" customHeight="1">
      <c r="A2851" t="s">
        <v>334</v>
      </c>
      <c r="B2851" t="s">
        <v>1022</v>
      </c>
      <c r="C2851" t="s">
        <v>1816</v>
      </c>
      <c r="D2851" t="s">
        <v>1808</v>
      </c>
      <c r="E2851" s="4">
        <f>IF(AND(Responses!$MF$1&lt;&gt;"",ISERROR(SEARCH("response id",LOWER(Responses!$MF$1))),(COUNTIF('Open Questions'!$A$2:$A$1001,"MF")+COUNTIF('Multiple Choice Questions'!$A$2:$A$1001,"MF")+COUNTIF('Hybrid Questions'!$A$2:$A$1001,"MF")+COUNTIF('Hybrid Questions'!$D$2:$D$1001,"MF")+COUNTIF('Demographics'!$A$2:$A$1001,"MF"))=0),"Responses column MF ("""&amp;Responses!$MF$1&amp;""") has data, but no question or demographic is set up to use it — so it won't appear in your results.","")</f>
        <v>0</v>
      </c>
      <c r="F2851" s="4" t="s">
        <v>2160</v>
      </c>
    </row>
    <row r="2852" spans="1:6" ht="75" customHeight="1">
      <c r="A2852" t="s">
        <v>334</v>
      </c>
      <c r="B2852" t="s">
        <v>1024</v>
      </c>
      <c r="C2852" t="s">
        <v>1816</v>
      </c>
      <c r="D2852" t="s">
        <v>1808</v>
      </c>
      <c r="E2852" s="4">
        <f>IF(AND(Responses!$MG$1&lt;&gt;"",ISERROR(SEARCH("response id",LOWER(Responses!$MG$1))),(COUNTIF('Open Questions'!$A$2:$A$1001,"MG")+COUNTIF('Multiple Choice Questions'!$A$2:$A$1001,"MG")+COUNTIF('Hybrid Questions'!$A$2:$A$1001,"MG")+COUNTIF('Hybrid Questions'!$D$2:$D$1001,"MG")+COUNTIF('Demographics'!$A$2:$A$1001,"MG"))=0),"Responses column MG ("""&amp;Responses!$MG$1&amp;""") has data, but no question or demographic is set up to use it — so it won't appear in your results.","")</f>
        <v>0</v>
      </c>
      <c r="F2852" s="4" t="s">
        <v>2161</v>
      </c>
    </row>
    <row r="2853" spans="1:6" ht="75" customHeight="1">
      <c r="A2853" t="s">
        <v>334</v>
      </c>
      <c r="B2853" t="s">
        <v>1026</v>
      </c>
      <c r="C2853" t="s">
        <v>1816</v>
      </c>
      <c r="D2853" t="s">
        <v>1808</v>
      </c>
      <c r="E2853" s="4">
        <f>IF(AND(Responses!$MH$1&lt;&gt;"",ISERROR(SEARCH("response id",LOWER(Responses!$MH$1))),(COUNTIF('Open Questions'!$A$2:$A$1001,"MH")+COUNTIF('Multiple Choice Questions'!$A$2:$A$1001,"MH")+COUNTIF('Hybrid Questions'!$A$2:$A$1001,"MH")+COUNTIF('Hybrid Questions'!$D$2:$D$1001,"MH")+COUNTIF('Demographics'!$A$2:$A$1001,"MH"))=0),"Responses column MH ("""&amp;Responses!$MH$1&amp;""") has data, but no question or demographic is set up to use it — so it won't appear in your results.","")</f>
        <v>0</v>
      </c>
      <c r="F2853" s="4" t="s">
        <v>2162</v>
      </c>
    </row>
    <row r="2854" spans="1:6" ht="75" customHeight="1">
      <c r="A2854" t="s">
        <v>334</v>
      </c>
      <c r="B2854" t="s">
        <v>1028</v>
      </c>
      <c r="C2854" t="s">
        <v>1816</v>
      </c>
      <c r="D2854" t="s">
        <v>1808</v>
      </c>
      <c r="E2854" s="4">
        <f>IF(AND(Responses!$MI$1&lt;&gt;"",ISERROR(SEARCH("response id",LOWER(Responses!$MI$1))),(COUNTIF('Open Questions'!$A$2:$A$1001,"MI")+COUNTIF('Multiple Choice Questions'!$A$2:$A$1001,"MI")+COUNTIF('Hybrid Questions'!$A$2:$A$1001,"MI")+COUNTIF('Hybrid Questions'!$D$2:$D$1001,"MI")+COUNTIF('Demographics'!$A$2:$A$1001,"MI"))=0),"Responses column MI ("""&amp;Responses!$MI$1&amp;""") has data, but no question or demographic is set up to use it — so it won't appear in your results.","")</f>
        <v>0</v>
      </c>
      <c r="F2854" s="4" t="s">
        <v>2163</v>
      </c>
    </row>
    <row r="2855" spans="1:6" ht="75" customHeight="1">
      <c r="A2855" t="s">
        <v>334</v>
      </c>
      <c r="B2855" t="s">
        <v>1030</v>
      </c>
      <c r="C2855" t="s">
        <v>1816</v>
      </c>
      <c r="D2855" t="s">
        <v>1808</v>
      </c>
      <c r="E2855" s="4">
        <f>IF(AND(Responses!$MJ$1&lt;&gt;"",ISERROR(SEARCH("response id",LOWER(Responses!$MJ$1))),(COUNTIF('Open Questions'!$A$2:$A$1001,"MJ")+COUNTIF('Multiple Choice Questions'!$A$2:$A$1001,"MJ")+COUNTIF('Hybrid Questions'!$A$2:$A$1001,"MJ")+COUNTIF('Hybrid Questions'!$D$2:$D$1001,"MJ")+COUNTIF('Demographics'!$A$2:$A$1001,"MJ"))=0),"Responses column MJ ("""&amp;Responses!$MJ$1&amp;""") has data, but no question or demographic is set up to use it — so it won't appear in your results.","")</f>
        <v>0</v>
      </c>
      <c r="F2855" s="4" t="s">
        <v>2164</v>
      </c>
    </row>
    <row r="2856" spans="1:6" ht="75" customHeight="1">
      <c r="A2856" t="s">
        <v>334</v>
      </c>
      <c r="B2856" t="s">
        <v>1032</v>
      </c>
      <c r="C2856" t="s">
        <v>1816</v>
      </c>
      <c r="D2856" t="s">
        <v>1808</v>
      </c>
      <c r="E2856" s="4">
        <f>IF(AND(Responses!$MK$1&lt;&gt;"",ISERROR(SEARCH("response id",LOWER(Responses!$MK$1))),(COUNTIF('Open Questions'!$A$2:$A$1001,"MK")+COUNTIF('Multiple Choice Questions'!$A$2:$A$1001,"MK")+COUNTIF('Hybrid Questions'!$A$2:$A$1001,"MK")+COUNTIF('Hybrid Questions'!$D$2:$D$1001,"MK")+COUNTIF('Demographics'!$A$2:$A$1001,"MK"))=0),"Responses column MK ("""&amp;Responses!$MK$1&amp;""") has data, but no question or demographic is set up to use it — so it won't appear in your results.","")</f>
        <v>0</v>
      </c>
      <c r="F2856" s="4" t="s">
        <v>2165</v>
      </c>
    </row>
    <row r="2857" spans="1:6" ht="75" customHeight="1">
      <c r="A2857" t="s">
        <v>334</v>
      </c>
      <c r="B2857" t="s">
        <v>1034</v>
      </c>
      <c r="C2857" t="s">
        <v>1816</v>
      </c>
      <c r="D2857" t="s">
        <v>1808</v>
      </c>
      <c r="E2857" s="4">
        <f>IF(AND(Responses!$ML$1&lt;&gt;"",ISERROR(SEARCH("response id",LOWER(Responses!$ML$1))),(COUNTIF('Open Questions'!$A$2:$A$1001,"ML")+COUNTIF('Multiple Choice Questions'!$A$2:$A$1001,"ML")+COUNTIF('Hybrid Questions'!$A$2:$A$1001,"ML")+COUNTIF('Hybrid Questions'!$D$2:$D$1001,"ML")+COUNTIF('Demographics'!$A$2:$A$1001,"ML"))=0),"Responses column ML ("""&amp;Responses!$ML$1&amp;""") has data, but no question or demographic is set up to use it — so it won't appear in your results.","")</f>
        <v>0</v>
      </c>
      <c r="F2857" s="4" t="s">
        <v>2166</v>
      </c>
    </row>
    <row r="2858" spans="1:6" ht="75" customHeight="1">
      <c r="A2858" t="s">
        <v>334</v>
      </c>
      <c r="B2858" t="s">
        <v>1036</v>
      </c>
      <c r="C2858" t="s">
        <v>1816</v>
      </c>
      <c r="D2858" t="s">
        <v>1808</v>
      </c>
      <c r="E2858" s="4">
        <f>IF(AND(Responses!$MM$1&lt;&gt;"",ISERROR(SEARCH("response id",LOWER(Responses!$MM$1))),(COUNTIF('Open Questions'!$A$2:$A$1001,"MM")+COUNTIF('Multiple Choice Questions'!$A$2:$A$1001,"MM")+COUNTIF('Hybrid Questions'!$A$2:$A$1001,"MM")+COUNTIF('Hybrid Questions'!$D$2:$D$1001,"MM")+COUNTIF('Demographics'!$A$2:$A$1001,"MM"))=0),"Responses column MM ("""&amp;Responses!$MM$1&amp;""") has data, but no question or demographic is set up to use it — so it won't appear in your results.","")</f>
        <v>0</v>
      </c>
      <c r="F2858" s="4" t="s">
        <v>2167</v>
      </c>
    </row>
    <row r="2859" spans="1:6" ht="75" customHeight="1">
      <c r="A2859" t="s">
        <v>334</v>
      </c>
      <c r="B2859" t="s">
        <v>1038</v>
      </c>
      <c r="C2859" t="s">
        <v>1816</v>
      </c>
      <c r="D2859" t="s">
        <v>1808</v>
      </c>
      <c r="E2859" s="4">
        <f>IF(AND(Responses!$MN$1&lt;&gt;"",ISERROR(SEARCH("response id",LOWER(Responses!$MN$1))),(COUNTIF('Open Questions'!$A$2:$A$1001,"MN")+COUNTIF('Multiple Choice Questions'!$A$2:$A$1001,"MN")+COUNTIF('Hybrid Questions'!$A$2:$A$1001,"MN")+COUNTIF('Hybrid Questions'!$D$2:$D$1001,"MN")+COUNTIF('Demographics'!$A$2:$A$1001,"MN"))=0),"Responses column MN ("""&amp;Responses!$MN$1&amp;""") has data, but no question or demographic is set up to use it — so it won't appear in your results.","")</f>
        <v>0</v>
      </c>
      <c r="F2859" s="4" t="s">
        <v>2168</v>
      </c>
    </row>
    <row r="2860" spans="1:6" ht="75" customHeight="1">
      <c r="A2860" t="s">
        <v>334</v>
      </c>
      <c r="B2860" t="s">
        <v>1040</v>
      </c>
      <c r="C2860" t="s">
        <v>1816</v>
      </c>
      <c r="D2860" t="s">
        <v>1808</v>
      </c>
      <c r="E2860" s="4">
        <f>IF(AND(Responses!$MO$1&lt;&gt;"",ISERROR(SEARCH("response id",LOWER(Responses!$MO$1))),(COUNTIF('Open Questions'!$A$2:$A$1001,"MO")+COUNTIF('Multiple Choice Questions'!$A$2:$A$1001,"MO")+COUNTIF('Hybrid Questions'!$A$2:$A$1001,"MO")+COUNTIF('Hybrid Questions'!$D$2:$D$1001,"MO")+COUNTIF('Demographics'!$A$2:$A$1001,"MO"))=0),"Responses column MO ("""&amp;Responses!$MO$1&amp;""") has data, but no question or demographic is set up to use it — so it won't appear in your results.","")</f>
        <v>0</v>
      </c>
      <c r="F2860" s="4" t="s">
        <v>2169</v>
      </c>
    </row>
    <row r="2861" spans="1:6" ht="75" customHeight="1">
      <c r="A2861" t="s">
        <v>334</v>
      </c>
      <c r="B2861" t="s">
        <v>1042</v>
      </c>
      <c r="C2861" t="s">
        <v>1816</v>
      </c>
      <c r="D2861" t="s">
        <v>1808</v>
      </c>
      <c r="E2861" s="4">
        <f>IF(AND(Responses!$MP$1&lt;&gt;"",ISERROR(SEARCH("response id",LOWER(Responses!$MP$1))),(COUNTIF('Open Questions'!$A$2:$A$1001,"MP")+COUNTIF('Multiple Choice Questions'!$A$2:$A$1001,"MP")+COUNTIF('Hybrid Questions'!$A$2:$A$1001,"MP")+COUNTIF('Hybrid Questions'!$D$2:$D$1001,"MP")+COUNTIF('Demographics'!$A$2:$A$1001,"MP"))=0),"Responses column MP ("""&amp;Responses!$MP$1&amp;""") has data, but no question or demographic is set up to use it — so it won't appear in your results.","")</f>
        <v>0</v>
      </c>
      <c r="F2861" s="4" t="s">
        <v>2170</v>
      </c>
    </row>
    <row r="2862" spans="1:6" ht="75" customHeight="1">
      <c r="A2862" t="s">
        <v>334</v>
      </c>
      <c r="B2862" t="s">
        <v>1044</v>
      </c>
      <c r="C2862" t="s">
        <v>1816</v>
      </c>
      <c r="D2862" t="s">
        <v>1808</v>
      </c>
      <c r="E2862" s="4">
        <f>IF(AND(Responses!$MQ$1&lt;&gt;"",ISERROR(SEARCH("response id",LOWER(Responses!$MQ$1))),(COUNTIF('Open Questions'!$A$2:$A$1001,"MQ")+COUNTIF('Multiple Choice Questions'!$A$2:$A$1001,"MQ")+COUNTIF('Hybrid Questions'!$A$2:$A$1001,"MQ")+COUNTIF('Hybrid Questions'!$D$2:$D$1001,"MQ")+COUNTIF('Demographics'!$A$2:$A$1001,"MQ"))=0),"Responses column MQ ("""&amp;Responses!$MQ$1&amp;""") has data, but no question or demographic is set up to use it — so it won't appear in your results.","")</f>
        <v>0</v>
      </c>
      <c r="F2862" s="4" t="s">
        <v>2171</v>
      </c>
    </row>
    <row r="2863" spans="1:6" ht="75" customHeight="1">
      <c r="A2863" t="s">
        <v>334</v>
      </c>
      <c r="B2863" t="s">
        <v>1046</v>
      </c>
      <c r="C2863" t="s">
        <v>1816</v>
      </c>
      <c r="D2863" t="s">
        <v>1808</v>
      </c>
      <c r="E2863" s="4">
        <f>IF(AND(Responses!$MR$1&lt;&gt;"",ISERROR(SEARCH("response id",LOWER(Responses!$MR$1))),(COUNTIF('Open Questions'!$A$2:$A$1001,"MR")+COUNTIF('Multiple Choice Questions'!$A$2:$A$1001,"MR")+COUNTIF('Hybrid Questions'!$A$2:$A$1001,"MR")+COUNTIF('Hybrid Questions'!$D$2:$D$1001,"MR")+COUNTIF('Demographics'!$A$2:$A$1001,"MR"))=0),"Responses column MR ("""&amp;Responses!$MR$1&amp;""") has data, but no question or demographic is set up to use it — so it won't appear in your results.","")</f>
        <v>0</v>
      </c>
      <c r="F2863" s="4" t="s">
        <v>2172</v>
      </c>
    </row>
    <row r="2864" spans="1:6" ht="75" customHeight="1">
      <c r="A2864" t="s">
        <v>334</v>
      </c>
      <c r="B2864" t="s">
        <v>1048</v>
      </c>
      <c r="C2864" t="s">
        <v>1816</v>
      </c>
      <c r="D2864" t="s">
        <v>1808</v>
      </c>
      <c r="E2864" s="4">
        <f>IF(AND(Responses!$MS$1&lt;&gt;"",ISERROR(SEARCH("response id",LOWER(Responses!$MS$1))),(COUNTIF('Open Questions'!$A$2:$A$1001,"MS")+COUNTIF('Multiple Choice Questions'!$A$2:$A$1001,"MS")+COUNTIF('Hybrid Questions'!$A$2:$A$1001,"MS")+COUNTIF('Hybrid Questions'!$D$2:$D$1001,"MS")+COUNTIF('Demographics'!$A$2:$A$1001,"MS"))=0),"Responses column MS ("""&amp;Responses!$MS$1&amp;""") has data, but no question or demographic is set up to use it — so it won't appear in your results.","")</f>
        <v>0</v>
      </c>
      <c r="F2864" s="4" t="s">
        <v>2173</v>
      </c>
    </row>
    <row r="2865" spans="1:6" ht="75" customHeight="1">
      <c r="A2865" t="s">
        <v>334</v>
      </c>
      <c r="B2865" t="s">
        <v>1050</v>
      </c>
      <c r="C2865" t="s">
        <v>1816</v>
      </c>
      <c r="D2865" t="s">
        <v>1808</v>
      </c>
      <c r="E2865" s="4">
        <f>IF(AND(Responses!$MT$1&lt;&gt;"",ISERROR(SEARCH("response id",LOWER(Responses!$MT$1))),(COUNTIF('Open Questions'!$A$2:$A$1001,"MT")+COUNTIF('Multiple Choice Questions'!$A$2:$A$1001,"MT")+COUNTIF('Hybrid Questions'!$A$2:$A$1001,"MT")+COUNTIF('Hybrid Questions'!$D$2:$D$1001,"MT")+COUNTIF('Demographics'!$A$2:$A$1001,"MT"))=0),"Responses column MT ("""&amp;Responses!$MT$1&amp;""") has data, but no question or demographic is set up to use it — so it won't appear in your results.","")</f>
        <v>0</v>
      </c>
      <c r="F2865" s="4" t="s">
        <v>2174</v>
      </c>
    </row>
    <row r="2866" spans="1:6" ht="75" customHeight="1">
      <c r="A2866" t="s">
        <v>334</v>
      </c>
      <c r="B2866" t="s">
        <v>1052</v>
      </c>
      <c r="C2866" t="s">
        <v>1816</v>
      </c>
      <c r="D2866" t="s">
        <v>1808</v>
      </c>
      <c r="E2866" s="4">
        <f>IF(AND(Responses!$MU$1&lt;&gt;"",ISERROR(SEARCH("response id",LOWER(Responses!$MU$1))),(COUNTIF('Open Questions'!$A$2:$A$1001,"MU")+COUNTIF('Multiple Choice Questions'!$A$2:$A$1001,"MU")+COUNTIF('Hybrid Questions'!$A$2:$A$1001,"MU")+COUNTIF('Hybrid Questions'!$D$2:$D$1001,"MU")+COUNTIF('Demographics'!$A$2:$A$1001,"MU"))=0),"Responses column MU ("""&amp;Responses!$MU$1&amp;""") has data, but no question or demographic is set up to use it — so it won't appear in your results.","")</f>
        <v>0</v>
      </c>
      <c r="F2866" s="4" t="s">
        <v>2175</v>
      </c>
    </row>
    <row r="2867" spans="1:6" ht="75" customHeight="1">
      <c r="A2867" t="s">
        <v>334</v>
      </c>
      <c r="B2867" t="s">
        <v>1054</v>
      </c>
      <c r="C2867" t="s">
        <v>1816</v>
      </c>
      <c r="D2867" t="s">
        <v>1808</v>
      </c>
      <c r="E2867" s="4">
        <f>IF(AND(Responses!$MV$1&lt;&gt;"",ISERROR(SEARCH("response id",LOWER(Responses!$MV$1))),(COUNTIF('Open Questions'!$A$2:$A$1001,"MV")+COUNTIF('Multiple Choice Questions'!$A$2:$A$1001,"MV")+COUNTIF('Hybrid Questions'!$A$2:$A$1001,"MV")+COUNTIF('Hybrid Questions'!$D$2:$D$1001,"MV")+COUNTIF('Demographics'!$A$2:$A$1001,"MV"))=0),"Responses column MV ("""&amp;Responses!$MV$1&amp;""") has data, but no question or demographic is set up to use it — so it won't appear in your results.","")</f>
        <v>0</v>
      </c>
      <c r="F2867" s="4" t="s">
        <v>2176</v>
      </c>
    </row>
    <row r="2868" spans="1:6" ht="75" customHeight="1">
      <c r="A2868" t="s">
        <v>334</v>
      </c>
      <c r="B2868" t="s">
        <v>1056</v>
      </c>
      <c r="C2868" t="s">
        <v>1816</v>
      </c>
      <c r="D2868" t="s">
        <v>1808</v>
      </c>
      <c r="E2868" s="4">
        <f>IF(AND(Responses!$MW$1&lt;&gt;"",ISERROR(SEARCH("response id",LOWER(Responses!$MW$1))),(COUNTIF('Open Questions'!$A$2:$A$1001,"MW")+COUNTIF('Multiple Choice Questions'!$A$2:$A$1001,"MW")+COUNTIF('Hybrid Questions'!$A$2:$A$1001,"MW")+COUNTIF('Hybrid Questions'!$D$2:$D$1001,"MW")+COUNTIF('Demographics'!$A$2:$A$1001,"MW"))=0),"Responses column MW ("""&amp;Responses!$MW$1&amp;""") has data, but no question or demographic is set up to use it — so it won't appear in your results.","")</f>
        <v>0</v>
      </c>
      <c r="F2868" s="4" t="s">
        <v>2177</v>
      </c>
    </row>
    <row r="2869" spans="1:6" ht="75" customHeight="1">
      <c r="A2869" t="s">
        <v>334</v>
      </c>
      <c r="B2869" t="s">
        <v>1058</v>
      </c>
      <c r="C2869" t="s">
        <v>1816</v>
      </c>
      <c r="D2869" t="s">
        <v>1808</v>
      </c>
      <c r="E2869" s="4">
        <f>IF(AND(Responses!$MX$1&lt;&gt;"",ISERROR(SEARCH("response id",LOWER(Responses!$MX$1))),(COUNTIF('Open Questions'!$A$2:$A$1001,"MX")+COUNTIF('Multiple Choice Questions'!$A$2:$A$1001,"MX")+COUNTIF('Hybrid Questions'!$A$2:$A$1001,"MX")+COUNTIF('Hybrid Questions'!$D$2:$D$1001,"MX")+COUNTIF('Demographics'!$A$2:$A$1001,"MX"))=0),"Responses column MX ("""&amp;Responses!$MX$1&amp;""") has data, but no question or demographic is set up to use it — so it won't appear in your results.","")</f>
        <v>0</v>
      </c>
      <c r="F2869" s="4" t="s">
        <v>2178</v>
      </c>
    </row>
    <row r="2870" spans="1:6" ht="75" customHeight="1">
      <c r="A2870" t="s">
        <v>334</v>
      </c>
      <c r="B2870" t="s">
        <v>1060</v>
      </c>
      <c r="C2870" t="s">
        <v>1816</v>
      </c>
      <c r="D2870" t="s">
        <v>1808</v>
      </c>
      <c r="E2870" s="4">
        <f>IF(AND(Responses!$MY$1&lt;&gt;"",ISERROR(SEARCH("response id",LOWER(Responses!$MY$1))),(COUNTIF('Open Questions'!$A$2:$A$1001,"MY")+COUNTIF('Multiple Choice Questions'!$A$2:$A$1001,"MY")+COUNTIF('Hybrid Questions'!$A$2:$A$1001,"MY")+COUNTIF('Hybrid Questions'!$D$2:$D$1001,"MY")+COUNTIF('Demographics'!$A$2:$A$1001,"MY"))=0),"Responses column MY ("""&amp;Responses!$MY$1&amp;""") has data, but no question or demographic is set up to use it — so it won't appear in your results.","")</f>
        <v>0</v>
      </c>
      <c r="F2870" s="4" t="s">
        <v>2179</v>
      </c>
    </row>
    <row r="2871" spans="1:6" ht="75" customHeight="1">
      <c r="A2871" t="s">
        <v>334</v>
      </c>
      <c r="B2871" t="s">
        <v>1062</v>
      </c>
      <c r="C2871" t="s">
        <v>1816</v>
      </c>
      <c r="D2871" t="s">
        <v>1808</v>
      </c>
      <c r="E2871" s="4">
        <f>IF(AND(Responses!$MZ$1&lt;&gt;"",ISERROR(SEARCH("response id",LOWER(Responses!$MZ$1))),(COUNTIF('Open Questions'!$A$2:$A$1001,"MZ")+COUNTIF('Multiple Choice Questions'!$A$2:$A$1001,"MZ")+COUNTIF('Hybrid Questions'!$A$2:$A$1001,"MZ")+COUNTIF('Hybrid Questions'!$D$2:$D$1001,"MZ")+COUNTIF('Demographics'!$A$2:$A$1001,"MZ"))=0),"Responses column MZ ("""&amp;Responses!$MZ$1&amp;""") has data, but no question or demographic is set up to use it — so it won't appear in your results.","")</f>
        <v>0</v>
      </c>
      <c r="F2871" s="4" t="s">
        <v>2180</v>
      </c>
    </row>
    <row r="2872" spans="1:6" ht="75" customHeight="1">
      <c r="A2872" t="s">
        <v>334</v>
      </c>
      <c r="B2872" t="s">
        <v>1064</v>
      </c>
      <c r="C2872" t="s">
        <v>1816</v>
      </c>
      <c r="D2872" t="s">
        <v>1808</v>
      </c>
      <c r="E2872" s="4">
        <f>IF(AND(Responses!$NA$1&lt;&gt;"",ISERROR(SEARCH("response id",LOWER(Responses!$NA$1))),(COUNTIF('Open Questions'!$A$2:$A$1001,"NA")+COUNTIF('Multiple Choice Questions'!$A$2:$A$1001,"NA")+COUNTIF('Hybrid Questions'!$A$2:$A$1001,"NA")+COUNTIF('Hybrid Questions'!$D$2:$D$1001,"NA")+COUNTIF('Demographics'!$A$2:$A$1001,"NA"))=0),"Responses column NA ("""&amp;Responses!$NA$1&amp;""") has data, but no question or demographic is set up to use it — so it won't appear in your results.","")</f>
        <v>0</v>
      </c>
      <c r="F2872" s="4" t="s">
        <v>2181</v>
      </c>
    </row>
    <row r="2873" spans="1:6" ht="75" customHeight="1">
      <c r="A2873" t="s">
        <v>334</v>
      </c>
      <c r="B2873" t="s">
        <v>1066</v>
      </c>
      <c r="C2873" t="s">
        <v>1816</v>
      </c>
      <c r="D2873" t="s">
        <v>1808</v>
      </c>
      <c r="E2873" s="4">
        <f>IF(AND(Responses!$NB$1&lt;&gt;"",ISERROR(SEARCH("response id",LOWER(Responses!$NB$1))),(COUNTIF('Open Questions'!$A$2:$A$1001,"NB")+COUNTIF('Multiple Choice Questions'!$A$2:$A$1001,"NB")+COUNTIF('Hybrid Questions'!$A$2:$A$1001,"NB")+COUNTIF('Hybrid Questions'!$D$2:$D$1001,"NB")+COUNTIF('Demographics'!$A$2:$A$1001,"NB"))=0),"Responses column NB ("""&amp;Responses!$NB$1&amp;""") has data, but no question or demographic is set up to use it — so it won't appear in your results.","")</f>
        <v>0</v>
      </c>
      <c r="F2873" s="4" t="s">
        <v>2182</v>
      </c>
    </row>
    <row r="2874" spans="1:6" ht="75" customHeight="1">
      <c r="A2874" t="s">
        <v>334</v>
      </c>
      <c r="B2874" t="s">
        <v>1068</v>
      </c>
      <c r="C2874" t="s">
        <v>1816</v>
      </c>
      <c r="D2874" t="s">
        <v>1808</v>
      </c>
      <c r="E2874" s="4">
        <f>IF(AND(Responses!$NC$1&lt;&gt;"",ISERROR(SEARCH("response id",LOWER(Responses!$NC$1))),(COUNTIF('Open Questions'!$A$2:$A$1001,"NC")+COUNTIF('Multiple Choice Questions'!$A$2:$A$1001,"NC")+COUNTIF('Hybrid Questions'!$A$2:$A$1001,"NC")+COUNTIF('Hybrid Questions'!$D$2:$D$1001,"NC")+COUNTIF('Demographics'!$A$2:$A$1001,"NC"))=0),"Responses column NC ("""&amp;Responses!$NC$1&amp;""") has data, but no question or demographic is set up to use it — so it won't appear in your results.","")</f>
        <v>0</v>
      </c>
      <c r="F2874" s="4" t="s">
        <v>2183</v>
      </c>
    </row>
    <row r="2875" spans="1:6" ht="75" customHeight="1">
      <c r="A2875" t="s">
        <v>334</v>
      </c>
      <c r="B2875" t="s">
        <v>1070</v>
      </c>
      <c r="C2875" t="s">
        <v>1816</v>
      </c>
      <c r="D2875" t="s">
        <v>1808</v>
      </c>
      <c r="E2875" s="4">
        <f>IF(AND(Responses!$ND$1&lt;&gt;"",ISERROR(SEARCH("response id",LOWER(Responses!$ND$1))),(COUNTIF('Open Questions'!$A$2:$A$1001,"ND")+COUNTIF('Multiple Choice Questions'!$A$2:$A$1001,"ND")+COUNTIF('Hybrid Questions'!$A$2:$A$1001,"ND")+COUNTIF('Hybrid Questions'!$D$2:$D$1001,"ND")+COUNTIF('Demographics'!$A$2:$A$1001,"ND"))=0),"Responses column ND ("""&amp;Responses!$ND$1&amp;""") has data, but no question or demographic is set up to use it — so it won't appear in your results.","")</f>
        <v>0</v>
      </c>
      <c r="F2875" s="4" t="s">
        <v>2184</v>
      </c>
    </row>
    <row r="2876" spans="1:6" ht="75" customHeight="1">
      <c r="A2876" t="s">
        <v>334</v>
      </c>
      <c r="B2876" t="s">
        <v>1072</v>
      </c>
      <c r="C2876" t="s">
        <v>1816</v>
      </c>
      <c r="D2876" t="s">
        <v>1808</v>
      </c>
      <c r="E2876" s="4">
        <f>IF(AND(Responses!$NE$1&lt;&gt;"",ISERROR(SEARCH("response id",LOWER(Responses!$NE$1))),(COUNTIF('Open Questions'!$A$2:$A$1001,"NE")+COUNTIF('Multiple Choice Questions'!$A$2:$A$1001,"NE")+COUNTIF('Hybrid Questions'!$A$2:$A$1001,"NE")+COUNTIF('Hybrid Questions'!$D$2:$D$1001,"NE")+COUNTIF('Demographics'!$A$2:$A$1001,"NE"))=0),"Responses column NE ("""&amp;Responses!$NE$1&amp;""") has data, but no question or demographic is set up to use it — so it won't appear in your results.","")</f>
        <v>0</v>
      </c>
      <c r="F2876" s="4" t="s">
        <v>2185</v>
      </c>
    </row>
    <row r="2877" spans="1:6" ht="75" customHeight="1">
      <c r="A2877" t="s">
        <v>334</v>
      </c>
      <c r="B2877" t="s">
        <v>1074</v>
      </c>
      <c r="C2877" t="s">
        <v>1816</v>
      </c>
      <c r="D2877" t="s">
        <v>1808</v>
      </c>
      <c r="E2877" s="4">
        <f>IF(AND(Responses!$NF$1&lt;&gt;"",ISERROR(SEARCH("response id",LOWER(Responses!$NF$1))),(COUNTIF('Open Questions'!$A$2:$A$1001,"NF")+COUNTIF('Multiple Choice Questions'!$A$2:$A$1001,"NF")+COUNTIF('Hybrid Questions'!$A$2:$A$1001,"NF")+COUNTIF('Hybrid Questions'!$D$2:$D$1001,"NF")+COUNTIF('Demographics'!$A$2:$A$1001,"NF"))=0),"Responses column NF ("""&amp;Responses!$NF$1&amp;""") has data, but no question or demographic is set up to use it — so it won't appear in your results.","")</f>
        <v>0</v>
      </c>
      <c r="F2877" s="4" t="s">
        <v>2186</v>
      </c>
    </row>
    <row r="2878" spans="1:6" ht="75" customHeight="1">
      <c r="A2878" t="s">
        <v>334</v>
      </c>
      <c r="B2878" t="s">
        <v>1076</v>
      </c>
      <c r="C2878" t="s">
        <v>1816</v>
      </c>
      <c r="D2878" t="s">
        <v>1808</v>
      </c>
      <c r="E2878" s="4">
        <f>IF(AND(Responses!$NG$1&lt;&gt;"",ISERROR(SEARCH("response id",LOWER(Responses!$NG$1))),(COUNTIF('Open Questions'!$A$2:$A$1001,"NG")+COUNTIF('Multiple Choice Questions'!$A$2:$A$1001,"NG")+COUNTIF('Hybrid Questions'!$A$2:$A$1001,"NG")+COUNTIF('Hybrid Questions'!$D$2:$D$1001,"NG")+COUNTIF('Demographics'!$A$2:$A$1001,"NG"))=0),"Responses column NG ("""&amp;Responses!$NG$1&amp;""") has data, but no question or demographic is set up to use it — so it won't appear in your results.","")</f>
        <v>0</v>
      </c>
      <c r="F2878" s="4" t="s">
        <v>2187</v>
      </c>
    </row>
    <row r="2879" spans="1:6" ht="75" customHeight="1">
      <c r="A2879" t="s">
        <v>334</v>
      </c>
      <c r="B2879" t="s">
        <v>1078</v>
      </c>
      <c r="C2879" t="s">
        <v>1816</v>
      </c>
      <c r="D2879" t="s">
        <v>1808</v>
      </c>
      <c r="E2879" s="4">
        <f>IF(AND(Responses!$NH$1&lt;&gt;"",ISERROR(SEARCH("response id",LOWER(Responses!$NH$1))),(COUNTIF('Open Questions'!$A$2:$A$1001,"NH")+COUNTIF('Multiple Choice Questions'!$A$2:$A$1001,"NH")+COUNTIF('Hybrid Questions'!$A$2:$A$1001,"NH")+COUNTIF('Hybrid Questions'!$D$2:$D$1001,"NH")+COUNTIF('Demographics'!$A$2:$A$1001,"NH"))=0),"Responses column NH ("""&amp;Responses!$NH$1&amp;""") has data, but no question or demographic is set up to use it — so it won't appear in your results.","")</f>
        <v>0</v>
      </c>
      <c r="F2879" s="4" t="s">
        <v>2188</v>
      </c>
    </row>
    <row r="2880" spans="1:6" ht="75" customHeight="1">
      <c r="A2880" t="s">
        <v>334</v>
      </c>
      <c r="B2880" t="s">
        <v>1080</v>
      </c>
      <c r="C2880" t="s">
        <v>1816</v>
      </c>
      <c r="D2880" t="s">
        <v>1808</v>
      </c>
      <c r="E2880" s="4">
        <f>IF(AND(Responses!$NI$1&lt;&gt;"",ISERROR(SEARCH("response id",LOWER(Responses!$NI$1))),(COUNTIF('Open Questions'!$A$2:$A$1001,"NI")+COUNTIF('Multiple Choice Questions'!$A$2:$A$1001,"NI")+COUNTIF('Hybrid Questions'!$A$2:$A$1001,"NI")+COUNTIF('Hybrid Questions'!$D$2:$D$1001,"NI")+COUNTIF('Demographics'!$A$2:$A$1001,"NI"))=0),"Responses column NI ("""&amp;Responses!$NI$1&amp;""") has data, but no question or demographic is set up to use it — so it won't appear in your results.","")</f>
        <v>0</v>
      </c>
      <c r="F2880" s="4" t="s">
        <v>2189</v>
      </c>
    </row>
    <row r="2881" spans="1:6" ht="75" customHeight="1">
      <c r="A2881" t="s">
        <v>334</v>
      </c>
      <c r="B2881" t="s">
        <v>1082</v>
      </c>
      <c r="C2881" t="s">
        <v>1816</v>
      </c>
      <c r="D2881" t="s">
        <v>1808</v>
      </c>
      <c r="E2881" s="4">
        <f>IF(AND(Responses!$NJ$1&lt;&gt;"",ISERROR(SEARCH("response id",LOWER(Responses!$NJ$1))),(COUNTIF('Open Questions'!$A$2:$A$1001,"NJ")+COUNTIF('Multiple Choice Questions'!$A$2:$A$1001,"NJ")+COUNTIF('Hybrid Questions'!$A$2:$A$1001,"NJ")+COUNTIF('Hybrid Questions'!$D$2:$D$1001,"NJ")+COUNTIF('Demographics'!$A$2:$A$1001,"NJ"))=0),"Responses column NJ ("""&amp;Responses!$NJ$1&amp;""") has data, but no question or demographic is set up to use it — so it won't appear in your results.","")</f>
        <v>0</v>
      </c>
      <c r="F2881" s="4" t="s">
        <v>2190</v>
      </c>
    </row>
    <row r="2882" spans="1:6" ht="75" customHeight="1">
      <c r="A2882" t="s">
        <v>334</v>
      </c>
      <c r="B2882" t="s">
        <v>1084</v>
      </c>
      <c r="C2882" t="s">
        <v>1816</v>
      </c>
      <c r="D2882" t="s">
        <v>1808</v>
      </c>
      <c r="E2882" s="4">
        <f>IF(AND(Responses!$NK$1&lt;&gt;"",ISERROR(SEARCH("response id",LOWER(Responses!$NK$1))),(COUNTIF('Open Questions'!$A$2:$A$1001,"NK")+COUNTIF('Multiple Choice Questions'!$A$2:$A$1001,"NK")+COUNTIF('Hybrid Questions'!$A$2:$A$1001,"NK")+COUNTIF('Hybrid Questions'!$D$2:$D$1001,"NK")+COUNTIF('Demographics'!$A$2:$A$1001,"NK"))=0),"Responses column NK ("""&amp;Responses!$NK$1&amp;""") has data, but no question or demographic is set up to use it — so it won't appear in your results.","")</f>
        <v>0</v>
      </c>
      <c r="F2882" s="4" t="s">
        <v>2191</v>
      </c>
    </row>
    <row r="2883" spans="1:6" ht="75" customHeight="1">
      <c r="A2883" t="s">
        <v>334</v>
      </c>
      <c r="B2883" t="s">
        <v>1086</v>
      </c>
      <c r="C2883" t="s">
        <v>1816</v>
      </c>
      <c r="D2883" t="s">
        <v>1808</v>
      </c>
      <c r="E2883" s="4">
        <f>IF(AND(Responses!$NL$1&lt;&gt;"",ISERROR(SEARCH("response id",LOWER(Responses!$NL$1))),(COUNTIF('Open Questions'!$A$2:$A$1001,"NL")+COUNTIF('Multiple Choice Questions'!$A$2:$A$1001,"NL")+COUNTIF('Hybrid Questions'!$A$2:$A$1001,"NL")+COUNTIF('Hybrid Questions'!$D$2:$D$1001,"NL")+COUNTIF('Demographics'!$A$2:$A$1001,"NL"))=0),"Responses column NL ("""&amp;Responses!$NL$1&amp;""") has data, but no question or demographic is set up to use it — so it won't appear in your results.","")</f>
        <v>0</v>
      </c>
      <c r="F2883" s="4" t="s">
        <v>2192</v>
      </c>
    </row>
    <row r="2884" spans="1:6" ht="75" customHeight="1">
      <c r="A2884" t="s">
        <v>334</v>
      </c>
      <c r="B2884" t="s">
        <v>1088</v>
      </c>
      <c r="C2884" t="s">
        <v>1816</v>
      </c>
      <c r="D2884" t="s">
        <v>1808</v>
      </c>
      <c r="E2884" s="4">
        <f>IF(AND(Responses!$NM$1&lt;&gt;"",ISERROR(SEARCH("response id",LOWER(Responses!$NM$1))),(COUNTIF('Open Questions'!$A$2:$A$1001,"NM")+COUNTIF('Multiple Choice Questions'!$A$2:$A$1001,"NM")+COUNTIF('Hybrid Questions'!$A$2:$A$1001,"NM")+COUNTIF('Hybrid Questions'!$D$2:$D$1001,"NM")+COUNTIF('Demographics'!$A$2:$A$1001,"NM"))=0),"Responses column NM ("""&amp;Responses!$NM$1&amp;""") has data, but no question or demographic is set up to use it — so it won't appear in your results.","")</f>
        <v>0</v>
      </c>
      <c r="F2884" s="4" t="s">
        <v>2193</v>
      </c>
    </row>
    <row r="2885" spans="1:6" ht="75" customHeight="1">
      <c r="A2885" t="s">
        <v>334</v>
      </c>
      <c r="B2885" t="s">
        <v>1090</v>
      </c>
      <c r="C2885" t="s">
        <v>1816</v>
      </c>
      <c r="D2885" t="s">
        <v>1808</v>
      </c>
      <c r="E2885" s="4">
        <f>IF(AND(Responses!$NN$1&lt;&gt;"",ISERROR(SEARCH("response id",LOWER(Responses!$NN$1))),(COUNTIF('Open Questions'!$A$2:$A$1001,"NN")+COUNTIF('Multiple Choice Questions'!$A$2:$A$1001,"NN")+COUNTIF('Hybrid Questions'!$A$2:$A$1001,"NN")+COUNTIF('Hybrid Questions'!$D$2:$D$1001,"NN")+COUNTIF('Demographics'!$A$2:$A$1001,"NN"))=0),"Responses column NN ("""&amp;Responses!$NN$1&amp;""") has data, but no question or demographic is set up to use it — so it won't appear in your results.","")</f>
        <v>0</v>
      </c>
      <c r="F2885" s="4" t="s">
        <v>2194</v>
      </c>
    </row>
    <row r="2886" spans="1:6" ht="75" customHeight="1">
      <c r="A2886" t="s">
        <v>334</v>
      </c>
      <c r="B2886" t="s">
        <v>1092</v>
      </c>
      <c r="C2886" t="s">
        <v>1816</v>
      </c>
      <c r="D2886" t="s">
        <v>1808</v>
      </c>
      <c r="E2886" s="4">
        <f>IF(AND(Responses!$NO$1&lt;&gt;"",ISERROR(SEARCH("response id",LOWER(Responses!$NO$1))),(COUNTIF('Open Questions'!$A$2:$A$1001,"NO")+COUNTIF('Multiple Choice Questions'!$A$2:$A$1001,"NO")+COUNTIF('Hybrid Questions'!$A$2:$A$1001,"NO")+COUNTIF('Hybrid Questions'!$D$2:$D$1001,"NO")+COUNTIF('Demographics'!$A$2:$A$1001,"NO"))=0),"Responses column NO ("""&amp;Responses!$NO$1&amp;""") has data, but no question or demographic is set up to use it — so it won't appear in your results.","")</f>
        <v>0</v>
      </c>
      <c r="F2886" s="4" t="s">
        <v>2195</v>
      </c>
    </row>
    <row r="2887" spans="1:6" ht="75" customHeight="1">
      <c r="A2887" t="s">
        <v>334</v>
      </c>
      <c r="B2887" t="s">
        <v>1094</v>
      </c>
      <c r="C2887" t="s">
        <v>1816</v>
      </c>
      <c r="D2887" t="s">
        <v>1808</v>
      </c>
      <c r="E2887" s="4">
        <f>IF(AND(Responses!$NP$1&lt;&gt;"",ISERROR(SEARCH("response id",LOWER(Responses!$NP$1))),(COUNTIF('Open Questions'!$A$2:$A$1001,"NP")+COUNTIF('Multiple Choice Questions'!$A$2:$A$1001,"NP")+COUNTIF('Hybrid Questions'!$A$2:$A$1001,"NP")+COUNTIF('Hybrid Questions'!$D$2:$D$1001,"NP")+COUNTIF('Demographics'!$A$2:$A$1001,"NP"))=0),"Responses column NP ("""&amp;Responses!$NP$1&amp;""") has data, but no question or demographic is set up to use it — so it won't appear in your results.","")</f>
        <v>0</v>
      </c>
      <c r="F2887" s="4" t="s">
        <v>2196</v>
      </c>
    </row>
    <row r="2888" spans="1:6" ht="75" customHeight="1">
      <c r="A2888" t="s">
        <v>334</v>
      </c>
      <c r="B2888" t="s">
        <v>1096</v>
      </c>
      <c r="C2888" t="s">
        <v>1816</v>
      </c>
      <c r="D2888" t="s">
        <v>1808</v>
      </c>
      <c r="E2888" s="4">
        <f>IF(AND(Responses!$NQ$1&lt;&gt;"",ISERROR(SEARCH("response id",LOWER(Responses!$NQ$1))),(COUNTIF('Open Questions'!$A$2:$A$1001,"NQ")+COUNTIF('Multiple Choice Questions'!$A$2:$A$1001,"NQ")+COUNTIF('Hybrid Questions'!$A$2:$A$1001,"NQ")+COUNTIF('Hybrid Questions'!$D$2:$D$1001,"NQ")+COUNTIF('Demographics'!$A$2:$A$1001,"NQ"))=0),"Responses column NQ ("""&amp;Responses!$NQ$1&amp;""") has data, but no question or demographic is set up to use it — so it won't appear in your results.","")</f>
        <v>0</v>
      </c>
      <c r="F2888" s="4" t="s">
        <v>2197</v>
      </c>
    </row>
    <row r="2889" spans="1:6" ht="75" customHeight="1">
      <c r="A2889" t="s">
        <v>334</v>
      </c>
      <c r="B2889" t="s">
        <v>1098</v>
      </c>
      <c r="C2889" t="s">
        <v>1816</v>
      </c>
      <c r="D2889" t="s">
        <v>1808</v>
      </c>
      <c r="E2889" s="4">
        <f>IF(AND(Responses!$NR$1&lt;&gt;"",ISERROR(SEARCH("response id",LOWER(Responses!$NR$1))),(COUNTIF('Open Questions'!$A$2:$A$1001,"NR")+COUNTIF('Multiple Choice Questions'!$A$2:$A$1001,"NR")+COUNTIF('Hybrid Questions'!$A$2:$A$1001,"NR")+COUNTIF('Hybrid Questions'!$D$2:$D$1001,"NR")+COUNTIF('Demographics'!$A$2:$A$1001,"NR"))=0),"Responses column NR ("""&amp;Responses!$NR$1&amp;""") has data, but no question or demographic is set up to use it — so it won't appear in your results.","")</f>
        <v>0</v>
      </c>
      <c r="F2889" s="4" t="s">
        <v>2198</v>
      </c>
    </row>
    <row r="2890" spans="1:6" ht="75" customHeight="1">
      <c r="A2890" t="s">
        <v>334</v>
      </c>
      <c r="B2890" t="s">
        <v>1100</v>
      </c>
      <c r="C2890" t="s">
        <v>1816</v>
      </c>
      <c r="D2890" t="s">
        <v>1808</v>
      </c>
      <c r="E2890" s="4">
        <f>IF(AND(Responses!$NS$1&lt;&gt;"",ISERROR(SEARCH("response id",LOWER(Responses!$NS$1))),(COUNTIF('Open Questions'!$A$2:$A$1001,"NS")+COUNTIF('Multiple Choice Questions'!$A$2:$A$1001,"NS")+COUNTIF('Hybrid Questions'!$A$2:$A$1001,"NS")+COUNTIF('Hybrid Questions'!$D$2:$D$1001,"NS")+COUNTIF('Demographics'!$A$2:$A$1001,"NS"))=0),"Responses column NS ("""&amp;Responses!$NS$1&amp;""") has data, but no question or demographic is set up to use it — so it won't appear in your results.","")</f>
        <v>0</v>
      </c>
      <c r="F2890" s="4" t="s">
        <v>2199</v>
      </c>
    </row>
    <row r="2891" spans="1:6" ht="75" customHeight="1">
      <c r="A2891" t="s">
        <v>334</v>
      </c>
      <c r="B2891" t="s">
        <v>1102</v>
      </c>
      <c r="C2891" t="s">
        <v>1816</v>
      </c>
      <c r="D2891" t="s">
        <v>1808</v>
      </c>
      <c r="E2891" s="4">
        <f>IF(AND(Responses!$NT$1&lt;&gt;"",ISERROR(SEARCH("response id",LOWER(Responses!$NT$1))),(COUNTIF('Open Questions'!$A$2:$A$1001,"NT")+COUNTIF('Multiple Choice Questions'!$A$2:$A$1001,"NT")+COUNTIF('Hybrid Questions'!$A$2:$A$1001,"NT")+COUNTIF('Hybrid Questions'!$D$2:$D$1001,"NT")+COUNTIF('Demographics'!$A$2:$A$1001,"NT"))=0),"Responses column NT ("""&amp;Responses!$NT$1&amp;""") has data, but no question or demographic is set up to use it — so it won't appear in your results.","")</f>
        <v>0</v>
      </c>
      <c r="F2891" s="4" t="s">
        <v>2200</v>
      </c>
    </row>
    <row r="2892" spans="1:6" ht="75" customHeight="1">
      <c r="A2892" t="s">
        <v>334</v>
      </c>
      <c r="B2892" t="s">
        <v>1104</v>
      </c>
      <c r="C2892" t="s">
        <v>1816</v>
      </c>
      <c r="D2892" t="s">
        <v>1808</v>
      </c>
      <c r="E2892" s="4">
        <f>IF(AND(Responses!$NU$1&lt;&gt;"",ISERROR(SEARCH("response id",LOWER(Responses!$NU$1))),(COUNTIF('Open Questions'!$A$2:$A$1001,"NU")+COUNTIF('Multiple Choice Questions'!$A$2:$A$1001,"NU")+COUNTIF('Hybrid Questions'!$A$2:$A$1001,"NU")+COUNTIF('Hybrid Questions'!$D$2:$D$1001,"NU")+COUNTIF('Demographics'!$A$2:$A$1001,"NU"))=0),"Responses column NU ("""&amp;Responses!$NU$1&amp;""") has data, but no question or demographic is set up to use it — so it won't appear in your results.","")</f>
        <v>0</v>
      </c>
      <c r="F2892" s="4" t="s">
        <v>2201</v>
      </c>
    </row>
    <row r="2893" spans="1:6" ht="75" customHeight="1">
      <c r="A2893" t="s">
        <v>334</v>
      </c>
      <c r="B2893" t="s">
        <v>1106</v>
      </c>
      <c r="C2893" t="s">
        <v>1816</v>
      </c>
      <c r="D2893" t="s">
        <v>1808</v>
      </c>
      <c r="E2893" s="4">
        <f>IF(AND(Responses!$NV$1&lt;&gt;"",ISERROR(SEARCH("response id",LOWER(Responses!$NV$1))),(COUNTIF('Open Questions'!$A$2:$A$1001,"NV")+COUNTIF('Multiple Choice Questions'!$A$2:$A$1001,"NV")+COUNTIF('Hybrid Questions'!$A$2:$A$1001,"NV")+COUNTIF('Hybrid Questions'!$D$2:$D$1001,"NV")+COUNTIF('Demographics'!$A$2:$A$1001,"NV"))=0),"Responses column NV ("""&amp;Responses!$NV$1&amp;""") has data, but no question or demographic is set up to use it — so it won't appear in your results.","")</f>
        <v>0</v>
      </c>
      <c r="F2893" s="4" t="s">
        <v>2202</v>
      </c>
    </row>
    <row r="2894" spans="1:6" ht="75" customHeight="1">
      <c r="A2894" t="s">
        <v>334</v>
      </c>
      <c r="B2894" t="s">
        <v>1108</v>
      </c>
      <c r="C2894" t="s">
        <v>1816</v>
      </c>
      <c r="D2894" t="s">
        <v>1808</v>
      </c>
      <c r="E2894" s="4">
        <f>IF(AND(Responses!$NW$1&lt;&gt;"",ISERROR(SEARCH("response id",LOWER(Responses!$NW$1))),(COUNTIF('Open Questions'!$A$2:$A$1001,"NW")+COUNTIF('Multiple Choice Questions'!$A$2:$A$1001,"NW")+COUNTIF('Hybrid Questions'!$A$2:$A$1001,"NW")+COUNTIF('Hybrid Questions'!$D$2:$D$1001,"NW")+COUNTIF('Demographics'!$A$2:$A$1001,"NW"))=0),"Responses column NW ("""&amp;Responses!$NW$1&amp;""") has data, but no question or demographic is set up to use it — so it won't appear in your results.","")</f>
        <v>0</v>
      </c>
      <c r="F2894" s="4" t="s">
        <v>2203</v>
      </c>
    </row>
    <row r="2895" spans="1:6" ht="75" customHeight="1">
      <c r="A2895" t="s">
        <v>334</v>
      </c>
      <c r="B2895" t="s">
        <v>1110</v>
      </c>
      <c r="C2895" t="s">
        <v>1816</v>
      </c>
      <c r="D2895" t="s">
        <v>1808</v>
      </c>
      <c r="E2895" s="4">
        <f>IF(AND(Responses!$NX$1&lt;&gt;"",ISERROR(SEARCH("response id",LOWER(Responses!$NX$1))),(COUNTIF('Open Questions'!$A$2:$A$1001,"NX")+COUNTIF('Multiple Choice Questions'!$A$2:$A$1001,"NX")+COUNTIF('Hybrid Questions'!$A$2:$A$1001,"NX")+COUNTIF('Hybrid Questions'!$D$2:$D$1001,"NX")+COUNTIF('Demographics'!$A$2:$A$1001,"NX"))=0),"Responses column NX ("""&amp;Responses!$NX$1&amp;""") has data, but no question or demographic is set up to use it — so it won't appear in your results.","")</f>
        <v>0</v>
      </c>
      <c r="F2895" s="4" t="s">
        <v>2204</v>
      </c>
    </row>
    <row r="2896" spans="1:6" ht="75" customHeight="1">
      <c r="A2896" t="s">
        <v>334</v>
      </c>
      <c r="B2896" t="s">
        <v>1112</v>
      </c>
      <c r="C2896" t="s">
        <v>1816</v>
      </c>
      <c r="D2896" t="s">
        <v>1808</v>
      </c>
      <c r="E2896" s="4">
        <f>IF(AND(Responses!$NY$1&lt;&gt;"",ISERROR(SEARCH("response id",LOWER(Responses!$NY$1))),(COUNTIF('Open Questions'!$A$2:$A$1001,"NY")+COUNTIF('Multiple Choice Questions'!$A$2:$A$1001,"NY")+COUNTIF('Hybrid Questions'!$A$2:$A$1001,"NY")+COUNTIF('Hybrid Questions'!$D$2:$D$1001,"NY")+COUNTIF('Demographics'!$A$2:$A$1001,"NY"))=0),"Responses column NY ("""&amp;Responses!$NY$1&amp;""") has data, but no question or demographic is set up to use it — so it won't appear in your results.","")</f>
        <v>0</v>
      </c>
      <c r="F2896" s="4" t="s">
        <v>2205</v>
      </c>
    </row>
    <row r="2897" spans="1:6" ht="75" customHeight="1">
      <c r="A2897" t="s">
        <v>334</v>
      </c>
      <c r="B2897" t="s">
        <v>1114</v>
      </c>
      <c r="C2897" t="s">
        <v>1816</v>
      </c>
      <c r="D2897" t="s">
        <v>1808</v>
      </c>
      <c r="E2897" s="4">
        <f>IF(AND(Responses!$NZ$1&lt;&gt;"",ISERROR(SEARCH("response id",LOWER(Responses!$NZ$1))),(COUNTIF('Open Questions'!$A$2:$A$1001,"NZ")+COUNTIF('Multiple Choice Questions'!$A$2:$A$1001,"NZ")+COUNTIF('Hybrid Questions'!$A$2:$A$1001,"NZ")+COUNTIF('Hybrid Questions'!$D$2:$D$1001,"NZ")+COUNTIF('Demographics'!$A$2:$A$1001,"NZ"))=0),"Responses column NZ ("""&amp;Responses!$NZ$1&amp;""") has data, but no question or demographic is set up to use it — so it won't appear in your results.","")</f>
        <v>0</v>
      </c>
      <c r="F2897" s="4" t="s">
        <v>2206</v>
      </c>
    </row>
    <row r="2898" spans="1:6" ht="75" customHeight="1">
      <c r="A2898" t="s">
        <v>334</v>
      </c>
      <c r="B2898" t="s">
        <v>1116</v>
      </c>
      <c r="C2898" t="s">
        <v>1816</v>
      </c>
      <c r="D2898" t="s">
        <v>1808</v>
      </c>
      <c r="E2898" s="4">
        <f>IF(AND(Responses!$OA$1&lt;&gt;"",ISERROR(SEARCH("response id",LOWER(Responses!$OA$1))),(COUNTIF('Open Questions'!$A$2:$A$1001,"OA")+COUNTIF('Multiple Choice Questions'!$A$2:$A$1001,"OA")+COUNTIF('Hybrid Questions'!$A$2:$A$1001,"OA")+COUNTIF('Hybrid Questions'!$D$2:$D$1001,"OA")+COUNTIF('Demographics'!$A$2:$A$1001,"OA"))=0),"Responses column OA ("""&amp;Responses!$OA$1&amp;""") has data, but no question or demographic is set up to use it — so it won't appear in your results.","")</f>
        <v>0</v>
      </c>
      <c r="F2898" s="4" t="s">
        <v>2207</v>
      </c>
    </row>
    <row r="2899" spans="1:6" ht="75" customHeight="1">
      <c r="A2899" t="s">
        <v>334</v>
      </c>
      <c r="B2899" t="s">
        <v>1118</v>
      </c>
      <c r="C2899" t="s">
        <v>1816</v>
      </c>
      <c r="D2899" t="s">
        <v>1808</v>
      </c>
      <c r="E2899" s="4">
        <f>IF(AND(Responses!$OB$1&lt;&gt;"",ISERROR(SEARCH("response id",LOWER(Responses!$OB$1))),(COUNTIF('Open Questions'!$A$2:$A$1001,"OB")+COUNTIF('Multiple Choice Questions'!$A$2:$A$1001,"OB")+COUNTIF('Hybrid Questions'!$A$2:$A$1001,"OB")+COUNTIF('Hybrid Questions'!$D$2:$D$1001,"OB")+COUNTIF('Demographics'!$A$2:$A$1001,"OB"))=0),"Responses column OB ("""&amp;Responses!$OB$1&amp;""") has data, but no question or demographic is set up to use it — so it won't appear in your results.","")</f>
        <v>0</v>
      </c>
      <c r="F2899" s="4" t="s">
        <v>2208</v>
      </c>
    </row>
    <row r="2900" spans="1:6" ht="75" customHeight="1">
      <c r="A2900" t="s">
        <v>334</v>
      </c>
      <c r="B2900" t="s">
        <v>1120</v>
      </c>
      <c r="C2900" t="s">
        <v>1816</v>
      </c>
      <c r="D2900" t="s">
        <v>1808</v>
      </c>
      <c r="E2900" s="4">
        <f>IF(AND(Responses!$OC$1&lt;&gt;"",ISERROR(SEARCH("response id",LOWER(Responses!$OC$1))),(COUNTIF('Open Questions'!$A$2:$A$1001,"OC")+COUNTIF('Multiple Choice Questions'!$A$2:$A$1001,"OC")+COUNTIF('Hybrid Questions'!$A$2:$A$1001,"OC")+COUNTIF('Hybrid Questions'!$D$2:$D$1001,"OC")+COUNTIF('Demographics'!$A$2:$A$1001,"OC"))=0),"Responses column OC ("""&amp;Responses!$OC$1&amp;""") has data, but no question or demographic is set up to use it — so it won't appear in your results.","")</f>
        <v>0</v>
      </c>
      <c r="F2900" s="4" t="s">
        <v>2209</v>
      </c>
    </row>
    <row r="2901" spans="1:6" ht="75" customHeight="1">
      <c r="A2901" t="s">
        <v>334</v>
      </c>
      <c r="B2901" t="s">
        <v>1122</v>
      </c>
      <c r="C2901" t="s">
        <v>1816</v>
      </c>
      <c r="D2901" t="s">
        <v>1808</v>
      </c>
      <c r="E2901" s="4">
        <f>IF(AND(Responses!$OD$1&lt;&gt;"",ISERROR(SEARCH("response id",LOWER(Responses!$OD$1))),(COUNTIF('Open Questions'!$A$2:$A$1001,"OD")+COUNTIF('Multiple Choice Questions'!$A$2:$A$1001,"OD")+COUNTIF('Hybrid Questions'!$A$2:$A$1001,"OD")+COUNTIF('Hybrid Questions'!$D$2:$D$1001,"OD")+COUNTIF('Demographics'!$A$2:$A$1001,"OD"))=0),"Responses column OD ("""&amp;Responses!$OD$1&amp;""") has data, but no question or demographic is set up to use it — so it won't appear in your results.","")</f>
        <v>0</v>
      </c>
      <c r="F2901" s="4" t="s">
        <v>2210</v>
      </c>
    </row>
    <row r="2902" spans="1:6" ht="75" customHeight="1">
      <c r="A2902" t="s">
        <v>334</v>
      </c>
      <c r="B2902" t="s">
        <v>1124</v>
      </c>
      <c r="C2902" t="s">
        <v>1816</v>
      </c>
      <c r="D2902" t="s">
        <v>1808</v>
      </c>
      <c r="E2902" s="4">
        <f>IF(AND(Responses!$OE$1&lt;&gt;"",ISERROR(SEARCH("response id",LOWER(Responses!$OE$1))),(COUNTIF('Open Questions'!$A$2:$A$1001,"OE")+COUNTIF('Multiple Choice Questions'!$A$2:$A$1001,"OE")+COUNTIF('Hybrid Questions'!$A$2:$A$1001,"OE")+COUNTIF('Hybrid Questions'!$D$2:$D$1001,"OE")+COUNTIF('Demographics'!$A$2:$A$1001,"OE"))=0),"Responses column OE ("""&amp;Responses!$OE$1&amp;""") has data, but no question or demographic is set up to use it — so it won't appear in your results.","")</f>
        <v>0</v>
      </c>
      <c r="F2902" s="4" t="s">
        <v>2211</v>
      </c>
    </row>
    <row r="2903" spans="1:6" ht="75" customHeight="1">
      <c r="A2903" t="s">
        <v>334</v>
      </c>
      <c r="B2903" t="s">
        <v>1126</v>
      </c>
      <c r="C2903" t="s">
        <v>1816</v>
      </c>
      <c r="D2903" t="s">
        <v>1808</v>
      </c>
      <c r="E2903" s="4">
        <f>IF(AND(Responses!$OF$1&lt;&gt;"",ISERROR(SEARCH("response id",LOWER(Responses!$OF$1))),(COUNTIF('Open Questions'!$A$2:$A$1001,"OF")+COUNTIF('Multiple Choice Questions'!$A$2:$A$1001,"OF")+COUNTIF('Hybrid Questions'!$A$2:$A$1001,"OF")+COUNTIF('Hybrid Questions'!$D$2:$D$1001,"OF")+COUNTIF('Demographics'!$A$2:$A$1001,"OF"))=0),"Responses column OF ("""&amp;Responses!$OF$1&amp;""") has data, but no question or demographic is set up to use it — so it won't appear in your results.","")</f>
        <v>0</v>
      </c>
      <c r="F2903" s="4" t="s">
        <v>2212</v>
      </c>
    </row>
    <row r="2904" spans="1:6" ht="75" customHeight="1">
      <c r="A2904" t="s">
        <v>334</v>
      </c>
      <c r="B2904" t="s">
        <v>1128</v>
      </c>
      <c r="C2904" t="s">
        <v>1816</v>
      </c>
      <c r="D2904" t="s">
        <v>1808</v>
      </c>
      <c r="E2904" s="4">
        <f>IF(AND(Responses!$OG$1&lt;&gt;"",ISERROR(SEARCH("response id",LOWER(Responses!$OG$1))),(COUNTIF('Open Questions'!$A$2:$A$1001,"OG")+COUNTIF('Multiple Choice Questions'!$A$2:$A$1001,"OG")+COUNTIF('Hybrid Questions'!$A$2:$A$1001,"OG")+COUNTIF('Hybrid Questions'!$D$2:$D$1001,"OG")+COUNTIF('Demographics'!$A$2:$A$1001,"OG"))=0),"Responses column OG ("""&amp;Responses!$OG$1&amp;""") has data, but no question or demographic is set up to use it — so it won't appear in your results.","")</f>
        <v>0</v>
      </c>
      <c r="F2904" s="4" t="s">
        <v>2213</v>
      </c>
    </row>
    <row r="2905" spans="1:6" ht="75" customHeight="1">
      <c r="A2905" t="s">
        <v>334</v>
      </c>
      <c r="B2905" t="s">
        <v>1130</v>
      </c>
      <c r="C2905" t="s">
        <v>1816</v>
      </c>
      <c r="D2905" t="s">
        <v>1808</v>
      </c>
      <c r="E2905" s="4">
        <f>IF(AND(Responses!$OH$1&lt;&gt;"",ISERROR(SEARCH("response id",LOWER(Responses!$OH$1))),(COUNTIF('Open Questions'!$A$2:$A$1001,"OH")+COUNTIF('Multiple Choice Questions'!$A$2:$A$1001,"OH")+COUNTIF('Hybrid Questions'!$A$2:$A$1001,"OH")+COUNTIF('Hybrid Questions'!$D$2:$D$1001,"OH")+COUNTIF('Demographics'!$A$2:$A$1001,"OH"))=0),"Responses column OH ("""&amp;Responses!$OH$1&amp;""") has data, but no question or demographic is set up to use it — so it won't appear in your results.","")</f>
        <v>0</v>
      </c>
      <c r="F2905" s="4" t="s">
        <v>2214</v>
      </c>
    </row>
    <row r="2906" spans="1:6" ht="75" customHeight="1">
      <c r="A2906" t="s">
        <v>334</v>
      </c>
      <c r="B2906" t="s">
        <v>1132</v>
      </c>
      <c r="C2906" t="s">
        <v>1816</v>
      </c>
      <c r="D2906" t="s">
        <v>1808</v>
      </c>
      <c r="E2906" s="4">
        <f>IF(AND(Responses!$OI$1&lt;&gt;"",ISERROR(SEARCH("response id",LOWER(Responses!$OI$1))),(COUNTIF('Open Questions'!$A$2:$A$1001,"OI")+COUNTIF('Multiple Choice Questions'!$A$2:$A$1001,"OI")+COUNTIF('Hybrid Questions'!$A$2:$A$1001,"OI")+COUNTIF('Hybrid Questions'!$D$2:$D$1001,"OI")+COUNTIF('Demographics'!$A$2:$A$1001,"OI"))=0),"Responses column OI ("""&amp;Responses!$OI$1&amp;""") has data, but no question or demographic is set up to use it — so it won't appear in your results.","")</f>
        <v>0</v>
      </c>
      <c r="F2906" s="4" t="s">
        <v>2215</v>
      </c>
    </row>
    <row r="2907" spans="1:6" ht="75" customHeight="1">
      <c r="A2907" t="s">
        <v>334</v>
      </c>
      <c r="B2907" t="s">
        <v>1134</v>
      </c>
      <c r="C2907" t="s">
        <v>1816</v>
      </c>
      <c r="D2907" t="s">
        <v>1808</v>
      </c>
      <c r="E2907" s="4">
        <f>IF(AND(Responses!$OJ$1&lt;&gt;"",ISERROR(SEARCH("response id",LOWER(Responses!$OJ$1))),(COUNTIF('Open Questions'!$A$2:$A$1001,"OJ")+COUNTIF('Multiple Choice Questions'!$A$2:$A$1001,"OJ")+COUNTIF('Hybrid Questions'!$A$2:$A$1001,"OJ")+COUNTIF('Hybrid Questions'!$D$2:$D$1001,"OJ")+COUNTIF('Demographics'!$A$2:$A$1001,"OJ"))=0),"Responses column OJ ("""&amp;Responses!$OJ$1&amp;""") has data, but no question or demographic is set up to use it — so it won't appear in your results.","")</f>
        <v>0</v>
      </c>
      <c r="F2907" s="4" t="s">
        <v>2216</v>
      </c>
    </row>
    <row r="2908" spans="1:6" ht="75" customHeight="1">
      <c r="A2908" t="s">
        <v>334</v>
      </c>
      <c r="B2908" t="s">
        <v>1136</v>
      </c>
      <c r="C2908" t="s">
        <v>1816</v>
      </c>
      <c r="D2908" t="s">
        <v>1808</v>
      </c>
      <c r="E2908" s="4">
        <f>IF(AND(Responses!$OK$1&lt;&gt;"",ISERROR(SEARCH("response id",LOWER(Responses!$OK$1))),(COUNTIF('Open Questions'!$A$2:$A$1001,"OK")+COUNTIF('Multiple Choice Questions'!$A$2:$A$1001,"OK")+COUNTIF('Hybrid Questions'!$A$2:$A$1001,"OK")+COUNTIF('Hybrid Questions'!$D$2:$D$1001,"OK")+COUNTIF('Demographics'!$A$2:$A$1001,"OK"))=0),"Responses column OK ("""&amp;Responses!$OK$1&amp;""") has data, but no question or demographic is set up to use it — so it won't appear in your results.","")</f>
        <v>0</v>
      </c>
      <c r="F2908" s="4" t="s">
        <v>2217</v>
      </c>
    </row>
    <row r="2909" spans="1:6" ht="75" customHeight="1">
      <c r="A2909" t="s">
        <v>334</v>
      </c>
      <c r="B2909" t="s">
        <v>1138</v>
      </c>
      <c r="C2909" t="s">
        <v>1816</v>
      </c>
      <c r="D2909" t="s">
        <v>1808</v>
      </c>
      <c r="E2909" s="4">
        <f>IF(AND(Responses!$OL$1&lt;&gt;"",ISERROR(SEARCH("response id",LOWER(Responses!$OL$1))),(COUNTIF('Open Questions'!$A$2:$A$1001,"OL")+COUNTIF('Multiple Choice Questions'!$A$2:$A$1001,"OL")+COUNTIF('Hybrid Questions'!$A$2:$A$1001,"OL")+COUNTIF('Hybrid Questions'!$D$2:$D$1001,"OL")+COUNTIF('Demographics'!$A$2:$A$1001,"OL"))=0),"Responses column OL ("""&amp;Responses!$OL$1&amp;""") has data, but no question or demographic is set up to use it — so it won't appear in your results.","")</f>
        <v>0</v>
      </c>
      <c r="F2909" s="4" t="s">
        <v>2218</v>
      </c>
    </row>
    <row r="2910" spans="1:6" ht="75" customHeight="1">
      <c r="A2910" t="s">
        <v>334</v>
      </c>
      <c r="B2910" t="s">
        <v>1140</v>
      </c>
      <c r="C2910" t="s">
        <v>1816</v>
      </c>
      <c r="D2910" t="s">
        <v>1808</v>
      </c>
      <c r="E2910" s="4">
        <f>IF(AND(Responses!$OM$1&lt;&gt;"",ISERROR(SEARCH("response id",LOWER(Responses!$OM$1))),(COUNTIF('Open Questions'!$A$2:$A$1001,"OM")+COUNTIF('Multiple Choice Questions'!$A$2:$A$1001,"OM")+COUNTIF('Hybrid Questions'!$A$2:$A$1001,"OM")+COUNTIF('Hybrid Questions'!$D$2:$D$1001,"OM")+COUNTIF('Demographics'!$A$2:$A$1001,"OM"))=0),"Responses column OM ("""&amp;Responses!$OM$1&amp;""") has data, but no question or demographic is set up to use it — so it won't appear in your results.","")</f>
        <v>0</v>
      </c>
      <c r="F2910" s="4" t="s">
        <v>2219</v>
      </c>
    </row>
    <row r="2911" spans="1:6" ht="75" customHeight="1">
      <c r="A2911" t="s">
        <v>334</v>
      </c>
      <c r="B2911" t="s">
        <v>1142</v>
      </c>
      <c r="C2911" t="s">
        <v>1816</v>
      </c>
      <c r="D2911" t="s">
        <v>1808</v>
      </c>
      <c r="E2911" s="4">
        <f>IF(AND(Responses!$ON$1&lt;&gt;"",ISERROR(SEARCH("response id",LOWER(Responses!$ON$1))),(COUNTIF('Open Questions'!$A$2:$A$1001,"ON")+COUNTIF('Multiple Choice Questions'!$A$2:$A$1001,"ON")+COUNTIF('Hybrid Questions'!$A$2:$A$1001,"ON")+COUNTIF('Hybrid Questions'!$D$2:$D$1001,"ON")+COUNTIF('Demographics'!$A$2:$A$1001,"ON"))=0),"Responses column ON ("""&amp;Responses!$ON$1&amp;""") has data, but no question or demographic is set up to use it — so it won't appear in your results.","")</f>
        <v>0</v>
      </c>
      <c r="F2911" s="4" t="s">
        <v>2220</v>
      </c>
    </row>
    <row r="2912" spans="1:6" ht="75" customHeight="1">
      <c r="A2912" t="s">
        <v>334</v>
      </c>
      <c r="B2912" t="s">
        <v>1144</v>
      </c>
      <c r="C2912" t="s">
        <v>1816</v>
      </c>
      <c r="D2912" t="s">
        <v>1808</v>
      </c>
      <c r="E2912" s="4">
        <f>IF(AND(Responses!$OO$1&lt;&gt;"",ISERROR(SEARCH("response id",LOWER(Responses!$OO$1))),(COUNTIF('Open Questions'!$A$2:$A$1001,"OO")+COUNTIF('Multiple Choice Questions'!$A$2:$A$1001,"OO")+COUNTIF('Hybrid Questions'!$A$2:$A$1001,"OO")+COUNTIF('Hybrid Questions'!$D$2:$D$1001,"OO")+COUNTIF('Demographics'!$A$2:$A$1001,"OO"))=0),"Responses column OO ("""&amp;Responses!$OO$1&amp;""") has data, but no question or demographic is set up to use it — so it won't appear in your results.","")</f>
        <v>0</v>
      </c>
      <c r="F2912" s="4" t="s">
        <v>2221</v>
      </c>
    </row>
    <row r="2913" spans="1:6" ht="75" customHeight="1">
      <c r="A2913" t="s">
        <v>334</v>
      </c>
      <c r="B2913" t="s">
        <v>1146</v>
      </c>
      <c r="C2913" t="s">
        <v>1816</v>
      </c>
      <c r="D2913" t="s">
        <v>1808</v>
      </c>
      <c r="E2913" s="4">
        <f>IF(AND(Responses!$OP$1&lt;&gt;"",ISERROR(SEARCH("response id",LOWER(Responses!$OP$1))),(COUNTIF('Open Questions'!$A$2:$A$1001,"OP")+COUNTIF('Multiple Choice Questions'!$A$2:$A$1001,"OP")+COUNTIF('Hybrid Questions'!$A$2:$A$1001,"OP")+COUNTIF('Hybrid Questions'!$D$2:$D$1001,"OP")+COUNTIF('Demographics'!$A$2:$A$1001,"OP"))=0),"Responses column OP ("""&amp;Responses!$OP$1&amp;""") has data, but no question or demographic is set up to use it — so it won't appear in your results.","")</f>
        <v>0</v>
      </c>
      <c r="F2913" s="4" t="s">
        <v>2222</v>
      </c>
    </row>
    <row r="2914" spans="1:6" ht="75" customHeight="1">
      <c r="A2914" t="s">
        <v>334</v>
      </c>
      <c r="B2914" t="s">
        <v>1148</v>
      </c>
      <c r="C2914" t="s">
        <v>1816</v>
      </c>
      <c r="D2914" t="s">
        <v>1808</v>
      </c>
      <c r="E2914" s="4">
        <f>IF(AND(Responses!$OQ$1&lt;&gt;"",ISERROR(SEARCH("response id",LOWER(Responses!$OQ$1))),(COUNTIF('Open Questions'!$A$2:$A$1001,"OQ")+COUNTIF('Multiple Choice Questions'!$A$2:$A$1001,"OQ")+COUNTIF('Hybrid Questions'!$A$2:$A$1001,"OQ")+COUNTIF('Hybrid Questions'!$D$2:$D$1001,"OQ")+COUNTIF('Demographics'!$A$2:$A$1001,"OQ"))=0),"Responses column OQ ("""&amp;Responses!$OQ$1&amp;""") has data, but no question or demographic is set up to use it — so it won't appear in your results.","")</f>
        <v>0</v>
      </c>
      <c r="F2914" s="4" t="s">
        <v>2223</v>
      </c>
    </row>
    <row r="2915" spans="1:6" ht="75" customHeight="1">
      <c r="A2915" t="s">
        <v>334</v>
      </c>
      <c r="B2915" t="s">
        <v>1150</v>
      </c>
      <c r="C2915" t="s">
        <v>1816</v>
      </c>
      <c r="D2915" t="s">
        <v>1808</v>
      </c>
      <c r="E2915" s="4">
        <f>IF(AND(Responses!$OR$1&lt;&gt;"",ISERROR(SEARCH("response id",LOWER(Responses!$OR$1))),(COUNTIF('Open Questions'!$A$2:$A$1001,"OR")+COUNTIF('Multiple Choice Questions'!$A$2:$A$1001,"OR")+COUNTIF('Hybrid Questions'!$A$2:$A$1001,"OR")+COUNTIF('Hybrid Questions'!$D$2:$D$1001,"OR")+COUNTIF('Demographics'!$A$2:$A$1001,"OR"))=0),"Responses column OR ("""&amp;Responses!$OR$1&amp;""") has data, but no question or demographic is set up to use it — so it won't appear in your results.","")</f>
        <v>0</v>
      </c>
      <c r="F2915" s="4" t="s">
        <v>2224</v>
      </c>
    </row>
    <row r="2916" spans="1:6" ht="75" customHeight="1">
      <c r="A2916" t="s">
        <v>334</v>
      </c>
      <c r="B2916" t="s">
        <v>1152</v>
      </c>
      <c r="C2916" t="s">
        <v>1816</v>
      </c>
      <c r="D2916" t="s">
        <v>1808</v>
      </c>
      <c r="E2916" s="4">
        <f>IF(AND(Responses!$OS$1&lt;&gt;"",ISERROR(SEARCH("response id",LOWER(Responses!$OS$1))),(COUNTIF('Open Questions'!$A$2:$A$1001,"OS")+COUNTIF('Multiple Choice Questions'!$A$2:$A$1001,"OS")+COUNTIF('Hybrid Questions'!$A$2:$A$1001,"OS")+COUNTIF('Hybrid Questions'!$D$2:$D$1001,"OS")+COUNTIF('Demographics'!$A$2:$A$1001,"OS"))=0),"Responses column OS ("""&amp;Responses!$OS$1&amp;""") has data, but no question or demographic is set up to use it — so it won't appear in your results.","")</f>
        <v>0</v>
      </c>
      <c r="F2916" s="4" t="s">
        <v>2225</v>
      </c>
    </row>
    <row r="2917" spans="1:6" ht="75" customHeight="1">
      <c r="A2917" t="s">
        <v>334</v>
      </c>
      <c r="B2917" t="s">
        <v>1154</v>
      </c>
      <c r="C2917" t="s">
        <v>1816</v>
      </c>
      <c r="D2917" t="s">
        <v>1808</v>
      </c>
      <c r="E2917" s="4">
        <f>IF(AND(Responses!$OT$1&lt;&gt;"",ISERROR(SEARCH("response id",LOWER(Responses!$OT$1))),(COUNTIF('Open Questions'!$A$2:$A$1001,"OT")+COUNTIF('Multiple Choice Questions'!$A$2:$A$1001,"OT")+COUNTIF('Hybrid Questions'!$A$2:$A$1001,"OT")+COUNTIF('Hybrid Questions'!$D$2:$D$1001,"OT")+COUNTIF('Demographics'!$A$2:$A$1001,"OT"))=0),"Responses column OT ("""&amp;Responses!$OT$1&amp;""") has data, but no question or demographic is set up to use it — so it won't appear in your results.","")</f>
        <v>0</v>
      </c>
      <c r="F2917" s="4" t="s">
        <v>2226</v>
      </c>
    </row>
    <row r="2918" spans="1:6" ht="75" customHeight="1">
      <c r="A2918" t="s">
        <v>334</v>
      </c>
      <c r="B2918" t="s">
        <v>1156</v>
      </c>
      <c r="C2918" t="s">
        <v>1816</v>
      </c>
      <c r="D2918" t="s">
        <v>1808</v>
      </c>
      <c r="E2918" s="4">
        <f>IF(AND(Responses!$OU$1&lt;&gt;"",ISERROR(SEARCH("response id",LOWER(Responses!$OU$1))),(COUNTIF('Open Questions'!$A$2:$A$1001,"OU")+COUNTIF('Multiple Choice Questions'!$A$2:$A$1001,"OU")+COUNTIF('Hybrid Questions'!$A$2:$A$1001,"OU")+COUNTIF('Hybrid Questions'!$D$2:$D$1001,"OU")+COUNTIF('Demographics'!$A$2:$A$1001,"OU"))=0),"Responses column OU ("""&amp;Responses!$OU$1&amp;""") has data, but no question or demographic is set up to use it — so it won't appear in your results.","")</f>
        <v>0</v>
      </c>
      <c r="F2918" s="4" t="s">
        <v>2227</v>
      </c>
    </row>
    <row r="2919" spans="1:6" ht="75" customHeight="1">
      <c r="A2919" t="s">
        <v>334</v>
      </c>
      <c r="B2919" t="s">
        <v>1158</v>
      </c>
      <c r="C2919" t="s">
        <v>1816</v>
      </c>
      <c r="D2919" t="s">
        <v>1808</v>
      </c>
      <c r="E2919" s="4">
        <f>IF(AND(Responses!$OV$1&lt;&gt;"",ISERROR(SEARCH("response id",LOWER(Responses!$OV$1))),(COUNTIF('Open Questions'!$A$2:$A$1001,"OV")+COUNTIF('Multiple Choice Questions'!$A$2:$A$1001,"OV")+COUNTIF('Hybrid Questions'!$A$2:$A$1001,"OV")+COUNTIF('Hybrid Questions'!$D$2:$D$1001,"OV")+COUNTIF('Demographics'!$A$2:$A$1001,"OV"))=0),"Responses column OV ("""&amp;Responses!$OV$1&amp;""") has data, but no question or demographic is set up to use it — so it won't appear in your results.","")</f>
        <v>0</v>
      </c>
      <c r="F2919" s="4" t="s">
        <v>2228</v>
      </c>
    </row>
    <row r="2920" spans="1:6" ht="75" customHeight="1">
      <c r="A2920" t="s">
        <v>334</v>
      </c>
      <c r="B2920" t="s">
        <v>1160</v>
      </c>
      <c r="C2920" t="s">
        <v>1816</v>
      </c>
      <c r="D2920" t="s">
        <v>1808</v>
      </c>
      <c r="E2920" s="4">
        <f>IF(AND(Responses!$OW$1&lt;&gt;"",ISERROR(SEARCH("response id",LOWER(Responses!$OW$1))),(COUNTIF('Open Questions'!$A$2:$A$1001,"OW")+COUNTIF('Multiple Choice Questions'!$A$2:$A$1001,"OW")+COUNTIF('Hybrid Questions'!$A$2:$A$1001,"OW")+COUNTIF('Hybrid Questions'!$D$2:$D$1001,"OW")+COUNTIF('Demographics'!$A$2:$A$1001,"OW"))=0),"Responses column OW ("""&amp;Responses!$OW$1&amp;""") has data, but no question or demographic is set up to use it — so it won't appear in your results.","")</f>
        <v>0</v>
      </c>
      <c r="F2920" s="4" t="s">
        <v>2229</v>
      </c>
    </row>
    <row r="2921" spans="1:6" ht="75" customHeight="1">
      <c r="A2921" t="s">
        <v>334</v>
      </c>
      <c r="B2921" t="s">
        <v>1162</v>
      </c>
      <c r="C2921" t="s">
        <v>1816</v>
      </c>
      <c r="D2921" t="s">
        <v>1808</v>
      </c>
      <c r="E2921" s="4">
        <f>IF(AND(Responses!$OX$1&lt;&gt;"",ISERROR(SEARCH("response id",LOWER(Responses!$OX$1))),(COUNTIF('Open Questions'!$A$2:$A$1001,"OX")+COUNTIF('Multiple Choice Questions'!$A$2:$A$1001,"OX")+COUNTIF('Hybrid Questions'!$A$2:$A$1001,"OX")+COUNTIF('Hybrid Questions'!$D$2:$D$1001,"OX")+COUNTIF('Demographics'!$A$2:$A$1001,"OX"))=0),"Responses column OX ("""&amp;Responses!$OX$1&amp;""") has data, but no question or demographic is set up to use it — so it won't appear in your results.","")</f>
        <v>0</v>
      </c>
      <c r="F2921" s="4" t="s">
        <v>2230</v>
      </c>
    </row>
    <row r="2922" spans="1:6" ht="75" customHeight="1">
      <c r="A2922" t="s">
        <v>334</v>
      </c>
      <c r="B2922" t="s">
        <v>1164</v>
      </c>
      <c r="C2922" t="s">
        <v>1816</v>
      </c>
      <c r="D2922" t="s">
        <v>1808</v>
      </c>
      <c r="E2922" s="4">
        <f>IF(AND(Responses!$OY$1&lt;&gt;"",ISERROR(SEARCH("response id",LOWER(Responses!$OY$1))),(COUNTIF('Open Questions'!$A$2:$A$1001,"OY")+COUNTIF('Multiple Choice Questions'!$A$2:$A$1001,"OY")+COUNTIF('Hybrid Questions'!$A$2:$A$1001,"OY")+COUNTIF('Hybrid Questions'!$D$2:$D$1001,"OY")+COUNTIF('Demographics'!$A$2:$A$1001,"OY"))=0),"Responses column OY ("""&amp;Responses!$OY$1&amp;""") has data, but no question or demographic is set up to use it — so it won't appear in your results.","")</f>
        <v>0</v>
      </c>
      <c r="F2922" s="4" t="s">
        <v>2231</v>
      </c>
    </row>
    <row r="2923" spans="1:6" ht="75" customHeight="1">
      <c r="A2923" t="s">
        <v>334</v>
      </c>
      <c r="B2923" t="s">
        <v>1166</v>
      </c>
      <c r="C2923" t="s">
        <v>1816</v>
      </c>
      <c r="D2923" t="s">
        <v>1808</v>
      </c>
      <c r="E2923" s="4">
        <f>IF(AND(Responses!$OZ$1&lt;&gt;"",ISERROR(SEARCH("response id",LOWER(Responses!$OZ$1))),(COUNTIF('Open Questions'!$A$2:$A$1001,"OZ")+COUNTIF('Multiple Choice Questions'!$A$2:$A$1001,"OZ")+COUNTIF('Hybrid Questions'!$A$2:$A$1001,"OZ")+COUNTIF('Hybrid Questions'!$D$2:$D$1001,"OZ")+COUNTIF('Demographics'!$A$2:$A$1001,"OZ"))=0),"Responses column OZ ("""&amp;Responses!$OZ$1&amp;""") has data, but no question or demographic is set up to use it — so it won't appear in your results.","")</f>
        <v>0</v>
      </c>
      <c r="F2923" s="4" t="s">
        <v>2232</v>
      </c>
    </row>
    <row r="2924" spans="1:6" ht="75" customHeight="1">
      <c r="A2924" t="s">
        <v>334</v>
      </c>
      <c r="B2924" t="s">
        <v>1168</v>
      </c>
      <c r="C2924" t="s">
        <v>1816</v>
      </c>
      <c r="D2924" t="s">
        <v>1808</v>
      </c>
      <c r="E2924" s="4">
        <f>IF(AND(Responses!$PA$1&lt;&gt;"",ISERROR(SEARCH("response id",LOWER(Responses!$PA$1))),(COUNTIF('Open Questions'!$A$2:$A$1001,"PA")+COUNTIF('Multiple Choice Questions'!$A$2:$A$1001,"PA")+COUNTIF('Hybrid Questions'!$A$2:$A$1001,"PA")+COUNTIF('Hybrid Questions'!$D$2:$D$1001,"PA")+COUNTIF('Demographics'!$A$2:$A$1001,"PA"))=0),"Responses column PA ("""&amp;Responses!$PA$1&amp;""") has data, but no question or demographic is set up to use it — so it won't appear in your results.","")</f>
        <v>0</v>
      </c>
      <c r="F2924" s="4" t="s">
        <v>2233</v>
      </c>
    </row>
    <row r="2925" spans="1:6" ht="75" customHeight="1">
      <c r="A2925" t="s">
        <v>334</v>
      </c>
      <c r="B2925" t="s">
        <v>1170</v>
      </c>
      <c r="C2925" t="s">
        <v>1816</v>
      </c>
      <c r="D2925" t="s">
        <v>1808</v>
      </c>
      <c r="E2925" s="4">
        <f>IF(AND(Responses!$PB$1&lt;&gt;"",ISERROR(SEARCH("response id",LOWER(Responses!$PB$1))),(COUNTIF('Open Questions'!$A$2:$A$1001,"PB")+COUNTIF('Multiple Choice Questions'!$A$2:$A$1001,"PB")+COUNTIF('Hybrid Questions'!$A$2:$A$1001,"PB")+COUNTIF('Hybrid Questions'!$D$2:$D$1001,"PB")+COUNTIF('Demographics'!$A$2:$A$1001,"PB"))=0),"Responses column PB ("""&amp;Responses!$PB$1&amp;""") has data, but no question or demographic is set up to use it — so it won't appear in your results.","")</f>
        <v>0</v>
      </c>
      <c r="F2925" s="4" t="s">
        <v>2234</v>
      </c>
    </row>
    <row r="2926" spans="1:6" ht="75" customHeight="1">
      <c r="A2926" t="s">
        <v>334</v>
      </c>
      <c r="B2926" t="s">
        <v>1172</v>
      </c>
      <c r="C2926" t="s">
        <v>1816</v>
      </c>
      <c r="D2926" t="s">
        <v>1808</v>
      </c>
      <c r="E2926" s="4">
        <f>IF(AND(Responses!$PC$1&lt;&gt;"",ISERROR(SEARCH("response id",LOWER(Responses!$PC$1))),(COUNTIF('Open Questions'!$A$2:$A$1001,"PC")+COUNTIF('Multiple Choice Questions'!$A$2:$A$1001,"PC")+COUNTIF('Hybrid Questions'!$A$2:$A$1001,"PC")+COUNTIF('Hybrid Questions'!$D$2:$D$1001,"PC")+COUNTIF('Demographics'!$A$2:$A$1001,"PC"))=0),"Responses column PC ("""&amp;Responses!$PC$1&amp;""") has data, but no question or demographic is set up to use it — so it won't appear in your results.","")</f>
        <v>0</v>
      </c>
      <c r="F2926" s="4" t="s">
        <v>2235</v>
      </c>
    </row>
    <row r="2927" spans="1:6" ht="75" customHeight="1">
      <c r="A2927" t="s">
        <v>334</v>
      </c>
      <c r="B2927" t="s">
        <v>1174</v>
      </c>
      <c r="C2927" t="s">
        <v>1816</v>
      </c>
      <c r="D2927" t="s">
        <v>1808</v>
      </c>
      <c r="E2927" s="4">
        <f>IF(AND(Responses!$PD$1&lt;&gt;"",ISERROR(SEARCH("response id",LOWER(Responses!$PD$1))),(COUNTIF('Open Questions'!$A$2:$A$1001,"PD")+COUNTIF('Multiple Choice Questions'!$A$2:$A$1001,"PD")+COUNTIF('Hybrid Questions'!$A$2:$A$1001,"PD")+COUNTIF('Hybrid Questions'!$D$2:$D$1001,"PD")+COUNTIF('Demographics'!$A$2:$A$1001,"PD"))=0),"Responses column PD ("""&amp;Responses!$PD$1&amp;""") has data, but no question or demographic is set up to use it — so it won't appear in your results.","")</f>
        <v>0</v>
      </c>
      <c r="F2927" s="4" t="s">
        <v>2236</v>
      </c>
    </row>
    <row r="2928" spans="1:6" ht="75" customHeight="1">
      <c r="A2928" t="s">
        <v>334</v>
      </c>
      <c r="B2928" t="s">
        <v>1176</v>
      </c>
      <c r="C2928" t="s">
        <v>1816</v>
      </c>
      <c r="D2928" t="s">
        <v>1808</v>
      </c>
      <c r="E2928" s="4">
        <f>IF(AND(Responses!$PE$1&lt;&gt;"",ISERROR(SEARCH("response id",LOWER(Responses!$PE$1))),(COUNTIF('Open Questions'!$A$2:$A$1001,"PE")+COUNTIF('Multiple Choice Questions'!$A$2:$A$1001,"PE")+COUNTIF('Hybrid Questions'!$A$2:$A$1001,"PE")+COUNTIF('Hybrid Questions'!$D$2:$D$1001,"PE")+COUNTIF('Demographics'!$A$2:$A$1001,"PE"))=0),"Responses column PE ("""&amp;Responses!$PE$1&amp;""") has data, but no question or demographic is set up to use it — so it won't appear in your results.","")</f>
        <v>0</v>
      </c>
      <c r="F2928" s="4" t="s">
        <v>2237</v>
      </c>
    </row>
    <row r="2929" spans="1:6" ht="75" customHeight="1">
      <c r="A2929" t="s">
        <v>334</v>
      </c>
      <c r="B2929" t="s">
        <v>1178</v>
      </c>
      <c r="C2929" t="s">
        <v>1816</v>
      </c>
      <c r="D2929" t="s">
        <v>1808</v>
      </c>
      <c r="E2929" s="4">
        <f>IF(AND(Responses!$PF$1&lt;&gt;"",ISERROR(SEARCH("response id",LOWER(Responses!$PF$1))),(COUNTIF('Open Questions'!$A$2:$A$1001,"PF")+COUNTIF('Multiple Choice Questions'!$A$2:$A$1001,"PF")+COUNTIF('Hybrid Questions'!$A$2:$A$1001,"PF")+COUNTIF('Hybrid Questions'!$D$2:$D$1001,"PF")+COUNTIF('Demographics'!$A$2:$A$1001,"PF"))=0),"Responses column PF ("""&amp;Responses!$PF$1&amp;""") has data, but no question or demographic is set up to use it — so it won't appear in your results.","")</f>
        <v>0</v>
      </c>
      <c r="F2929" s="4" t="s">
        <v>2238</v>
      </c>
    </row>
    <row r="2930" spans="1:6" ht="75" customHeight="1">
      <c r="A2930" t="s">
        <v>334</v>
      </c>
      <c r="B2930" t="s">
        <v>1180</v>
      </c>
      <c r="C2930" t="s">
        <v>1816</v>
      </c>
      <c r="D2930" t="s">
        <v>1808</v>
      </c>
      <c r="E2930" s="4">
        <f>IF(AND(Responses!$PG$1&lt;&gt;"",ISERROR(SEARCH("response id",LOWER(Responses!$PG$1))),(COUNTIF('Open Questions'!$A$2:$A$1001,"PG")+COUNTIF('Multiple Choice Questions'!$A$2:$A$1001,"PG")+COUNTIF('Hybrid Questions'!$A$2:$A$1001,"PG")+COUNTIF('Hybrid Questions'!$D$2:$D$1001,"PG")+COUNTIF('Demographics'!$A$2:$A$1001,"PG"))=0),"Responses column PG ("""&amp;Responses!$PG$1&amp;""") has data, but no question or demographic is set up to use it — so it won't appear in your results.","")</f>
        <v>0</v>
      </c>
      <c r="F2930" s="4" t="s">
        <v>2239</v>
      </c>
    </row>
    <row r="2931" spans="1:6" ht="75" customHeight="1">
      <c r="A2931" t="s">
        <v>334</v>
      </c>
      <c r="B2931" t="s">
        <v>1182</v>
      </c>
      <c r="C2931" t="s">
        <v>1816</v>
      </c>
      <c r="D2931" t="s">
        <v>1808</v>
      </c>
      <c r="E2931" s="4">
        <f>IF(AND(Responses!$PH$1&lt;&gt;"",ISERROR(SEARCH("response id",LOWER(Responses!$PH$1))),(COUNTIF('Open Questions'!$A$2:$A$1001,"PH")+COUNTIF('Multiple Choice Questions'!$A$2:$A$1001,"PH")+COUNTIF('Hybrid Questions'!$A$2:$A$1001,"PH")+COUNTIF('Hybrid Questions'!$D$2:$D$1001,"PH")+COUNTIF('Demographics'!$A$2:$A$1001,"PH"))=0),"Responses column PH ("""&amp;Responses!$PH$1&amp;""") has data, but no question or demographic is set up to use it — so it won't appear in your results.","")</f>
        <v>0</v>
      </c>
      <c r="F2931" s="4" t="s">
        <v>2240</v>
      </c>
    </row>
    <row r="2932" spans="1:6" ht="75" customHeight="1">
      <c r="A2932" t="s">
        <v>334</v>
      </c>
      <c r="B2932" t="s">
        <v>1184</v>
      </c>
      <c r="C2932" t="s">
        <v>1816</v>
      </c>
      <c r="D2932" t="s">
        <v>1808</v>
      </c>
      <c r="E2932" s="4">
        <f>IF(AND(Responses!$PI$1&lt;&gt;"",ISERROR(SEARCH("response id",LOWER(Responses!$PI$1))),(COUNTIF('Open Questions'!$A$2:$A$1001,"PI")+COUNTIF('Multiple Choice Questions'!$A$2:$A$1001,"PI")+COUNTIF('Hybrid Questions'!$A$2:$A$1001,"PI")+COUNTIF('Hybrid Questions'!$D$2:$D$1001,"PI")+COUNTIF('Demographics'!$A$2:$A$1001,"PI"))=0),"Responses column PI ("""&amp;Responses!$PI$1&amp;""") has data, but no question or demographic is set up to use it — so it won't appear in your results.","")</f>
        <v>0</v>
      </c>
      <c r="F2932" s="4" t="s">
        <v>2241</v>
      </c>
    </row>
    <row r="2933" spans="1:6" ht="75" customHeight="1">
      <c r="A2933" t="s">
        <v>334</v>
      </c>
      <c r="B2933" t="s">
        <v>1186</v>
      </c>
      <c r="C2933" t="s">
        <v>1816</v>
      </c>
      <c r="D2933" t="s">
        <v>1808</v>
      </c>
      <c r="E2933" s="4">
        <f>IF(AND(Responses!$PJ$1&lt;&gt;"",ISERROR(SEARCH("response id",LOWER(Responses!$PJ$1))),(COUNTIF('Open Questions'!$A$2:$A$1001,"PJ")+COUNTIF('Multiple Choice Questions'!$A$2:$A$1001,"PJ")+COUNTIF('Hybrid Questions'!$A$2:$A$1001,"PJ")+COUNTIF('Hybrid Questions'!$D$2:$D$1001,"PJ")+COUNTIF('Demographics'!$A$2:$A$1001,"PJ"))=0),"Responses column PJ ("""&amp;Responses!$PJ$1&amp;""") has data, but no question or demographic is set up to use it — so it won't appear in your results.","")</f>
        <v>0</v>
      </c>
      <c r="F2933" s="4" t="s">
        <v>2242</v>
      </c>
    </row>
    <row r="2934" spans="1:6" ht="75" customHeight="1">
      <c r="A2934" t="s">
        <v>334</v>
      </c>
      <c r="B2934" t="s">
        <v>1188</v>
      </c>
      <c r="C2934" t="s">
        <v>1816</v>
      </c>
      <c r="D2934" t="s">
        <v>1808</v>
      </c>
      <c r="E2934" s="4">
        <f>IF(AND(Responses!$PK$1&lt;&gt;"",ISERROR(SEARCH("response id",LOWER(Responses!$PK$1))),(COUNTIF('Open Questions'!$A$2:$A$1001,"PK")+COUNTIF('Multiple Choice Questions'!$A$2:$A$1001,"PK")+COUNTIF('Hybrid Questions'!$A$2:$A$1001,"PK")+COUNTIF('Hybrid Questions'!$D$2:$D$1001,"PK")+COUNTIF('Demographics'!$A$2:$A$1001,"PK"))=0),"Responses column PK ("""&amp;Responses!$PK$1&amp;""") has data, but no question or demographic is set up to use it — so it won't appear in your results.","")</f>
        <v>0</v>
      </c>
      <c r="F2934" s="4" t="s">
        <v>2243</v>
      </c>
    </row>
    <row r="2935" spans="1:6" ht="75" customHeight="1">
      <c r="A2935" t="s">
        <v>334</v>
      </c>
      <c r="B2935" t="s">
        <v>1190</v>
      </c>
      <c r="C2935" t="s">
        <v>1816</v>
      </c>
      <c r="D2935" t="s">
        <v>1808</v>
      </c>
      <c r="E2935" s="4">
        <f>IF(AND(Responses!$PL$1&lt;&gt;"",ISERROR(SEARCH("response id",LOWER(Responses!$PL$1))),(COUNTIF('Open Questions'!$A$2:$A$1001,"PL")+COUNTIF('Multiple Choice Questions'!$A$2:$A$1001,"PL")+COUNTIF('Hybrid Questions'!$A$2:$A$1001,"PL")+COUNTIF('Hybrid Questions'!$D$2:$D$1001,"PL")+COUNTIF('Demographics'!$A$2:$A$1001,"PL"))=0),"Responses column PL ("""&amp;Responses!$PL$1&amp;""") has data, but no question or demographic is set up to use it — so it won't appear in your results.","")</f>
        <v>0</v>
      </c>
      <c r="F2935" s="4" t="s">
        <v>2244</v>
      </c>
    </row>
    <row r="2936" spans="1:6" ht="75" customHeight="1">
      <c r="A2936" t="s">
        <v>334</v>
      </c>
      <c r="B2936" t="s">
        <v>1192</v>
      </c>
      <c r="C2936" t="s">
        <v>1816</v>
      </c>
      <c r="D2936" t="s">
        <v>1808</v>
      </c>
      <c r="E2936" s="4">
        <f>IF(AND(Responses!$PM$1&lt;&gt;"",ISERROR(SEARCH("response id",LOWER(Responses!$PM$1))),(COUNTIF('Open Questions'!$A$2:$A$1001,"PM")+COUNTIF('Multiple Choice Questions'!$A$2:$A$1001,"PM")+COUNTIF('Hybrid Questions'!$A$2:$A$1001,"PM")+COUNTIF('Hybrid Questions'!$D$2:$D$1001,"PM")+COUNTIF('Demographics'!$A$2:$A$1001,"PM"))=0),"Responses column PM ("""&amp;Responses!$PM$1&amp;""") has data, but no question or demographic is set up to use it — so it won't appear in your results.","")</f>
        <v>0</v>
      </c>
      <c r="F2936" s="4" t="s">
        <v>2245</v>
      </c>
    </row>
    <row r="2937" spans="1:6" ht="75" customHeight="1">
      <c r="A2937" t="s">
        <v>334</v>
      </c>
      <c r="B2937" t="s">
        <v>1194</v>
      </c>
      <c r="C2937" t="s">
        <v>1816</v>
      </c>
      <c r="D2937" t="s">
        <v>1808</v>
      </c>
      <c r="E2937" s="4">
        <f>IF(AND(Responses!$PN$1&lt;&gt;"",ISERROR(SEARCH("response id",LOWER(Responses!$PN$1))),(COUNTIF('Open Questions'!$A$2:$A$1001,"PN")+COUNTIF('Multiple Choice Questions'!$A$2:$A$1001,"PN")+COUNTIF('Hybrid Questions'!$A$2:$A$1001,"PN")+COUNTIF('Hybrid Questions'!$D$2:$D$1001,"PN")+COUNTIF('Demographics'!$A$2:$A$1001,"PN"))=0),"Responses column PN ("""&amp;Responses!$PN$1&amp;""") has data, but no question or demographic is set up to use it — so it won't appear in your results.","")</f>
        <v>0</v>
      </c>
      <c r="F2937" s="4" t="s">
        <v>2246</v>
      </c>
    </row>
    <row r="2938" spans="1:6" ht="75" customHeight="1">
      <c r="A2938" t="s">
        <v>334</v>
      </c>
      <c r="B2938" t="s">
        <v>1196</v>
      </c>
      <c r="C2938" t="s">
        <v>1816</v>
      </c>
      <c r="D2938" t="s">
        <v>1808</v>
      </c>
      <c r="E2938" s="4">
        <f>IF(AND(Responses!$PO$1&lt;&gt;"",ISERROR(SEARCH("response id",LOWER(Responses!$PO$1))),(COUNTIF('Open Questions'!$A$2:$A$1001,"PO")+COUNTIF('Multiple Choice Questions'!$A$2:$A$1001,"PO")+COUNTIF('Hybrid Questions'!$A$2:$A$1001,"PO")+COUNTIF('Hybrid Questions'!$D$2:$D$1001,"PO")+COUNTIF('Demographics'!$A$2:$A$1001,"PO"))=0),"Responses column PO ("""&amp;Responses!$PO$1&amp;""") has data, but no question or demographic is set up to use it — so it won't appear in your results.","")</f>
        <v>0</v>
      </c>
      <c r="F2938" s="4" t="s">
        <v>2247</v>
      </c>
    </row>
    <row r="2939" spans="1:6" ht="75" customHeight="1">
      <c r="A2939" t="s">
        <v>334</v>
      </c>
      <c r="B2939" t="s">
        <v>1198</v>
      </c>
      <c r="C2939" t="s">
        <v>1816</v>
      </c>
      <c r="D2939" t="s">
        <v>1808</v>
      </c>
      <c r="E2939" s="4">
        <f>IF(AND(Responses!$PP$1&lt;&gt;"",ISERROR(SEARCH("response id",LOWER(Responses!$PP$1))),(COUNTIF('Open Questions'!$A$2:$A$1001,"PP")+COUNTIF('Multiple Choice Questions'!$A$2:$A$1001,"PP")+COUNTIF('Hybrid Questions'!$A$2:$A$1001,"PP")+COUNTIF('Hybrid Questions'!$D$2:$D$1001,"PP")+COUNTIF('Demographics'!$A$2:$A$1001,"PP"))=0),"Responses column PP ("""&amp;Responses!$PP$1&amp;""") has data, but no question or demographic is set up to use it — so it won't appear in your results.","")</f>
        <v>0</v>
      </c>
      <c r="F2939" s="4" t="s">
        <v>2248</v>
      </c>
    </row>
    <row r="2940" spans="1:6" ht="75" customHeight="1">
      <c r="A2940" t="s">
        <v>334</v>
      </c>
      <c r="B2940" t="s">
        <v>1200</v>
      </c>
      <c r="C2940" t="s">
        <v>1816</v>
      </c>
      <c r="D2940" t="s">
        <v>1808</v>
      </c>
      <c r="E2940" s="4">
        <f>IF(AND(Responses!$PQ$1&lt;&gt;"",ISERROR(SEARCH("response id",LOWER(Responses!$PQ$1))),(COUNTIF('Open Questions'!$A$2:$A$1001,"PQ")+COUNTIF('Multiple Choice Questions'!$A$2:$A$1001,"PQ")+COUNTIF('Hybrid Questions'!$A$2:$A$1001,"PQ")+COUNTIF('Hybrid Questions'!$D$2:$D$1001,"PQ")+COUNTIF('Demographics'!$A$2:$A$1001,"PQ"))=0),"Responses column PQ ("""&amp;Responses!$PQ$1&amp;""") has data, but no question or demographic is set up to use it — so it won't appear in your results.","")</f>
        <v>0</v>
      </c>
      <c r="F2940" s="4" t="s">
        <v>2249</v>
      </c>
    </row>
    <row r="2941" spans="1:6" ht="75" customHeight="1">
      <c r="A2941" t="s">
        <v>334</v>
      </c>
      <c r="B2941" t="s">
        <v>1202</v>
      </c>
      <c r="C2941" t="s">
        <v>1816</v>
      </c>
      <c r="D2941" t="s">
        <v>1808</v>
      </c>
      <c r="E2941" s="4">
        <f>IF(AND(Responses!$PR$1&lt;&gt;"",ISERROR(SEARCH("response id",LOWER(Responses!$PR$1))),(COUNTIF('Open Questions'!$A$2:$A$1001,"PR")+COUNTIF('Multiple Choice Questions'!$A$2:$A$1001,"PR")+COUNTIF('Hybrid Questions'!$A$2:$A$1001,"PR")+COUNTIF('Hybrid Questions'!$D$2:$D$1001,"PR")+COUNTIF('Demographics'!$A$2:$A$1001,"PR"))=0),"Responses column PR ("""&amp;Responses!$PR$1&amp;""") has data, but no question or demographic is set up to use it — so it won't appear in your results.","")</f>
        <v>0</v>
      </c>
      <c r="F2941" s="4" t="s">
        <v>2250</v>
      </c>
    </row>
    <row r="2942" spans="1:6" ht="75" customHeight="1">
      <c r="A2942" t="s">
        <v>334</v>
      </c>
      <c r="B2942" t="s">
        <v>1204</v>
      </c>
      <c r="C2942" t="s">
        <v>1816</v>
      </c>
      <c r="D2942" t="s">
        <v>1808</v>
      </c>
      <c r="E2942" s="4">
        <f>IF(AND(Responses!$PS$1&lt;&gt;"",ISERROR(SEARCH("response id",LOWER(Responses!$PS$1))),(COUNTIF('Open Questions'!$A$2:$A$1001,"PS")+COUNTIF('Multiple Choice Questions'!$A$2:$A$1001,"PS")+COUNTIF('Hybrid Questions'!$A$2:$A$1001,"PS")+COUNTIF('Hybrid Questions'!$D$2:$D$1001,"PS")+COUNTIF('Demographics'!$A$2:$A$1001,"PS"))=0),"Responses column PS ("""&amp;Responses!$PS$1&amp;""") has data, but no question or demographic is set up to use it — so it won't appear in your results.","")</f>
        <v>0</v>
      </c>
      <c r="F2942" s="4" t="s">
        <v>2251</v>
      </c>
    </row>
    <row r="2943" spans="1:6" ht="75" customHeight="1">
      <c r="A2943" t="s">
        <v>334</v>
      </c>
      <c r="B2943" t="s">
        <v>1206</v>
      </c>
      <c r="C2943" t="s">
        <v>1816</v>
      </c>
      <c r="D2943" t="s">
        <v>1808</v>
      </c>
      <c r="E2943" s="4">
        <f>IF(AND(Responses!$PT$1&lt;&gt;"",ISERROR(SEARCH("response id",LOWER(Responses!$PT$1))),(COUNTIF('Open Questions'!$A$2:$A$1001,"PT")+COUNTIF('Multiple Choice Questions'!$A$2:$A$1001,"PT")+COUNTIF('Hybrid Questions'!$A$2:$A$1001,"PT")+COUNTIF('Hybrid Questions'!$D$2:$D$1001,"PT")+COUNTIF('Demographics'!$A$2:$A$1001,"PT"))=0),"Responses column PT ("""&amp;Responses!$PT$1&amp;""") has data, but no question or demographic is set up to use it — so it won't appear in your results.","")</f>
        <v>0</v>
      </c>
      <c r="F2943" s="4" t="s">
        <v>2252</v>
      </c>
    </row>
    <row r="2944" spans="1:6" ht="75" customHeight="1">
      <c r="A2944" t="s">
        <v>334</v>
      </c>
      <c r="B2944" t="s">
        <v>1208</v>
      </c>
      <c r="C2944" t="s">
        <v>1816</v>
      </c>
      <c r="D2944" t="s">
        <v>1808</v>
      </c>
      <c r="E2944" s="4">
        <f>IF(AND(Responses!$PU$1&lt;&gt;"",ISERROR(SEARCH("response id",LOWER(Responses!$PU$1))),(COUNTIF('Open Questions'!$A$2:$A$1001,"PU")+COUNTIF('Multiple Choice Questions'!$A$2:$A$1001,"PU")+COUNTIF('Hybrid Questions'!$A$2:$A$1001,"PU")+COUNTIF('Hybrid Questions'!$D$2:$D$1001,"PU")+COUNTIF('Demographics'!$A$2:$A$1001,"PU"))=0),"Responses column PU ("""&amp;Responses!$PU$1&amp;""") has data, but no question or demographic is set up to use it — so it won't appear in your results.","")</f>
        <v>0</v>
      </c>
      <c r="F2944" s="4" t="s">
        <v>2253</v>
      </c>
    </row>
    <row r="2945" spans="1:6" ht="75" customHeight="1">
      <c r="A2945" t="s">
        <v>334</v>
      </c>
      <c r="B2945" t="s">
        <v>1210</v>
      </c>
      <c r="C2945" t="s">
        <v>1816</v>
      </c>
      <c r="D2945" t="s">
        <v>1808</v>
      </c>
      <c r="E2945" s="4">
        <f>IF(AND(Responses!$PV$1&lt;&gt;"",ISERROR(SEARCH("response id",LOWER(Responses!$PV$1))),(COUNTIF('Open Questions'!$A$2:$A$1001,"PV")+COUNTIF('Multiple Choice Questions'!$A$2:$A$1001,"PV")+COUNTIF('Hybrid Questions'!$A$2:$A$1001,"PV")+COUNTIF('Hybrid Questions'!$D$2:$D$1001,"PV")+COUNTIF('Demographics'!$A$2:$A$1001,"PV"))=0),"Responses column PV ("""&amp;Responses!$PV$1&amp;""") has data, but no question or demographic is set up to use it — so it won't appear in your results.","")</f>
        <v>0</v>
      </c>
      <c r="F2945" s="4" t="s">
        <v>2254</v>
      </c>
    </row>
    <row r="2946" spans="1:6" ht="75" customHeight="1">
      <c r="A2946" t="s">
        <v>334</v>
      </c>
      <c r="B2946" t="s">
        <v>1212</v>
      </c>
      <c r="C2946" t="s">
        <v>1816</v>
      </c>
      <c r="D2946" t="s">
        <v>1808</v>
      </c>
      <c r="E2946" s="4">
        <f>IF(AND(Responses!$PW$1&lt;&gt;"",ISERROR(SEARCH("response id",LOWER(Responses!$PW$1))),(COUNTIF('Open Questions'!$A$2:$A$1001,"PW")+COUNTIF('Multiple Choice Questions'!$A$2:$A$1001,"PW")+COUNTIF('Hybrid Questions'!$A$2:$A$1001,"PW")+COUNTIF('Hybrid Questions'!$D$2:$D$1001,"PW")+COUNTIF('Demographics'!$A$2:$A$1001,"PW"))=0),"Responses column PW ("""&amp;Responses!$PW$1&amp;""") has data, but no question or demographic is set up to use it — so it won't appear in your results.","")</f>
        <v>0</v>
      </c>
      <c r="F2946" s="4" t="s">
        <v>2255</v>
      </c>
    </row>
    <row r="2947" spans="1:6" ht="75" customHeight="1">
      <c r="A2947" t="s">
        <v>334</v>
      </c>
      <c r="B2947" t="s">
        <v>1214</v>
      </c>
      <c r="C2947" t="s">
        <v>1816</v>
      </c>
      <c r="D2947" t="s">
        <v>1808</v>
      </c>
      <c r="E2947" s="4">
        <f>IF(AND(Responses!$PX$1&lt;&gt;"",ISERROR(SEARCH("response id",LOWER(Responses!$PX$1))),(COUNTIF('Open Questions'!$A$2:$A$1001,"PX")+COUNTIF('Multiple Choice Questions'!$A$2:$A$1001,"PX")+COUNTIF('Hybrid Questions'!$A$2:$A$1001,"PX")+COUNTIF('Hybrid Questions'!$D$2:$D$1001,"PX")+COUNTIF('Demographics'!$A$2:$A$1001,"PX"))=0),"Responses column PX ("""&amp;Responses!$PX$1&amp;""") has data, but no question or demographic is set up to use it — so it won't appear in your results.","")</f>
        <v>0</v>
      </c>
      <c r="F2947" s="4" t="s">
        <v>2256</v>
      </c>
    </row>
    <row r="2948" spans="1:6" ht="75" customHeight="1">
      <c r="A2948" t="s">
        <v>334</v>
      </c>
      <c r="B2948" t="s">
        <v>1216</v>
      </c>
      <c r="C2948" t="s">
        <v>1816</v>
      </c>
      <c r="D2948" t="s">
        <v>1808</v>
      </c>
      <c r="E2948" s="4">
        <f>IF(AND(Responses!$PY$1&lt;&gt;"",ISERROR(SEARCH("response id",LOWER(Responses!$PY$1))),(COUNTIF('Open Questions'!$A$2:$A$1001,"PY")+COUNTIF('Multiple Choice Questions'!$A$2:$A$1001,"PY")+COUNTIF('Hybrid Questions'!$A$2:$A$1001,"PY")+COUNTIF('Hybrid Questions'!$D$2:$D$1001,"PY")+COUNTIF('Demographics'!$A$2:$A$1001,"PY"))=0),"Responses column PY ("""&amp;Responses!$PY$1&amp;""") has data, but no question or demographic is set up to use it — so it won't appear in your results.","")</f>
        <v>0</v>
      </c>
      <c r="F2948" s="4" t="s">
        <v>2257</v>
      </c>
    </row>
    <row r="2949" spans="1:6" ht="75" customHeight="1">
      <c r="A2949" t="s">
        <v>334</v>
      </c>
      <c r="B2949" t="s">
        <v>1218</v>
      </c>
      <c r="C2949" t="s">
        <v>1816</v>
      </c>
      <c r="D2949" t="s">
        <v>1808</v>
      </c>
      <c r="E2949" s="4">
        <f>IF(AND(Responses!$PZ$1&lt;&gt;"",ISERROR(SEARCH("response id",LOWER(Responses!$PZ$1))),(COUNTIF('Open Questions'!$A$2:$A$1001,"PZ")+COUNTIF('Multiple Choice Questions'!$A$2:$A$1001,"PZ")+COUNTIF('Hybrid Questions'!$A$2:$A$1001,"PZ")+COUNTIF('Hybrid Questions'!$D$2:$D$1001,"PZ")+COUNTIF('Demographics'!$A$2:$A$1001,"PZ"))=0),"Responses column PZ ("""&amp;Responses!$PZ$1&amp;""") has data, but no question or demographic is set up to use it — so it won't appear in your results.","")</f>
        <v>0</v>
      </c>
      <c r="F2949" s="4" t="s">
        <v>2258</v>
      </c>
    </row>
    <row r="2950" spans="1:6" ht="75" customHeight="1">
      <c r="A2950" t="s">
        <v>334</v>
      </c>
      <c r="B2950" t="s">
        <v>1220</v>
      </c>
      <c r="C2950" t="s">
        <v>1816</v>
      </c>
      <c r="D2950" t="s">
        <v>1808</v>
      </c>
      <c r="E2950" s="4">
        <f>IF(AND(Responses!$QA$1&lt;&gt;"",ISERROR(SEARCH("response id",LOWER(Responses!$QA$1))),(COUNTIF('Open Questions'!$A$2:$A$1001,"QA")+COUNTIF('Multiple Choice Questions'!$A$2:$A$1001,"QA")+COUNTIF('Hybrid Questions'!$A$2:$A$1001,"QA")+COUNTIF('Hybrid Questions'!$D$2:$D$1001,"QA")+COUNTIF('Demographics'!$A$2:$A$1001,"QA"))=0),"Responses column QA ("""&amp;Responses!$QA$1&amp;""") has data, but no question or demographic is set up to use it — so it won't appear in your results.","")</f>
        <v>0</v>
      </c>
      <c r="F2950" s="4" t="s">
        <v>2259</v>
      </c>
    </row>
    <row r="2951" spans="1:6" ht="75" customHeight="1">
      <c r="A2951" t="s">
        <v>334</v>
      </c>
      <c r="B2951" t="s">
        <v>1222</v>
      </c>
      <c r="C2951" t="s">
        <v>1816</v>
      </c>
      <c r="D2951" t="s">
        <v>1808</v>
      </c>
      <c r="E2951" s="4">
        <f>IF(AND(Responses!$QB$1&lt;&gt;"",ISERROR(SEARCH("response id",LOWER(Responses!$QB$1))),(COUNTIF('Open Questions'!$A$2:$A$1001,"QB")+COUNTIF('Multiple Choice Questions'!$A$2:$A$1001,"QB")+COUNTIF('Hybrid Questions'!$A$2:$A$1001,"QB")+COUNTIF('Hybrid Questions'!$D$2:$D$1001,"QB")+COUNTIF('Demographics'!$A$2:$A$1001,"QB"))=0),"Responses column QB ("""&amp;Responses!$QB$1&amp;""") has data, but no question or demographic is set up to use it — so it won't appear in your results.","")</f>
        <v>0</v>
      </c>
      <c r="F2951" s="4" t="s">
        <v>2260</v>
      </c>
    </row>
    <row r="2952" spans="1:6" ht="75" customHeight="1">
      <c r="A2952" t="s">
        <v>334</v>
      </c>
      <c r="B2952" t="s">
        <v>1224</v>
      </c>
      <c r="C2952" t="s">
        <v>1816</v>
      </c>
      <c r="D2952" t="s">
        <v>1808</v>
      </c>
      <c r="E2952" s="4">
        <f>IF(AND(Responses!$QC$1&lt;&gt;"",ISERROR(SEARCH("response id",LOWER(Responses!$QC$1))),(COUNTIF('Open Questions'!$A$2:$A$1001,"QC")+COUNTIF('Multiple Choice Questions'!$A$2:$A$1001,"QC")+COUNTIF('Hybrid Questions'!$A$2:$A$1001,"QC")+COUNTIF('Hybrid Questions'!$D$2:$D$1001,"QC")+COUNTIF('Demographics'!$A$2:$A$1001,"QC"))=0),"Responses column QC ("""&amp;Responses!$QC$1&amp;""") has data, but no question or demographic is set up to use it — so it won't appear in your results.","")</f>
        <v>0</v>
      </c>
      <c r="F2952" s="4" t="s">
        <v>2261</v>
      </c>
    </row>
    <row r="2953" spans="1:6" ht="75" customHeight="1">
      <c r="A2953" t="s">
        <v>334</v>
      </c>
      <c r="B2953" t="s">
        <v>1226</v>
      </c>
      <c r="C2953" t="s">
        <v>1816</v>
      </c>
      <c r="D2953" t="s">
        <v>1808</v>
      </c>
      <c r="E2953" s="4">
        <f>IF(AND(Responses!$QD$1&lt;&gt;"",ISERROR(SEARCH("response id",LOWER(Responses!$QD$1))),(COUNTIF('Open Questions'!$A$2:$A$1001,"QD")+COUNTIF('Multiple Choice Questions'!$A$2:$A$1001,"QD")+COUNTIF('Hybrid Questions'!$A$2:$A$1001,"QD")+COUNTIF('Hybrid Questions'!$D$2:$D$1001,"QD")+COUNTIF('Demographics'!$A$2:$A$1001,"QD"))=0),"Responses column QD ("""&amp;Responses!$QD$1&amp;""") has data, but no question or demographic is set up to use it — so it won't appear in your results.","")</f>
        <v>0</v>
      </c>
      <c r="F2953" s="4" t="s">
        <v>2262</v>
      </c>
    </row>
    <row r="2954" spans="1:6" ht="75" customHeight="1">
      <c r="A2954" t="s">
        <v>334</v>
      </c>
      <c r="B2954" t="s">
        <v>1228</v>
      </c>
      <c r="C2954" t="s">
        <v>1816</v>
      </c>
      <c r="D2954" t="s">
        <v>1808</v>
      </c>
      <c r="E2954" s="4">
        <f>IF(AND(Responses!$QE$1&lt;&gt;"",ISERROR(SEARCH("response id",LOWER(Responses!$QE$1))),(COUNTIF('Open Questions'!$A$2:$A$1001,"QE")+COUNTIF('Multiple Choice Questions'!$A$2:$A$1001,"QE")+COUNTIF('Hybrid Questions'!$A$2:$A$1001,"QE")+COUNTIF('Hybrid Questions'!$D$2:$D$1001,"QE")+COUNTIF('Demographics'!$A$2:$A$1001,"QE"))=0),"Responses column QE ("""&amp;Responses!$QE$1&amp;""") has data, but no question or demographic is set up to use it — so it won't appear in your results.","")</f>
        <v>0</v>
      </c>
      <c r="F2954" s="4" t="s">
        <v>2263</v>
      </c>
    </row>
    <row r="2955" spans="1:6" ht="75" customHeight="1">
      <c r="A2955" t="s">
        <v>334</v>
      </c>
      <c r="B2955" t="s">
        <v>1230</v>
      </c>
      <c r="C2955" t="s">
        <v>1816</v>
      </c>
      <c r="D2955" t="s">
        <v>1808</v>
      </c>
      <c r="E2955" s="4">
        <f>IF(AND(Responses!$QF$1&lt;&gt;"",ISERROR(SEARCH("response id",LOWER(Responses!$QF$1))),(COUNTIF('Open Questions'!$A$2:$A$1001,"QF")+COUNTIF('Multiple Choice Questions'!$A$2:$A$1001,"QF")+COUNTIF('Hybrid Questions'!$A$2:$A$1001,"QF")+COUNTIF('Hybrid Questions'!$D$2:$D$1001,"QF")+COUNTIF('Demographics'!$A$2:$A$1001,"QF"))=0),"Responses column QF ("""&amp;Responses!$QF$1&amp;""") has data, but no question or demographic is set up to use it — so it won't appear in your results.","")</f>
        <v>0</v>
      </c>
      <c r="F2955" s="4" t="s">
        <v>2264</v>
      </c>
    </row>
    <row r="2956" spans="1:6" ht="75" customHeight="1">
      <c r="A2956" t="s">
        <v>334</v>
      </c>
      <c r="B2956" t="s">
        <v>1232</v>
      </c>
      <c r="C2956" t="s">
        <v>1816</v>
      </c>
      <c r="D2956" t="s">
        <v>1808</v>
      </c>
      <c r="E2956" s="4">
        <f>IF(AND(Responses!$QG$1&lt;&gt;"",ISERROR(SEARCH("response id",LOWER(Responses!$QG$1))),(COUNTIF('Open Questions'!$A$2:$A$1001,"QG")+COUNTIF('Multiple Choice Questions'!$A$2:$A$1001,"QG")+COUNTIF('Hybrid Questions'!$A$2:$A$1001,"QG")+COUNTIF('Hybrid Questions'!$D$2:$D$1001,"QG")+COUNTIF('Demographics'!$A$2:$A$1001,"QG"))=0),"Responses column QG ("""&amp;Responses!$QG$1&amp;""") has data, but no question or demographic is set up to use it — so it won't appear in your results.","")</f>
        <v>0</v>
      </c>
      <c r="F2956" s="4" t="s">
        <v>2265</v>
      </c>
    </row>
    <row r="2957" spans="1:6" ht="75" customHeight="1">
      <c r="A2957" t="s">
        <v>334</v>
      </c>
      <c r="B2957" t="s">
        <v>1234</v>
      </c>
      <c r="C2957" t="s">
        <v>1816</v>
      </c>
      <c r="D2957" t="s">
        <v>1808</v>
      </c>
      <c r="E2957" s="4">
        <f>IF(AND(Responses!$QH$1&lt;&gt;"",ISERROR(SEARCH("response id",LOWER(Responses!$QH$1))),(COUNTIF('Open Questions'!$A$2:$A$1001,"QH")+COUNTIF('Multiple Choice Questions'!$A$2:$A$1001,"QH")+COUNTIF('Hybrid Questions'!$A$2:$A$1001,"QH")+COUNTIF('Hybrid Questions'!$D$2:$D$1001,"QH")+COUNTIF('Demographics'!$A$2:$A$1001,"QH"))=0),"Responses column QH ("""&amp;Responses!$QH$1&amp;""") has data, but no question or demographic is set up to use it — so it won't appear in your results.","")</f>
        <v>0</v>
      </c>
      <c r="F2957" s="4" t="s">
        <v>2266</v>
      </c>
    </row>
    <row r="2958" spans="1:6" ht="75" customHeight="1">
      <c r="A2958" t="s">
        <v>334</v>
      </c>
      <c r="B2958" t="s">
        <v>1236</v>
      </c>
      <c r="C2958" t="s">
        <v>1816</v>
      </c>
      <c r="D2958" t="s">
        <v>1808</v>
      </c>
      <c r="E2958" s="4">
        <f>IF(AND(Responses!$QI$1&lt;&gt;"",ISERROR(SEARCH("response id",LOWER(Responses!$QI$1))),(COUNTIF('Open Questions'!$A$2:$A$1001,"QI")+COUNTIF('Multiple Choice Questions'!$A$2:$A$1001,"QI")+COUNTIF('Hybrid Questions'!$A$2:$A$1001,"QI")+COUNTIF('Hybrid Questions'!$D$2:$D$1001,"QI")+COUNTIF('Demographics'!$A$2:$A$1001,"QI"))=0),"Responses column QI ("""&amp;Responses!$QI$1&amp;""") has data, but no question or demographic is set up to use it — so it won't appear in your results.","")</f>
        <v>0</v>
      </c>
      <c r="F2958" s="4" t="s">
        <v>2267</v>
      </c>
    </row>
    <row r="2959" spans="1:6" ht="75" customHeight="1">
      <c r="A2959" t="s">
        <v>334</v>
      </c>
      <c r="B2959" t="s">
        <v>1238</v>
      </c>
      <c r="C2959" t="s">
        <v>1816</v>
      </c>
      <c r="D2959" t="s">
        <v>1808</v>
      </c>
      <c r="E2959" s="4">
        <f>IF(AND(Responses!$QJ$1&lt;&gt;"",ISERROR(SEARCH("response id",LOWER(Responses!$QJ$1))),(COUNTIF('Open Questions'!$A$2:$A$1001,"QJ")+COUNTIF('Multiple Choice Questions'!$A$2:$A$1001,"QJ")+COUNTIF('Hybrid Questions'!$A$2:$A$1001,"QJ")+COUNTIF('Hybrid Questions'!$D$2:$D$1001,"QJ")+COUNTIF('Demographics'!$A$2:$A$1001,"QJ"))=0),"Responses column QJ ("""&amp;Responses!$QJ$1&amp;""") has data, but no question or demographic is set up to use it — so it won't appear in your results.","")</f>
        <v>0</v>
      </c>
      <c r="F2959" s="4" t="s">
        <v>2268</v>
      </c>
    </row>
    <row r="2960" spans="1:6" ht="75" customHeight="1">
      <c r="A2960" t="s">
        <v>334</v>
      </c>
      <c r="B2960" t="s">
        <v>1240</v>
      </c>
      <c r="C2960" t="s">
        <v>1816</v>
      </c>
      <c r="D2960" t="s">
        <v>1808</v>
      </c>
      <c r="E2960" s="4">
        <f>IF(AND(Responses!$QK$1&lt;&gt;"",ISERROR(SEARCH("response id",LOWER(Responses!$QK$1))),(COUNTIF('Open Questions'!$A$2:$A$1001,"QK")+COUNTIF('Multiple Choice Questions'!$A$2:$A$1001,"QK")+COUNTIF('Hybrid Questions'!$A$2:$A$1001,"QK")+COUNTIF('Hybrid Questions'!$D$2:$D$1001,"QK")+COUNTIF('Demographics'!$A$2:$A$1001,"QK"))=0),"Responses column QK ("""&amp;Responses!$QK$1&amp;""") has data, but no question or demographic is set up to use it — so it won't appear in your results.","")</f>
        <v>0</v>
      </c>
      <c r="F2960" s="4" t="s">
        <v>2269</v>
      </c>
    </row>
    <row r="2961" spans="1:6" ht="75" customHeight="1">
      <c r="A2961" t="s">
        <v>334</v>
      </c>
      <c r="B2961" t="s">
        <v>1242</v>
      </c>
      <c r="C2961" t="s">
        <v>1816</v>
      </c>
      <c r="D2961" t="s">
        <v>1808</v>
      </c>
      <c r="E2961" s="4">
        <f>IF(AND(Responses!$QL$1&lt;&gt;"",ISERROR(SEARCH("response id",LOWER(Responses!$QL$1))),(COUNTIF('Open Questions'!$A$2:$A$1001,"QL")+COUNTIF('Multiple Choice Questions'!$A$2:$A$1001,"QL")+COUNTIF('Hybrid Questions'!$A$2:$A$1001,"QL")+COUNTIF('Hybrid Questions'!$D$2:$D$1001,"QL")+COUNTIF('Demographics'!$A$2:$A$1001,"QL"))=0),"Responses column QL ("""&amp;Responses!$QL$1&amp;""") has data, but no question or demographic is set up to use it — so it won't appear in your results.","")</f>
        <v>0</v>
      </c>
      <c r="F2961" s="4" t="s">
        <v>2270</v>
      </c>
    </row>
    <row r="2962" spans="1:6" ht="75" customHeight="1">
      <c r="A2962" t="s">
        <v>334</v>
      </c>
      <c r="B2962" t="s">
        <v>1244</v>
      </c>
      <c r="C2962" t="s">
        <v>1816</v>
      </c>
      <c r="D2962" t="s">
        <v>1808</v>
      </c>
      <c r="E2962" s="4">
        <f>IF(AND(Responses!$QM$1&lt;&gt;"",ISERROR(SEARCH("response id",LOWER(Responses!$QM$1))),(COUNTIF('Open Questions'!$A$2:$A$1001,"QM")+COUNTIF('Multiple Choice Questions'!$A$2:$A$1001,"QM")+COUNTIF('Hybrid Questions'!$A$2:$A$1001,"QM")+COUNTIF('Hybrid Questions'!$D$2:$D$1001,"QM")+COUNTIF('Demographics'!$A$2:$A$1001,"QM"))=0),"Responses column QM ("""&amp;Responses!$QM$1&amp;""") has data, but no question or demographic is set up to use it — so it won't appear in your results.","")</f>
        <v>0</v>
      </c>
      <c r="F2962" s="4" t="s">
        <v>2271</v>
      </c>
    </row>
    <row r="2963" spans="1:6" ht="75" customHeight="1">
      <c r="A2963" t="s">
        <v>334</v>
      </c>
      <c r="B2963" t="s">
        <v>1246</v>
      </c>
      <c r="C2963" t="s">
        <v>1816</v>
      </c>
      <c r="D2963" t="s">
        <v>1808</v>
      </c>
      <c r="E2963" s="4">
        <f>IF(AND(Responses!$QN$1&lt;&gt;"",ISERROR(SEARCH("response id",LOWER(Responses!$QN$1))),(COUNTIF('Open Questions'!$A$2:$A$1001,"QN")+COUNTIF('Multiple Choice Questions'!$A$2:$A$1001,"QN")+COUNTIF('Hybrid Questions'!$A$2:$A$1001,"QN")+COUNTIF('Hybrid Questions'!$D$2:$D$1001,"QN")+COUNTIF('Demographics'!$A$2:$A$1001,"QN"))=0),"Responses column QN ("""&amp;Responses!$QN$1&amp;""") has data, but no question or demographic is set up to use it — so it won't appear in your results.","")</f>
        <v>0</v>
      </c>
      <c r="F2963" s="4" t="s">
        <v>2272</v>
      </c>
    </row>
    <row r="2964" spans="1:6" ht="75" customHeight="1">
      <c r="A2964" t="s">
        <v>334</v>
      </c>
      <c r="B2964" t="s">
        <v>1248</v>
      </c>
      <c r="C2964" t="s">
        <v>1816</v>
      </c>
      <c r="D2964" t="s">
        <v>1808</v>
      </c>
      <c r="E2964" s="4">
        <f>IF(AND(Responses!$QO$1&lt;&gt;"",ISERROR(SEARCH("response id",LOWER(Responses!$QO$1))),(COUNTIF('Open Questions'!$A$2:$A$1001,"QO")+COUNTIF('Multiple Choice Questions'!$A$2:$A$1001,"QO")+COUNTIF('Hybrid Questions'!$A$2:$A$1001,"QO")+COUNTIF('Hybrid Questions'!$D$2:$D$1001,"QO")+COUNTIF('Demographics'!$A$2:$A$1001,"QO"))=0),"Responses column QO ("""&amp;Responses!$QO$1&amp;""") has data, but no question or demographic is set up to use it — so it won't appear in your results.","")</f>
        <v>0</v>
      </c>
      <c r="F2964" s="4" t="s">
        <v>2273</v>
      </c>
    </row>
    <row r="2965" spans="1:6" ht="75" customHeight="1">
      <c r="A2965" t="s">
        <v>334</v>
      </c>
      <c r="B2965" t="s">
        <v>1250</v>
      </c>
      <c r="C2965" t="s">
        <v>1816</v>
      </c>
      <c r="D2965" t="s">
        <v>1808</v>
      </c>
      <c r="E2965" s="4">
        <f>IF(AND(Responses!$QP$1&lt;&gt;"",ISERROR(SEARCH("response id",LOWER(Responses!$QP$1))),(COUNTIF('Open Questions'!$A$2:$A$1001,"QP")+COUNTIF('Multiple Choice Questions'!$A$2:$A$1001,"QP")+COUNTIF('Hybrid Questions'!$A$2:$A$1001,"QP")+COUNTIF('Hybrid Questions'!$D$2:$D$1001,"QP")+COUNTIF('Demographics'!$A$2:$A$1001,"QP"))=0),"Responses column QP ("""&amp;Responses!$QP$1&amp;""") has data, but no question or demographic is set up to use it — so it won't appear in your results.","")</f>
        <v>0</v>
      </c>
      <c r="F2965" s="4" t="s">
        <v>2274</v>
      </c>
    </row>
    <row r="2966" spans="1:6" ht="75" customHeight="1">
      <c r="A2966" t="s">
        <v>334</v>
      </c>
      <c r="B2966" t="s">
        <v>1252</v>
      </c>
      <c r="C2966" t="s">
        <v>1816</v>
      </c>
      <c r="D2966" t="s">
        <v>1808</v>
      </c>
      <c r="E2966" s="4">
        <f>IF(AND(Responses!$QQ$1&lt;&gt;"",ISERROR(SEARCH("response id",LOWER(Responses!$QQ$1))),(COUNTIF('Open Questions'!$A$2:$A$1001,"QQ")+COUNTIF('Multiple Choice Questions'!$A$2:$A$1001,"QQ")+COUNTIF('Hybrid Questions'!$A$2:$A$1001,"QQ")+COUNTIF('Hybrid Questions'!$D$2:$D$1001,"QQ")+COUNTIF('Demographics'!$A$2:$A$1001,"QQ"))=0),"Responses column QQ ("""&amp;Responses!$QQ$1&amp;""") has data, but no question or demographic is set up to use it — so it won't appear in your results.","")</f>
        <v>0</v>
      </c>
      <c r="F2966" s="4" t="s">
        <v>2275</v>
      </c>
    </row>
    <row r="2967" spans="1:6" ht="75" customHeight="1">
      <c r="A2967" t="s">
        <v>334</v>
      </c>
      <c r="B2967" t="s">
        <v>1254</v>
      </c>
      <c r="C2967" t="s">
        <v>1816</v>
      </c>
      <c r="D2967" t="s">
        <v>1808</v>
      </c>
      <c r="E2967" s="4">
        <f>IF(AND(Responses!$QR$1&lt;&gt;"",ISERROR(SEARCH("response id",LOWER(Responses!$QR$1))),(COUNTIF('Open Questions'!$A$2:$A$1001,"QR")+COUNTIF('Multiple Choice Questions'!$A$2:$A$1001,"QR")+COUNTIF('Hybrid Questions'!$A$2:$A$1001,"QR")+COUNTIF('Hybrid Questions'!$D$2:$D$1001,"QR")+COUNTIF('Demographics'!$A$2:$A$1001,"QR"))=0),"Responses column QR ("""&amp;Responses!$QR$1&amp;""") has data, but no question or demographic is set up to use it — so it won't appear in your results.","")</f>
        <v>0</v>
      </c>
      <c r="F2967" s="4" t="s">
        <v>2276</v>
      </c>
    </row>
    <row r="2968" spans="1:6" ht="75" customHeight="1">
      <c r="A2968" t="s">
        <v>334</v>
      </c>
      <c r="B2968" t="s">
        <v>1256</v>
      </c>
      <c r="C2968" t="s">
        <v>1816</v>
      </c>
      <c r="D2968" t="s">
        <v>1808</v>
      </c>
      <c r="E2968" s="4">
        <f>IF(AND(Responses!$QS$1&lt;&gt;"",ISERROR(SEARCH("response id",LOWER(Responses!$QS$1))),(COUNTIF('Open Questions'!$A$2:$A$1001,"QS")+COUNTIF('Multiple Choice Questions'!$A$2:$A$1001,"QS")+COUNTIF('Hybrid Questions'!$A$2:$A$1001,"QS")+COUNTIF('Hybrid Questions'!$D$2:$D$1001,"QS")+COUNTIF('Demographics'!$A$2:$A$1001,"QS"))=0),"Responses column QS ("""&amp;Responses!$QS$1&amp;""") has data, but no question or demographic is set up to use it — so it won't appear in your results.","")</f>
        <v>0</v>
      </c>
      <c r="F2968" s="4" t="s">
        <v>2277</v>
      </c>
    </row>
    <row r="2969" spans="1:6" ht="75" customHeight="1">
      <c r="A2969" t="s">
        <v>334</v>
      </c>
      <c r="B2969" t="s">
        <v>1258</v>
      </c>
      <c r="C2969" t="s">
        <v>1816</v>
      </c>
      <c r="D2969" t="s">
        <v>1808</v>
      </c>
      <c r="E2969" s="4">
        <f>IF(AND(Responses!$QT$1&lt;&gt;"",ISERROR(SEARCH("response id",LOWER(Responses!$QT$1))),(COUNTIF('Open Questions'!$A$2:$A$1001,"QT")+COUNTIF('Multiple Choice Questions'!$A$2:$A$1001,"QT")+COUNTIF('Hybrid Questions'!$A$2:$A$1001,"QT")+COUNTIF('Hybrid Questions'!$D$2:$D$1001,"QT")+COUNTIF('Demographics'!$A$2:$A$1001,"QT"))=0),"Responses column QT ("""&amp;Responses!$QT$1&amp;""") has data, but no question or demographic is set up to use it — so it won't appear in your results.","")</f>
        <v>0</v>
      </c>
      <c r="F2969" s="4" t="s">
        <v>2278</v>
      </c>
    </row>
    <row r="2970" spans="1:6" ht="75" customHeight="1">
      <c r="A2970" t="s">
        <v>334</v>
      </c>
      <c r="B2970" t="s">
        <v>1260</v>
      </c>
      <c r="C2970" t="s">
        <v>1816</v>
      </c>
      <c r="D2970" t="s">
        <v>1808</v>
      </c>
      <c r="E2970" s="4">
        <f>IF(AND(Responses!$QU$1&lt;&gt;"",ISERROR(SEARCH("response id",LOWER(Responses!$QU$1))),(COUNTIF('Open Questions'!$A$2:$A$1001,"QU")+COUNTIF('Multiple Choice Questions'!$A$2:$A$1001,"QU")+COUNTIF('Hybrid Questions'!$A$2:$A$1001,"QU")+COUNTIF('Hybrid Questions'!$D$2:$D$1001,"QU")+COUNTIF('Demographics'!$A$2:$A$1001,"QU"))=0),"Responses column QU ("""&amp;Responses!$QU$1&amp;""") has data, but no question or demographic is set up to use it — so it won't appear in your results.","")</f>
        <v>0</v>
      </c>
      <c r="F2970" s="4" t="s">
        <v>2279</v>
      </c>
    </row>
    <row r="2971" spans="1:6" ht="75" customHeight="1">
      <c r="A2971" t="s">
        <v>334</v>
      </c>
      <c r="B2971" t="s">
        <v>1262</v>
      </c>
      <c r="C2971" t="s">
        <v>1816</v>
      </c>
      <c r="D2971" t="s">
        <v>1808</v>
      </c>
      <c r="E2971" s="4">
        <f>IF(AND(Responses!$QV$1&lt;&gt;"",ISERROR(SEARCH("response id",LOWER(Responses!$QV$1))),(COUNTIF('Open Questions'!$A$2:$A$1001,"QV")+COUNTIF('Multiple Choice Questions'!$A$2:$A$1001,"QV")+COUNTIF('Hybrid Questions'!$A$2:$A$1001,"QV")+COUNTIF('Hybrid Questions'!$D$2:$D$1001,"QV")+COUNTIF('Demographics'!$A$2:$A$1001,"QV"))=0),"Responses column QV ("""&amp;Responses!$QV$1&amp;""") has data, but no question or demographic is set up to use it — so it won't appear in your results.","")</f>
        <v>0</v>
      </c>
      <c r="F2971" s="4" t="s">
        <v>2280</v>
      </c>
    </row>
    <row r="2972" spans="1:6" ht="75" customHeight="1">
      <c r="A2972" t="s">
        <v>334</v>
      </c>
      <c r="B2972" t="s">
        <v>1264</v>
      </c>
      <c r="C2972" t="s">
        <v>1816</v>
      </c>
      <c r="D2972" t="s">
        <v>1808</v>
      </c>
      <c r="E2972" s="4">
        <f>IF(AND(Responses!$QW$1&lt;&gt;"",ISERROR(SEARCH("response id",LOWER(Responses!$QW$1))),(COUNTIF('Open Questions'!$A$2:$A$1001,"QW")+COUNTIF('Multiple Choice Questions'!$A$2:$A$1001,"QW")+COUNTIF('Hybrid Questions'!$A$2:$A$1001,"QW")+COUNTIF('Hybrid Questions'!$D$2:$D$1001,"QW")+COUNTIF('Demographics'!$A$2:$A$1001,"QW"))=0),"Responses column QW ("""&amp;Responses!$QW$1&amp;""") has data, but no question or demographic is set up to use it — so it won't appear in your results.","")</f>
        <v>0</v>
      </c>
      <c r="F2972" s="4" t="s">
        <v>2281</v>
      </c>
    </row>
    <row r="2973" spans="1:6" ht="75" customHeight="1">
      <c r="A2973" t="s">
        <v>334</v>
      </c>
      <c r="B2973" t="s">
        <v>1266</v>
      </c>
      <c r="C2973" t="s">
        <v>1816</v>
      </c>
      <c r="D2973" t="s">
        <v>1808</v>
      </c>
      <c r="E2973" s="4">
        <f>IF(AND(Responses!$QX$1&lt;&gt;"",ISERROR(SEARCH("response id",LOWER(Responses!$QX$1))),(COUNTIF('Open Questions'!$A$2:$A$1001,"QX")+COUNTIF('Multiple Choice Questions'!$A$2:$A$1001,"QX")+COUNTIF('Hybrid Questions'!$A$2:$A$1001,"QX")+COUNTIF('Hybrid Questions'!$D$2:$D$1001,"QX")+COUNTIF('Demographics'!$A$2:$A$1001,"QX"))=0),"Responses column QX ("""&amp;Responses!$QX$1&amp;""") has data, but no question or demographic is set up to use it — so it won't appear in your results.","")</f>
        <v>0</v>
      </c>
      <c r="F2973" s="4" t="s">
        <v>2282</v>
      </c>
    </row>
    <row r="2974" spans="1:6" ht="75" customHeight="1">
      <c r="A2974" t="s">
        <v>334</v>
      </c>
      <c r="B2974" t="s">
        <v>1268</v>
      </c>
      <c r="C2974" t="s">
        <v>1816</v>
      </c>
      <c r="D2974" t="s">
        <v>1808</v>
      </c>
      <c r="E2974" s="4">
        <f>IF(AND(Responses!$QY$1&lt;&gt;"",ISERROR(SEARCH("response id",LOWER(Responses!$QY$1))),(COUNTIF('Open Questions'!$A$2:$A$1001,"QY")+COUNTIF('Multiple Choice Questions'!$A$2:$A$1001,"QY")+COUNTIF('Hybrid Questions'!$A$2:$A$1001,"QY")+COUNTIF('Hybrid Questions'!$D$2:$D$1001,"QY")+COUNTIF('Demographics'!$A$2:$A$1001,"QY"))=0),"Responses column QY ("""&amp;Responses!$QY$1&amp;""") has data, but no question or demographic is set up to use it — so it won't appear in your results.","")</f>
        <v>0</v>
      </c>
      <c r="F2974" s="4" t="s">
        <v>2283</v>
      </c>
    </row>
    <row r="2975" spans="1:6" ht="75" customHeight="1">
      <c r="A2975" t="s">
        <v>334</v>
      </c>
      <c r="B2975" t="s">
        <v>1270</v>
      </c>
      <c r="C2975" t="s">
        <v>1816</v>
      </c>
      <c r="D2975" t="s">
        <v>1808</v>
      </c>
      <c r="E2975" s="4">
        <f>IF(AND(Responses!$QZ$1&lt;&gt;"",ISERROR(SEARCH("response id",LOWER(Responses!$QZ$1))),(COUNTIF('Open Questions'!$A$2:$A$1001,"QZ")+COUNTIF('Multiple Choice Questions'!$A$2:$A$1001,"QZ")+COUNTIF('Hybrid Questions'!$A$2:$A$1001,"QZ")+COUNTIF('Hybrid Questions'!$D$2:$D$1001,"QZ")+COUNTIF('Demographics'!$A$2:$A$1001,"QZ"))=0),"Responses column QZ ("""&amp;Responses!$QZ$1&amp;""") has data, but no question or demographic is set up to use it — so it won't appear in your results.","")</f>
        <v>0</v>
      </c>
      <c r="F2975" s="4" t="s">
        <v>2284</v>
      </c>
    </row>
    <row r="2976" spans="1:6" ht="75" customHeight="1">
      <c r="A2976" t="s">
        <v>334</v>
      </c>
      <c r="B2976" t="s">
        <v>1272</v>
      </c>
      <c r="C2976" t="s">
        <v>1816</v>
      </c>
      <c r="D2976" t="s">
        <v>1808</v>
      </c>
      <c r="E2976" s="4">
        <f>IF(AND(Responses!$RA$1&lt;&gt;"",ISERROR(SEARCH("response id",LOWER(Responses!$RA$1))),(COUNTIF('Open Questions'!$A$2:$A$1001,"RA")+COUNTIF('Multiple Choice Questions'!$A$2:$A$1001,"RA")+COUNTIF('Hybrid Questions'!$A$2:$A$1001,"RA")+COUNTIF('Hybrid Questions'!$D$2:$D$1001,"RA")+COUNTIF('Demographics'!$A$2:$A$1001,"RA"))=0),"Responses column RA ("""&amp;Responses!$RA$1&amp;""") has data, but no question or demographic is set up to use it — so it won't appear in your results.","")</f>
        <v>0</v>
      </c>
      <c r="F2976" s="4" t="s">
        <v>2285</v>
      </c>
    </row>
    <row r="2977" spans="1:6" ht="75" customHeight="1">
      <c r="A2977" t="s">
        <v>334</v>
      </c>
      <c r="B2977" t="s">
        <v>1274</v>
      </c>
      <c r="C2977" t="s">
        <v>1816</v>
      </c>
      <c r="D2977" t="s">
        <v>1808</v>
      </c>
      <c r="E2977" s="4">
        <f>IF(AND(Responses!$RB$1&lt;&gt;"",ISERROR(SEARCH("response id",LOWER(Responses!$RB$1))),(COUNTIF('Open Questions'!$A$2:$A$1001,"RB")+COUNTIF('Multiple Choice Questions'!$A$2:$A$1001,"RB")+COUNTIF('Hybrid Questions'!$A$2:$A$1001,"RB")+COUNTIF('Hybrid Questions'!$D$2:$D$1001,"RB")+COUNTIF('Demographics'!$A$2:$A$1001,"RB"))=0),"Responses column RB ("""&amp;Responses!$RB$1&amp;""") has data, but no question or demographic is set up to use it — so it won't appear in your results.","")</f>
        <v>0</v>
      </c>
      <c r="F2977" s="4" t="s">
        <v>2286</v>
      </c>
    </row>
    <row r="2978" spans="1:6" ht="75" customHeight="1">
      <c r="A2978" t="s">
        <v>334</v>
      </c>
      <c r="B2978" t="s">
        <v>1276</v>
      </c>
      <c r="C2978" t="s">
        <v>1816</v>
      </c>
      <c r="D2978" t="s">
        <v>1808</v>
      </c>
      <c r="E2978" s="4">
        <f>IF(AND(Responses!$RC$1&lt;&gt;"",ISERROR(SEARCH("response id",LOWER(Responses!$RC$1))),(COUNTIF('Open Questions'!$A$2:$A$1001,"RC")+COUNTIF('Multiple Choice Questions'!$A$2:$A$1001,"RC")+COUNTIF('Hybrid Questions'!$A$2:$A$1001,"RC")+COUNTIF('Hybrid Questions'!$D$2:$D$1001,"RC")+COUNTIF('Demographics'!$A$2:$A$1001,"RC"))=0),"Responses column RC ("""&amp;Responses!$RC$1&amp;""") has data, but no question or demographic is set up to use it — so it won't appear in your results.","")</f>
        <v>0</v>
      </c>
      <c r="F2978" s="4" t="s">
        <v>2287</v>
      </c>
    </row>
    <row r="2979" spans="1:6" ht="75" customHeight="1">
      <c r="A2979" t="s">
        <v>334</v>
      </c>
      <c r="B2979" t="s">
        <v>1278</v>
      </c>
      <c r="C2979" t="s">
        <v>1816</v>
      </c>
      <c r="D2979" t="s">
        <v>1808</v>
      </c>
      <c r="E2979" s="4">
        <f>IF(AND(Responses!$RD$1&lt;&gt;"",ISERROR(SEARCH("response id",LOWER(Responses!$RD$1))),(COUNTIF('Open Questions'!$A$2:$A$1001,"RD")+COUNTIF('Multiple Choice Questions'!$A$2:$A$1001,"RD")+COUNTIF('Hybrid Questions'!$A$2:$A$1001,"RD")+COUNTIF('Hybrid Questions'!$D$2:$D$1001,"RD")+COUNTIF('Demographics'!$A$2:$A$1001,"RD"))=0),"Responses column RD ("""&amp;Responses!$RD$1&amp;""") has data, but no question or demographic is set up to use it — so it won't appear in your results.","")</f>
        <v>0</v>
      </c>
      <c r="F2979" s="4" t="s">
        <v>2288</v>
      </c>
    </row>
    <row r="2980" spans="1:6" ht="75" customHeight="1">
      <c r="A2980" t="s">
        <v>334</v>
      </c>
      <c r="B2980" t="s">
        <v>1280</v>
      </c>
      <c r="C2980" t="s">
        <v>1816</v>
      </c>
      <c r="D2980" t="s">
        <v>1808</v>
      </c>
      <c r="E2980" s="4">
        <f>IF(AND(Responses!$RE$1&lt;&gt;"",ISERROR(SEARCH("response id",LOWER(Responses!$RE$1))),(COUNTIF('Open Questions'!$A$2:$A$1001,"RE")+COUNTIF('Multiple Choice Questions'!$A$2:$A$1001,"RE")+COUNTIF('Hybrid Questions'!$A$2:$A$1001,"RE")+COUNTIF('Hybrid Questions'!$D$2:$D$1001,"RE")+COUNTIF('Demographics'!$A$2:$A$1001,"RE"))=0),"Responses column RE ("""&amp;Responses!$RE$1&amp;""") has data, but no question or demographic is set up to use it — so it won't appear in your results.","")</f>
        <v>0</v>
      </c>
      <c r="F2980" s="4" t="s">
        <v>2289</v>
      </c>
    </row>
    <row r="2981" spans="1:6" ht="75" customHeight="1">
      <c r="A2981" t="s">
        <v>334</v>
      </c>
      <c r="B2981" t="s">
        <v>1282</v>
      </c>
      <c r="C2981" t="s">
        <v>1816</v>
      </c>
      <c r="D2981" t="s">
        <v>1808</v>
      </c>
      <c r="E2981" s="4">
        <f>IF(AND(Responses!$RF$1&lt;&gt;"",ISERROR(SEARCH("response id",LOWER(Responses!$RF$1))),(COUNTIF('Open Questions'!$A$2:$A$1001,"RF")+COUNTIF('Multiple Choice Questions'!$A$2:$A$1001,"RF")+COUNTIF('Hybrid Questions'!$A$2:$A$1001,"RF")+COUNTIF('Hybrid Questions'!$D$2:$D$1001,"RF")+COUNTIF('Demographics'!$A$2:$A$1001,"RF"))=0),"Responses column RF ("""&amp;Responses!$RF$1&amp;""") has data, but no question or demographic is set up to use it — so it won't appear in your results.","")</f>
        <v>0</v>
      </c>
      <c r="F2981" s="4" t="s">
        <v>2290</v>
      </c>
    </row>
    <row r="2982" spans="1:6" ht="75" customHeight="1">
      <c r="A2982" t="s">
        <v>334</v>
      </c>
      <c r="B2982" t="s">
        <v>1284</v>
      </c>
      <c r="C2982" t="s">
        <v>1816</v>
      </c>
      <c r="D2982" t="s">
        <v>1808</v>
      </c>
      <c r="E2982" s="4">
        <f>IF(AND(Responses!$RG$1&lt;&gt;"",ISERROR(SEARCH("response id",LOWER(Responses!$RG$1))),(COUNTIF('Open Questions'!$A$2:$A$1001,"RG")+COUNTIF('Multiple Choice Questions'!$A$2:$A$1001,"RG")+COUNTIF('Hybrid Questions'!$A$2:$A$1001,"RG")+COUNTIF('Hybrid Questions'!$D$2:$D$1001,"RG")+COUNTIF('Demographics'!$A$2:$A$1001,"RG"))=0),"Responses column RG ("""&amp;Responses!$RG$1&amp;""") has data, but no question or demographic is set up to use it — so it won't appear in your results.","")</f>
        <v>0</v>
      </c>
      <c r="F2982" s="4" t="s">
        <v>2291</v>
      </c>
    </row>
    <row r="2983" spans="1:6" ht="75" customHeight="1">
      <c r="A2983" t="s">
        <v>334</v>
      </c>
      <c r="B2983" t="s">
        <v>1286</v>
      </c>
      <c r="C2983" t="s">
        <v>1816</v>
      </c>
      <c r="D2983" t="s">
        <v>1808</v>
      </c>
      <c r="E2983" s="4">
        <f>IF(AND(Responses!$RH$1&lt;&gt;"",ISERROR(SEARCH("response id",LOWER(Responses!$RH$1))),(COUNTIF('Open Questions'!$A$2:$A$1001,"RH")+COUNTIF('Multiple Choice Questions'!$A$2:$A$1001,"RH")+COUNTIF('Hybrid Questions'!$A$2:$A$1001,"RH")+COUNTIF('Hybrid Questions'!$D$2:$D$1001,"RH")+COUNTIF('Demographics'!$A$2:$A$1001,"RH"))=0),"Responses column RH ("""&amp;Responses!$RH$1&amp;""") has data, but no question or demographic is set up to use it — so it won't appear in your results.","")</f>
        <v>0</v>
      </c>
      <c r="F2983" s="4" t="s">
        <v>2292</v>
      </c>
    </row>
    <row r="2984" spans="1:6" ht="75" customHeight="1">
      <c r="A2984" t="s">
        <v>334</v>
      </c>
      <c r="B2984" t="s">
        <v>1288</v>
      </c>
      <c r="C2984" t="s">
        <v>1816</v>
      </c>
      <c r="D2984" t="s">
        <v>1808</v>
      </c>
      <c r="E2984" s="4">
        <f>IF(AND(Responses!$RI$1&lt;&gt;"",ISERROR(SEARCH("response id",LOWER(Responses!$RI$1))),(COUNTIF('Open Questions'!$A$2:$A$1001,"RI")+COUNTIF('Multiple Choice Questions'!$A$2:$A$1001,"RI")+COUNTIF('Hybrid Questions'!$A$2:$A$1001,"RI")+COUNTIF('Hybrid Questions'!$D$2:$D$1001,"RI")+COUNTIF('Demographics'!$A$2:$A$1001,"RI"))=0),"Responses column RI ("""&amp;Responses!$RI$1&amp;""") has data, but no question or demographic is set up to use it — so it won't appear in your results.","")</f>
        <v>0</v>
      </c>
      <c r="F2984" s="4" t="s">
        <v>2293</v>
      </c>
    </row>
    <row r="2985" spans="1:6" ht="75" customHeight="1">
      <c r="A2985" t="s">
        <v>334</v>
      </c>
      <c r="B2985" t="s">
        <v>1290</v>
      </c>
      <c r="C2985" t="s">
        <v>1816</v>
      </c>
      <c r="D2985" t="s">
        <v>1808</v>
      </c>
      <c r="E2985" s="4">
        <f>IF(AND(Responses!$RJ$1&lt;&gt;"",ISERROR(SEARCH("response id",LOWER(Responses!$RJ$1))),(COUNTIF('Open Questions'!$A$2:$A$1001,"RJ")+COUNTIF('Multiple Choice Questions'!$A$2:$A$1001,"RJ")+COUNTIF('Hybrid Questions'!$A$2:$A$1001,"RJ")+COUNTIF('Hybrid Questions'!$D$2:$D$1001,"RJ")+COUNTIF('Demographics'!$A$2:$A$1001,"RJ"))=0),"Responses column RJ ("""&amp;Responses!$RJ$1&amp;""") has data, but no question or demographic is set up to use it — so it won't appear in your results.","")</f>
        <v>0</v>
      </c>
      <c r="F2985" s="4" t="s">
        <v>2294</v>
      </c>
    </row>
    <row r="2986" spans="1:6" ht="75" customHeight="1">
      <c r="A2986" t="s">
        <v>334</v>
      </c>
      <c r="B2986" t="s">
        <v>1292</v>
      </c>
      <c r="C2986" t="s">
        <v>1816</v>
      </c>
      <c r="D2986" t="s">
        <v>1808</v>
      </c>
      <c r="E2986" s="4">
        <f>IF(AND(Responses!$RK$1&lt;&gt;"",ISERROR(SEARCH("response id",LOWER(Responses!$RK$1))),(COUNTIF('Open Questions'!$A$2:$A$1001,"RK")+COUNTIF('Multiple Choice Questions'!$A$2:$A$1001,"RK")+COUNTIF('Hybrid Questions'!$A$2:$A$1001,"RK")+COUNTIF('Hybrid Questions'!$D$2:$D$1001,"RK")+COUNTIF('Demographics'!$A$2:$A$1001,"RK"))=0),"Responses column RK ("""&amp;Responses!$RK$1&amp;""") has data, but no question or demographic is set up to use it — so it won't appear in your results.","")</f>
        <v>0</v>
      </c>
      <c r="F2986" s="4" t="s">
        <v>2295</v>
      </c>
    </row>
    <row r="2987" spans="1:6" ht="75" customHeight="1">
      <c r="A2987" t="s">
        <v>334</v>
      </c>
      <c r="B2987" t="s">
        <v>1294</v>
      </c>
      <c r="C2987" t="s">
        <v>1816</v>
      </c>
      <c r="D2987" t="s">
        <v>1808</v>
      </c>
      <c r="E2987" s="4">
        <f>IF(AND(Responses!$RL$1&lt;&gt;"",ISERROR(SEARCH("response id",LOWER(Responses!$RL$1))),(COUNTIF('Open Questions'!$A$2:$A$1001,"RL")+COUNTIF('Multiple Choice Questions'!$A$2:$A$1001,"RL")+COUNTIF('Hybrid Questions'!$A$2:$A$1001,"RL")+COUNTIF('Hybrid Questions'!$D$2:$D$1001,"RL")+COUNTIF('Demographics'!$A$2:$A$1001,"RL"))=0),"Responses column RL ("""&amp;Responses!$RL$1&amp;""") has data, but no question or demographic is set up to use it — so it won't appear in your results.","")</f>
        <v>0</v>
      </c>
      <c r="F2987" s="4" t="s">
        <v>2296</v>
      </c>
    </row>
    <row r="2988" spans="1:6" ht="75" customHeight="1">
      <c r="A2988" t="s">
        <v>334</v>
      </c>
      <c r="B2988" t="s">
        <v>1296</v>
      </c>
      <c r="C2988" t="s">
        <v>1816</v>
      </c>
      <c r="D2988" t="s">
        <v>1808</v>
      </c>
      <c r="E2988" s="4">
        <f>IF(AND(Responses!$RM$1&lt;&gt;"",ISERROR(SEARCH("response id",LOWER(Responses!$RM$1))),(COUNTIF('Open Questions'!$A$2:$A$1001,"RM")+COUNTIF('Multiple Choice Questions'!$A$2:$A$1001,"RM")+COUNTIF('Hybrid Questions'!$A$2:$A$1001,"RM")+COUNTIF('Hybrid Questions'!$D$2:$D$1001,"RM")+COUNTIF('Demographics'!$A$2:$A$1001,"RM"))=0),"Responses column RM ("""&amp;Responses!$RM$1&amp;""") has data, but no question or demographic is set up to use it — so it won't appear in your results.","")</f>
        <v>0</v>
      </c>
      <c r="F2988" s="4" t="s">
        <v>2297</v>
      </c>
    </row>
    <row r="2989" spans="1:6" ht="75" customHeight="1">
      <c r="A2989" t="s">
        <v>334</v>
      </c>
      <c r="B2989" t="s">
        <v>1298</v>
      </c>
      <c r="C2989" t="s">
        <v>1816</v>
      </c>
      <c r="D2989" t="s">
        <v>1808</v>
      </c>
      <c r="E2989" s="4">
        <f>IF(AND(Responses!$RN$1&lt;&gt;"",ISERROR(SEARCH("response id",LOWER(Responses!$RN$1))),(COUNTIF('Open Questions'!$A$2:$A$1001,"RN")+COUNTIF('Multiple Choice Questions'!$A$2:$A$1001,"RN")+COUNTIF('Hybrid Questions'!$A$2:$A$1001,"RN")+COUNTIF('Hybrid Questions'!$D$2:$D$1001,"RN")+COUNTIF('Demographics'!$A$2:$A$1001,"RN"))=0),"Responses column RN ("""&amp;Responses!$RN$1&amp;""") has data, but no question or demographic is set up to use it — so it won't appear in your results.","")</f>
        <v>0</v>
      </c>
      <c r="F2989" s="4" t="s">
        <v>2298</v>
      </c>
    </row>
    <row r="2990" spans="1:6" ht="75" customHeight="1">
      <c r="A2990" t="s">
        <v>334</v>
      </c>
      <c r="B2990" t="s">
        <v>1300</v>
      </c>
      <c r="C2990" t="s">
        <v>1816</v>
      </c>
      <c r="D2990" t="s">
        <v>1808</v>
      </c>
      <c r="E2990" s="4">
        <f>IF(AND(Responses!$RO$1&lt;&gt;"",ISERROR(SEARCH("response id",LOWER(Responses!$RO$1))),(COUNTIF('Open Questions'!$A$2:$A$1001,"RO")+COUNTIF('Multiple Choice Questions'!$A$2:$A$1001,"RO")+COUNTIF('Hybrid Questions'!$A$2:$A$1001,"RO")+COUNTIF('Hybrid Questions'!$D$2:$D$1001,"RO")+COUNTIF('Demographics'!$A$2:$A$1001,"RO"))=0),"Responses column RO ("""&amp;Responses!$RO$1&amp;""") has data, but no question or demographic is set up to use it — so it won't appear in your results.","")</f>
        <v>0</v>
      </c>
      <c r="F2990" s="4" t="s">
        <v>2299</v>
      </c>
    </row>
    <row r="2991" spans="1:6" ht="75" customHeight="1">
      <c r="A2991" t="s">
        <v>334</v>
      </c>
      <c r="B2991" t="s">
        <v>1302</v>
      </c>
      <c r="C2991" t="s">
        <v>1816</v>
      </c>
      <c r="D2991" t="s">
        <v>1808</v>
      </c>
      <c r="E2991" s="4">
        <f>IF(AND(Responses!$RP$1&lt;&gt;"",ISERROR(SEARCH("response id",LOWER(Responses!$RP$1))),(COUNTIF('Open Questions'!$A$2:$A$1001,"RP")+COUNTIF('Multiple Choice Questions'!$A$2:$A$1001,"RP")+COUNTIF('Hybrid Questions'!$A$2:$A$1001,"RP")+COUNTIF('Hybrid Questions'!$D$2:$D$1001,"RP")+COUNTIF('Demographics'!$A$2:$A$1001,"RP"))=0),"Responses column RP ("""&amp;Responses!$RP$1&amp;""") has data, but no question or demographic is set up to use it — so it won't appear in your results.","")</f>
        <v>0</v>
      </c>
      <c r="F2991" s="4" t="s">
        <v>2300</v>
      </c>
    </row>
    <row r="2992" spans="1:6" ht="75" customHeight="1">
      <c r="A2992" t="s">
        <v>334</v>
      </c>
      <c r="B2992" t="s">
        <v>1304</v>
      </c>
      <c r="C2992" t="s">
        <v>1816</v>
      </c>
      <c r="D2992" t="s">
        <v>1808</v>
      </c>
      <c r="E2992" s="4">
        <f>IF(AND(Responses!$RQ$1&lt;&gt;"",ISERROR(SEARCH("response id",LOWER(Responses!$RQ$1))),(COUNTIF('Open Questions'!$A$2:$A$1001,"RQ")+COUNTIF('Multiple Choice Questions'!$A$2:$A$1001,"RQ")+COUNTIF('Hybrid Questions'!$A$2:$A$1001,"RQ")+COUNTIF('Hybrid Questions'!$D$2:$D$1001,"RQ")+COUNTIF('Demographics'!$A$2:$A$1001,"RQ"))=0),"Responses column RQ ("""&amp;Responses!$RQ$1&amp;""") has data, but no question or demographic is set up to use it — so it won't appear in your results.","")</f>
        <v>0</v>
      </c>
      <c r="F2992" s="4" t="s">
        <v>2301</v>
      </c>
    </row>
    <row r="2993" spans="1:6" ht="75" customHeight="1">
      <c r="A2993" t="s">
        <v>334</v>
      </c>
      <c r="B2993" t="s">
        <v>1306</v>
      </c>
      <c r="C2993" t="s">
        <v>1816</v>
      </c>
      <c r="D2993" t="s">
        <v>1808</v>
      </c>
      <c r="E2993" s="4">
        <f>IF(AND(Responses!$RR$1&lt;&gt;"",ISERROR(SEARCH("response id",LOWER(Responses!$RR$1))),(COUNTIF('Open Questions'!$A$2:$A$1001,"RR")+COUNTIF('Multiple Choice Questions'!$A$2:$A$1001,"RR")+COUNTIF('Hybrid Questions'!$A$2:$A$1001,"RR")+COUNTIF('Hybrid Questions'!$D$2:$D$1001,"RR")+COUNTIF('Demographics'!$A$2:$A$1001,"RR"))=0),"Responses column RR ("""&amp;Responses!$RR$1&amp;""") has data, but no question or demographic is set up to use it — so it won't appear in your results.","")</f>
        <v>0</v>
      </c>
      <c r="F2993" s="4" t="s">
        <v>2302</v>
      </c>
    </row>
    <row r="2994" spans="1:6" ht="75" customHeight="1">
      <c r="A2994" t="s">
        <v>334</v>
      </c>
      <c r="B2994" t="s">
        <v>1308</v>
      </c>
      <c r="C2994" t="s">
        <v>1816</v>
      </c>
      <c r="D2994" t="s">
        <v>1808</v>
      </c>
      <c r="E2994" s="4">
        <f>IF(AND(Responses!$RS$1&lt;&gt;"",ISERROR(SEARCH("response id",LOWER(Responses!$RS$1))),(COUNTIF('Open Questions'!$A$2:$A$1001,"RS")+COUNTIF('Multiple Choice Questions'!$A$2:$A$1001,"RS")+COUNTIF('Hybrid Questions'!$A$2:$A$1001,"RS")+COUNTIF('Hybrid Questions'!$D$2:$D$1001,"RS")+COUNTIF('Demographics'!$A$2:$A$1001,"RS"))=0),"Responses column RS ("""&amp;Responses!$RS$1&amp;""") has data, but no question or demographic is set up to use it — so it won't appear in your results.","")</f>
        <v>0</v>
      </c>
      <c r="F2994" s="4" t="s">
        <v>2303</v>
      </c>
    </row>
    <row r="2995" spans="1:6" ht="75" customHeight="1">
      <c r="A2995" t="s">
        <v>334</v>
      </c>
      <c r="B2995" t="s">
        <v>1310</v>
      </c>
      <c r="C2995" t="s">
        <v>1816</v>
      </c>
      <c r="D2995" t="s">
        <v>1808</v>
      </c>
      <c r="E2995" s="4">
        <f>IF(AND(Responses!$RT$1&lt;&gt;"",ISERROR(SEARCH("response id",LOWER(Responses!$RT$1))),(COUNTIF('Open Questions'!$A$2:$A$1001,"RT")+COUNTIF('Multiple Choice Questions'!$A$2:$A$1001,"RT")+COUNTIF('Hybrid Questions'!$A$2:$A$1001,"RT")+COUNTIF('Hybrid Questions'!$D$2:$D$1001,"RT")+COUNTIF('Demographics'!$A$2:$A$1001,"RT"))=0),"Responses column RT ("""&amp;Responses!$RT$1&amp;""") has data, but no question or demographic is set up to use it — so it won't appear in your results.","")</f>
        <v>0</v>
      </c>
      <c r="F2995" s="4" t="s">
        <v>2304</v>
      </c>
    </row>
    <row r="2996" spans="1:6" ht="75" customHeight="1">
      <c r="A2996" t="s">
        <v>334</v>
      </c>
      <c r="B2996" t="s">
        <v>1312</v>
      </c>
      <c r="C2996" t="s">
        <v>1816</v>
      </c>
      <c r="D2996" t="s">
        <v>1808</v>
      </c>
      <c r="E2996" s="4">
        <f>IF(AND(Responses!$RU$1&lt;&gt;"",ISERROR(SEARCH("response id",LOWER(Responses!$RU$1))),(COUNTIF('Open Questions'!$A$2:$A$1001,"RU")+COUNTIF('Multiple Choice Questions'!$A$2:$A$1001,"RU")+COUNTIF('Hybrid Questions'!$A$2:$A$1001,"RU")+COUNTIF('Hybrid Questions'!$D$2:$D$1001,"RU")+COUNTIF('Demographics'!$A$2:$A$1001,"RU"))=0),"Responses column RU ("""&amp;Responses!$RU$1&amp;""") has data, but no question or demographic is set up to use it — so it won't appear in your results.","")</f>
        <v>0</v>
      </c>
      <c r="F2996" s="4" t="s">
        <v>2305</v>
      </c>
    </row>
    <row r="2997" spans="1:6" ht="75" customHeight="1">
      <c r="A2997" t="s">
        <v>334</v>
      </c>
      <c r="B2997" t="s">
        <v>1314</v>
      </c>
      <c r="C2997" t="s">
        <v>1816</v>
      </c>
      <c r="D2997" t="s">
        <v>1808</v>
      </c>
      <c r="E2997" s="4">
        <f>IF(AND(Responses!$RV$1&lt;&gt;"",ISERROR(SEARCH("response id",LOWER(Responses!$RV$1))),(COUNTIF('Open Questions'!$A$2:$A$1001,"RV")+COUNTIF('Multiple Choice Questions'!$A$2:$A$1001,"RV")+COUNTIF('Hybrid Questions'!$A$2:$A$1001,"RV")+COUNTIF('Hybrid Questions'!$D$2:$D$1001,"RV")+COUNTIF('Demographics'!$A$2:$A$1001,"RV"))=0),"Responses column RV ("""&amp;Responses!$RV$1&amp;""") has data, but no question or demographic is set up to use it — so it won't appear in your results.","")</f>
        <v>0</v>
      </c>
      <c r="F2997" s="4" t="s">
        <v>2306</v>
      </c>
    </row>
    <row r="2998" spans="1:6" ht="75" customHeight="1">
      <c r="A2998" t="s">
        <v>334</v>
      </c>
      <c r="B2998" t="s">
        <v>1316</v>
      </c>
      <c r="C2998" t="s">
        <v>1816</v>
      </c>
      <c r="D2998" t="s">
        <v>1808</v>
      </c>
      <c r="E2998" s="4">
        <f>IF(AND(Responses!$RW$1&lt;&gt;"",ISERROR(SEARCH("response id",LOWER(Responses!$RW$1))),(COUNTIF('Open Questions'!$A$2:$A$1001,"RW")+COUNTIF('Multiple Choice Questions'!$A$2:$A$1001,"RW")+COUNTIF('Hybrid Questions'!$A$2:$A$1001,"RW")+COUNTIF('Hybrid Questions'!$D$2:$D$1001,"RW")+COUNTIF('Demographics'!$A$2:$A$1001,"RW"))=0),"Responses column RW ("""&amp;Responses!$RW$1&amp;""") has data, but no question or demographic is set up to use it — so it won't appear in your results.","")</f>
        <v>0</v>
      </c>
      <c r="F2998" s="4" t="s">
        <v>2307</v>
      </c>
    </row>
    <row r="2999" spans="1:6" ht="75" customHeight="1">
      <c r="A2999" t="s">
        <v>334</v>
      </c>
      <c r="B2999" t="s">
        <v>1318</v>
      </c>
      <c r="C2999" t="s">
        <v>1816</v>
      </c>
      <c r="D2999" t="s">
        <v>1808</v>
      </c>
      <c r="E2999" s="4">
        <f>IF(AND(Responses!$RX$1&lt;&gt;"",ISERROR(SEARCH("response id",LOWER(Responses!$RX$1))),(COUNTIF('Open Questions'!$A$2:$A$1001,"RX")+COUNTIF('Multiple Choice Questions'!$A$2:$A$1001,"RX")+COUNTIF('Hybrid Questions'!$A$2:$A$1001,"RX")+COUNTIF('Hybrid Questions'!$D$2:$D$1001,"RX")+COUNTIF('Demographics'!$A$2:$A$1001,"RX"))=0),"Responses column RX ("""&amp;Responses!$RX$1&amp;""") has data, but no question or demographic is set up to use it — so it won't appear in your results.","")</f>
        <v>0</v>
      </c>
      <c r="F2999" s="4" t="s">
        <v>2308</v>
      </c>
    </row>
    <row r="3000" spans="1:6" ht="75" customHeight="1">
      <c r="A3000" t="s">
        <v>334</v>
      </c>
      <c r="B3000" t="s">
        <v>1320</v>
      </c>
      <c r="C3000" t="s">
        <v>1816</v>
      </c>
      <c r="D3000" t="s">
        <v>1808</v>
      </c>
      <c r="E3000" s="4">
        <f>IF(AND(Responses!$RY$1&lt;&gt;"",ISERROR(SEARCH("response id",LOWER(Responses!$RY$1))),(COUNTIF('Open Questions'!$A$2:$A$1001,"RY")+COUNTIF('Multiple Choice Questions'!$A$2:$A$1001,"RY")+COUNTIF('Hybrid Questions'!$A$2:$A$1001,"RY")+COUNTIF('Hybrid Questions'!$D$2:$D$1001,"RY")+COUNTIF('Demographics'!$A$2:$A$1001,"RY"))=0),"Responses column RY ("""&amp;Responses!$RY$1&amp;""") has data, but no question or demographic is set up to use it — so it won't appear in your results.","")</f>
        <v>0</v>
      </c>
      <c r="F3000" s="4" t="s">
        <v>2309</v>
      </c>
    </row>
    <row r="3001" spans="1:6" ht="75" customHeight="1">
      <c r="A3001" t="s">
        <v>334</v>
      </c>
      <c r="B3001" t="s">
        <v>1322</v>
      </c>
      <c r="C3001" t="s">
        <v>1816</v>
      </c>
      <c r="D3001" t="s">
        <v>1808</v>
      </c>
      <c r="E3001" s="4">
        <f>IF(AND(Responses!$RZ$1&lt;&gt;"",ISERROR(SEARCH("response id",LOWER(Responses!$RZ$1))),(COUNTIF('Open Questions'!$A$2:$A$1001,"RZ")+COUNTIF('Multiple Choice Questions'!$A$2:$A$1001,"RZ")+COUNTIF('Hybrid Questions'!$A$2:$A$1001,"RZ")+COUNTIF('Hybrid Questions'!$D$2:$D$1001,"RZ")+COUNTIF('Demographics'!$A$2:$A$1001,"RZ"))=0),"Responses column RZ ("""&amp;Responses!$RZ$1&amp;""") has data, but no question or demographic is set up to use it — so it won't appear in your results.","")</f>
        <v>0</v>
      </c>
      <c r="F3001" s="4" t="s">
        <v>2310</v>
      </c>
    </row>
    <row r="3002" spans="1:6" ht="75" customHeight="1">
      <c r="A3002" t="s">
        <v>334</v>
      </c>
      <c r="B3002" t="s">
        <v>1324</v>
      </c>
      <c r="C3002" t="s">
        <v>1816</v>
      </c>
      <c r="D3002" t="s">
        <v>1808</v>
      </c>
      <c r="E3002" s="4">
        <f>IF(AND(Responses!$SA$1&lt;&gt;"",ISERROR(SEARCH("response id",LOWER(Responses!$SA$1))),(COUNTIF('Open Questions'!$A$2:$A$1001,"SA")+COUNTIF('Multiple Choice Questions'!$A$2:$A$1001,"SA")+COUNTIF('Hybrid Questions'!$A$2:$A$1001,"SA")+COUNTIF('Hybrid Questions'!$D$2:$D$1001,"SA")+COUNTIF('Demographics'!$A$2:$A$1001,"SA"))=0),"Responses column SA ("""&amp;Responses!$SA$1&amp;""") has data, but no question or demographic is set up to use it — so it won't appear in your results.","")</f>
        <v>0</v>
      </c>
      <c r="F3002" s="4" t="s">
        <v>2311</v>
      </c>
    </row>
    <row r="3003" spans="1:6" ht="75" customHeight="1">
      <c r="A3003" t="s">
        <v>334</v>
      </c>
      <c r="B3003" t="s">
        <v>1326</v>
      </c>
      <c r="C3003" t="s">
        <v>1816</v>
      </c>
      <c r="D3003" t="s">
        <v>1808</v>
      </c>
      <c r="E3003" s="4">
        <f>IF(AND(Responses!$SB$1&lt;&gt;"",ISERROR(SEARCH("response id",LOWER(Responses!$SB$1))),(COUNTIF('Open Questions'!$A$2:$A$1001,"SB")+COUNTIF('Multiple Choice Questions'!$A$2:$A$1001,"SB")+COUNTIF('Hybrid Questions'!$A$2:$A$1001,"SB")+COUNTIF('Hybrid Questions'!$D$2:$D$1001,"SB")+COUNTIF('Demographics'!$A$2:$A$1001,"SB"))=0),"Responses column SB ("""&amp;Responses!$SB$1&amp;""") has data, but no question or demographic is set up to use it — so it won't appear in your results.","")</f>
        <v>0</v>
      </c>
      <c r="F3003" s="4" t="s">
        <v>2312</v>
      </c>
    </row>
    <row r="3004" spans="1:6" ht="75" customHeight="1">
      <c r="A3004" t="s">
        <v>334</v>
      </c>
      <c r="B3004" t="s">
        <v>1328</v>
      </c>
      <c r="C3004" t="s">
        <v>1816</v>
      </c>
      <c r="D3004" t="s">
        <v>1808</v>
      </c>
      <c r="E3004" s="4">
        <f>IF(AND(Responses!$SC$1&lt;&gt;"",ISERROR(SEARCH("response id",LOWER(Responses!$SC$1))),(COUNTIF('Open Questions'!$A$2:$A$1001,"SC")+COUNTIF('Multiple Choice Questions'!$A$2:$A$1001,"SC")+COUNTIF('Hybrid Questions'!$A$2:$A$1001,"SC")+COUNTIF('Hybrid Questions'!$D$2:$D$1001,"SC")+COUNTIF('Demographics'!$A$2:$A$1001,"SC"))=0),"Responses column SC ("""&amp;Responses!$SC$1&amp;""") has data, but no question or demographic is set up to use it — so it won't appear in your results.","")</f>
        <v>0</v>
      </c>
      <c r="F3004" s="4" t="s">
        <v>2313</v>
      </c>
    </row>
    <row r="3005" spans="1:6" ht="75" customHeight="1">
      <c r="A3005" t="s">
        <v>334</v>
      </c>
      <c r="B3005" t="s">
        <v>1330</v>
      </c>
      <c r="C3005" t="s">
        <v>1816</v>
      </c>
      <c r="D3005" t="s">
        <v>1808</v>
      </c>
      <c r="E3005" s="4">
        <f>IF(AND(Responses!$SD$1&lt;&gt;"",ISERROR(SEARCH("response id",LOWER(Responses!$SD$1))),(COUNTIF('Open Questions'!$A$2:$A$1001,"SD")+COUNTIF('Multiple Choice Questions'!$A$2:$A$1001,"SD")+COUNTIF('Hybrid Questions'!$A$2:$A$1001,"SD")+COUNTIF('Hybrid Questions'!$D$2:$D$1001,"SD")+COUNTIF('Demographics'!$A$2:$A$1001,"SD"))=0),"Responses column SD ("""&amp;Responses!$SD$1&amp;""") has data, but no question or demographic is set up to use it — so it won't appear in your results.","")</f>
        <v>0</v>
      </c>
      <c r="F3005" s="4" t="s">
        <v>2314</v>
      </c>
    </row>
    <row r="3006" spans="1:6" ht="75" customHeight="1">
      <c r="A3006" t="s">
        <v>334</v>
      </c>
      <c r="B3006" t="s">
        <v>1332</v>
      </c>
      <c r="C3006" t="s">
        <v>1816</v>
      </c>
      <c r="D3006" t="s">
        <v>1808</v>
      </c>
      <c r="E3006" s="4">
        <f>IF(AND(Responses!$SE$1&lt;&gt;"",ISERROR(SEARCH("response id",LOWER(Responses!$SE$1))),(COUNTIF('Open Questions'!$A$2:$A$1001,"SE")+COUNTIF('Multiple Choice Questions'!$A$2:$A$1001,"SE")+COUNTIF('Hybrid Questions'!$A$2:$A$1001,"SE")+COUNTIF('Hybrid Questions'!$D$2:$D$1001,"SE")+COUNTIF('Demographics'!$A$2:$A$1001,"SE"))=0),"Responses column SE ("""&amp;Responses!$SE$1&amp;""") has data, but no question or demographic is set up to use it — so it won't appear in your results.","")</f>
        <v>0</v>
      </c>
      <c r="F3006" s="4" t="s">
        <v>2315</v>
      </c>
    </row>
    <row r="3007" spans="1:6" ht="75" customHeight="1">
      <c r="A3007" t="s">
        <v>334</v>
      </c>
      <c r="B3007" t="s">
        <v>1334</v>
      </c>
      <c r="C3007" t="s">
        <v>1816</v>
      </c>
      <c r="D3007" t="s">
        <v>1808</v>
      </c>
      <c r="E3007" s="4">
        <f>IF(AND(Responses!$SF$1&lt;&gt;"",ISERROR(SEARCH("response id",LOWER(Responses!$SF$1))),(COUNTIF('Open Questions'!$A$2:$A$1001,"SF")+COUNTIF('Multiple Choice Questions'!$A$2:$A$1001,"SF")+COUNTIF('Hybrid Questions'!$A$2:$A$1001,"SF")+COUNTIF('Hybrid Questions'!$D$2:$D$1001,"SF")+COUNTIF('Demographics'!$A$2:$A$1001,"SF"))=0),"Responses column SF ("""&amp;Responses!$SF$1&amp;""") has data, but no question or demographic is set up to use it — so it won't appear in your results.","")</f>
        <v>0</v>
      </c>
      <c r="F3007" s="4" t="s">
        <v>2316</v>
      </c>
    </row>
    <row r="3008" spans="1:6" ht="75" customHeight="1">
      <c r="A3008" t="s">
        <v>334</v>
      </c>
      <c r="B3008" t="s">
        <v>1336</v>
      </c>
      <c r="C3008" t="s">
        <v>1816</v>
      </c>
      <c r="D3008" t="s">
        <v>1808</v>
      </c>
      <c r="E3008" s="4">
        <f>IF(AND(Responses!$SG$1&lt;&gt;"",ISERROR(SEARCH("response id",LOWER(Responses!$SG$1))),(COUNTIF('Open Questions'!$A$2:$A$1001,"SG")+COUNTIF('Multiple Choice Questions'!$A$2:$A$1001,"SG")+COUNTIF('Hybrid Questions'!$A$2:$A$1001,"SG")+COUNTIF('Hybrid Questions'!$D$2:$D$1001,"SG")+COUNTIF('Demographics'!$A$2:$A$1001,"SG"))=0),"Responses column SG ("""&amp;Responses!$SG$1&amp;""") has data, but no question or demographic is set up to use it — so it won't appear in your results.","")</f>
        <v>0</v>
      </c>
      <c r="F3008" s="4" t="s">
        <v>2317</v>
      </c>
    </row>
    <row r="3009" spans="1:6" ht="75" customHeight="1">
      <c r="A3009" t="s">
        <v>334</v>
      </c>
      <c r="B3009" t="s">
        <v>1338</v>
      </c>
      <c r="C3009" t="s">
        <v>1816</v>
      </c>
      <c r="D3009" t="s">
        <v>1808</v>
      </c>
      <c r="E3009" s="4">
        <f>IF(AND(Responses!$SH$1&lt;&gt;"",ISERROR(SEARCH("response id",LOWER(Responses!$SH$1))),(COUNTIF('Open Questions'!$A$2:$A$1001,"SH")+COUNTIF('Multiple Choice Questions'!$A$2:$A$1001,"SH")+COUNTIF('Hybrid Questions'!$A$2:$A$1001,"SH")+COUNTIF('Hybrid Questions'!$D$2:$D$1001,"SH")+COUNTIF('Demographics'!$A$2:$A$1001,"SH"))=0),"Responses column SH ("""&amp;Responses!$SH$1&amp;""") has data, but no question or demographic is set up to use it — so it won't appear in your results.","")</f>
        <v>0</v>
      </c>
      <c r="F3009" s="4" t="s">
        <v>2318</v>
      </c>
    </row>
    <row r="3010" spans="1:6" ht="75" customHeight="1">
      <c r="A3010" t="s">
        <v>334</v>
      </c>
      <c r="B3010" t="s">
        <v>1340</v>
      </c>
      <c r="C3010" t="s">
        <v>1816</v>
      </c>
      <c r="D3010" t="s">
        <v>1808</v>
      </c>
      <c r="E3010" s="4">
        <f>IF(AND(Responses!$SI$1&lt;&gt;"",ISERROR(SEARCH("response id",LOWER(Responses!$SI$1))),(COUNTIF('Open Questions'!$A$2:$A$1001,"SI")+COUNTIF('Multiple Choice Questions'!$A$2:$A$1001,"SI")+COUNTIF('Hybrid Questions'!$A$2:$A$1001,"SI")+COUNTIF('Hybrid Questions'!$D$2:$D$1001,"SI")+COUNTIF('Demographics'!$A$2:$A$1001,"SI"))=0),"Responses column SI ("""&amp;Responses!$SI$1&amp;""") has data, but no question or demographic is set up to use it — so it won't appear in your results.","")</f>
        <v>0</v>
      </c>
      <c r="F3010" s="4" t="s">
        <v>2319</v>
      </c>
    </row>
    <row r="3011" spans="1:6" ht="75" customHeight="1">
      <c r="A3011" t="s">
        <v>334</v>
      </c>
      <c r="B3011" t="s">
        <v>1342</v>
      </c>
      <c r="C3011" t="s">
        <v>1816</v>
      </c>
      <c r="D3011" t="s">
        <v>1808</v>
      </c>
      <c r="E3011" s="4">
        <f>IF(AND(Responses!$SJ$1&lt;&gt;"",ISERROR(SEARCH("response id",LOWER(Responses!$SJ$1))),(COUNTIF('Open Questions'!$A$2:$A$1001,"SJ")+COUNTIF('Multiple Choice Questions'!$A$2:$A$1001,"SJ")+COUNTIF('Hybrid Questions'!$A$2:$A$1001,"SJ")+COUNTIF('Hybrid Questions'!$D$2:$D$1001,"SJ")+COUNTIF('Demographics'!$A$2:$A$1001,"SJ"))=0),"Responses column SJ ("""&amp;Responses!$SJ$1&amp;""") has data, but no question or demographic is set up to use it — so it won't appear in your results.","")</f>
        <v>0</v>
      </c>
      <c r="F3011" s="4" t="s">
        <v>2320</v>
      </c>
    </row>
    <row r="3012" spans="1:6" ht="75" customHeight="1">
      <c r="A3012" t="s">
        <v>334</v>
      </c>
      <c r="B3012" t="s">
        <v>1344</v>
      </c>
      <c r="C3012" t="s">
        <v>1816</v>
      </c>
      <c r="D3012" t="s">
        <v>1808</v>
      </c>
      <c r="E3012" s="4">
        <f>IF(AND(Responses!$SK$1&lt;&gt;"",ISERROR(SEARCH("response id",LOWER(Responses!$SK$1))),(COUNTIF('Open Questions'!$A$2:$A$1001,"SK")+COUNTIF('Multiple Choice Questions'!$A$2:$A$1001,"SK")+COUNTIF('Hybrid Questions'!$A$2:$A$1001,"SK")+COUNTIF('Hybrid Questions'!$D$2:$D$1001,"SK")+COUNTIF('Demographics'!$A$2:$A$1001,"SK"))=0),"Responses column SK ("""&amp;Responses!$SK$1&amp;""") has data, but no question or demographic is set up to use it — so it won't appear in your results.","")</f>
        <v>0</v>
      </c>
      <c r="F3012" s="4" t="s">
        <v>2321</v>
      </c>
    </row>
    <row r="3013" spans="1:6" ht="75" customHeight="1">
      <c r="A3013" t="s">
        <v>334</v>
      </c>
      <c r="B3013" t="s">
        <v>1346</v>
      </c>
      <c r="C3013" t="s">
        <v>1816</v>
      </c>
      <c r="D3013" t="s">
        <v>1808</v>
      </c>
      <c r="E3013" s="4">
        <f>IF(AND(Responses!$SL$1&lt;&gt;"",ISERROR(SEARCH("response id",LOWER(Responses!$SL$1))),(COUNTIF('Open Questions'!$A$2:$A$1001,"SL")+COUNTIF('Multiple Choice Questions'!$A$2:$A$1001,"SL")+COUNTIF('Hybrid Questions'!$A$2:$A$1001,"SL")+COUNTIF('Hybrid Questions'!$D$2:$D$1001,"SL")+COUNTIF('Demographics'!$A$2:$A$1001,"SL"))=0),"Responses column SL ("""&amp;Responses!$SL$1&amp;""") has data, but no question or demographic is set up to use it — so it won't appear in your results.","")</f>
        <v>0</v>
      </c>
      <c r="F3013" s="4" t="s">
        <v>2322</v>
      </c>
    </row>
    <row r="3014" spans="1:6" ht="75" customHeight="1">
      <c r="A3014" t="s">
        <v>334</v>
      </c>
      <c r="B3014" t="s">
        <v>1348</v>
      </c>
      <c r="C3014" t="s">
        <v>1816</v>
      </c>
      <c r="D3014" t="s">
        <v>1808</v>
      </c>
      <c r="E3014" s="4">
        <f>IF(AND(Responses!$SM$1&lt;&gt;"",ISERROR(SEARCH("response id",LOWER(Responses!$SM$1))),(COUNTIF('Open Questions'!$A$2:$A$1001,"SM")+COUNTIF('Multiple Choice Questions'!$A$2:$A$1001,"SM")+COUNTIF('Hybrid Questions'!$A$2:$A$1001,"SM")+COUNTIF('Hybrid Questions'!$D$2:$D$1001,"SM")+COUNTIF('Demographics'!$A$2:$A$1001,"SM"))=0),"Responses column SM ("""&amp;Responses!$SM$1&amp;""") has data, but no question or demographic is set up to use it — so it won't appear in your results.","")</f>
        <v>0</v>
      </c>
      <c r="F3014" s="4" t="s">
        <v>2323</v>
      </c>
    </row>
    <row r="3015" spans="1:6" ht="75" customHeight="1">
      <c r="A3015" t="s">
        <v>334</v>
      </c>
      <c r="B3015" t="s">
        <v>1350</v>
      </c>
      <c r="C3015" t="s">
        <v>1816</v>
      </c>
      <c r="D3015" t="s">
        <v>1808</v>
      </c>
      <c r="E3015" s="4">
        <f>IF(AND(Responses!$SN$1&lt;&gt;"",ISERROR(SEARCH("response id",LOWER(Responses!$SN$1))),(COUNTIF('Open Questions'!$A$2:$A$1001,"SN")+COUNTIF('Multiple Choice Questions'!$A$2:$A$1001,"SN")+COUNTIF('Hybrid Questions'!$A$2:$A$1001,"SN")+COUNTIF('Hybrid Questions'!$D$2:$D$1001,"SN")+COUNTIF('Demographics'!$A$2:$A$1001,"SN"))=0),"Responses column SN ("""&amp;Responses!$SN$1&amp;""") has data, but no question or demographic is set up to use it — so it won't appear in your results.","")</f>
        <v>0</v>
      </c>
      <c r="F3015" s="4" t="s">
        <v>2324</v>
      </c>
    </row>
    <row r="3016" spans="1:6" ht="75" customHeight="1">
      <c r="A3016" t="s">
        <v>334</v>
      </c>
      <c r="B3016" t="s">
        <v>1352</v>
      </c>
      <c r="C3016" t="s">
        <v>1816</v>
      </c>
      <c r="D3016" t="s">
        <v>1808</v>
      </c>
      <c r="E3016" s="4">
        <f>IF(AND(Responses!$SO$1&lt;&gt;"",ISERROR(SEARCH("response id",LOWER(Responses!$SO$1))),(COUNTIF('Open Questions'!$A$2:$A$1001,"SO")+COUNTIF('Multiple Choice Questions'!$A$2:$A$1001,"SO")+COUNTIF('Hybrid Questions'!$A$2:$A$1001,"SO")+COUNTIF('Hybrid Questions'!$D$2:$D$1001,"SO")+COUNTIF('Demographics'!$A$2:$A$1001,"SO"))=0),"Responses column SO ("""&amp;Responses!$SO$1&amp;""") has data, but no question or demographic is set up to use it — so it won't appear in your results.","")</f>
        <v>0</v>
      </c>
      <c r="F3016" s="4" t="s">
        <v>2325</v>
      </c>
    </row>
    <row r="3017" spans="1:6" ht="75" customHeight="1">
      <c r="A3017" t="s">
        <v>334</v>
      </c>
      <c r="B3017" t="s">
        <v>1354</v>
      </c>
      <c r="C3017" t="s">
        <v>1816</v>
      </c>
      <c r="D3017" t="s">
        <v>1808</v>
      </c>
      <c r="E3017" s="4">
        <f>IF(AND(Responses!$SP$1&lt;&gt;"",ISERROR(SEARCH("response id",LOWER(Responses!$SP$1))),(COUNTIF('Open Questions'!$A$2:$A$1001,"SP")+COUNTIF('Multiple Choice Questions'!$A$2:$A$1001,"SP")+COUNTIF('Hybrid Questions'!$A$2:$A$1001,"SP")+COUNTIF('Hybrid Questions'!$D$2:$D$1001,"SP")+COUNTIF('Demographics'!$A$2:$A$1001,"SP"))=0),"Responses column SP ("""&amp;Responses!$SP$1&amp;""") has data, but no question or demographic is set up to use it — so it won't appear in your results.","")</f>
        <v>0</v>
      </c>
      <c r="F3017" s="4" t="s">
        <v>2326</v>
      </c>
    </row>
    <row r="3018" spans="1:6" ht="75" customHeight="1">
      <c r="A3018" t="s">
        <v>334</v>
      </c>
      <c r="B3018" t="s">
        <v>1356</v>
      </c>
      <c r="C3018" t="s">
        <v>1816</v>
      </c>
      <c r="D3018" t="s">
        <v>1808</v>
      </c>
      <c r="E3018" s="4">
        <f>IF(AND(Responses!$SQ$1&lt;&gt;"",ISERROR(SEARCH("response id",LOWER(Responses!$SQ$1))),(COUNTIF('Open Questions'!$A$2:$A$1001,"SQ")+COUNTIF('Multiple Choice Questions'!$A$2:$A$1001,"SQ")+COUNTIF('Hybrid Questions'!$A$2:$A$1001,"SQ")+COUNTIF('Hybrid Questions'!$D$2:$D$1001,"SQ")+COUNTIF('Demographics'!$A$2:$A$1001,"SQ"))=0),"Responses column SQ ("""&amp;Responses!$SQ$1&amp;""") has data, but no question or demographic is set up to use it — so it won't appear in your results.","")</f>
        <v>0</v>
      </c>
      <c r="F3018" s="4" t="s">
        <v>2327</v>
      </c>
    </row>
    <row r="3019" spans="1:6" ht="75" customHeight="1">
      <c r="A3019" t="s">
        <v>334</v>
      </c>
      <c r="B3019" t="s">
        <v>1358</v>
      </c>
      <c r="C3019" t="s">
        <v>1816</v>
      </c>
      <c r="D3019" t="s">
        <v>1808</v>
      </c>
      <c r="E3019" s="4">
        <f>IF(AND(Responses!$SR$1&lt;&gt;"",ISERROR(SEARCH("response id",LOWER(Responses!$SR$1))),(COUNTIF('Open Questions'!$A$2:$A$1001,"SR")+COUNTIF('Multiple Choice Questions'!$A$2:$A$1001,"SR")+COUNTIF('Hybrid Questions'!$A$2:$A$1001,"SR")+COUNTIF('Hybrid Questions'!$D$2:$D$1001,"SR")+COUNTIF('Demographics'!$A$2:$A$1001,"SR"))=0),"Responses column SR ("""&amp;Responses!$SR$1&amp;""") has data, but no question or demographic is set up to use it — so it won't appear in your results.","")</f>
        <v>0</v>
      </c>
      <c r="F3019" s="4" t="s">
        <v>2328</v>
      </c>
    </row>
    <row r="3020" spans="1:6" ht="75" customHeight="1">
      <c r="A3020" t="s">
        <v>334</v>
      </c>
      <c r="B3020" t="s">
        <v>1360</v>
      </c>
      <c r="C3020" t="s">
        <v>1816</v>
      </c>
      <c r="D3020" t="s">
        <v>1808</v>
      </c>
      <c r="E3020" s="4">
        <f>IF(AND(Responses!$SS$1&lt;&gt;"",ISERROR(SEARCH("response id",LOWER(Responses!$SS$1))),(COUNTIF('Open Questions'!$A$2:$A$1001,"SS")+COUNTIF('Multiple Choice Questions'!$A$2:$A$1001,"SS")+COUNTIF('Hybrid Questions'!$A$2:$A$1001,"SS")+COUNTIF('Hybrid Questions'!$D$2:$D$1001,"SS")+COUNTIF('Demographics'!$A$2:$A$1001,"SS"))=0),"Responses column SS ("""&amp;Responses!$SS$1&amp;""") has data, but no question or demographic is set up to use it — so it won't appear in your results.","")</f>
        <v>0</v>
      </c>
      <c r="F3020" s="4" t="s">
        <v>2329</v>
      </c>
    </row>
    <row r="3021" spans="1:6" ht="75" customHeight="1">
      <c r="A3021" t="s">
        <v>334</v>
      </c>
      <c r="B3021" t="s">
        <v>1362</v>
      </c>
      <c r="C3021" t="s">
        <v>1816</v>
      </c>
      <c r="D3021" t="s">
        <v>1808</v>
      </c>
      <c r="E3021" s="4">
        <f>IF(AND(Responses!$ST$1&lt;&gt;"",ISERROR(SEARCH("response id",LOWER(Responses!$ST$1))),(COUNTIF('Open Questions'!$A$2:$A$1001,"ST")+COUNTIF('Multiple Choice Questions'!$A$2:$A$1001,"ST")+COUNTIF('Hybrid Questions'!$A$2:$A$1001,"ST")+COUNTIF('Hybrid Questions'!$D$2:$D$1001,"ST")+COUNTIF('Demographics'!$A$2:$A$1001,"ST"))=0),"Responses column ST ("""&amp;Responses!$ST$1&amp;""") has data, but no question or demographic is set up to use it — so it won't appear in your results.","")</f>
        <v>0</v>
      </c>
      <c r="F3021" s="4" t="s">
        <v>2330</v>
      </c>
    </row>
    <row r="3022" spans="1:6" ht="75" customHeight="1">
      <c r="A3022" t="s">
        <v>334</v>
      </c>
      <c r="B3022" t="s">
        <v>1364</v>
      </c>
      <c r="C3022" t="s">
        <v>1816</v>
      </c>
      <c r="D3022" t="s">
        <v>1808</v>
      </c>
      <c r="E3022" s="4">
        <f>IF(AND(Responses!$SU$1&lt;&gt;"",ISERROR(SEARCH("response id",LOWER(Responses!$SU$1))),(COUNTIF('Open Questions'!$A$2:$A$1001,"SU")+COUNTIF('Multiple Choice Questions'!$A$2:$A$1001,"SU")+COUNTIF('Hybrid Questions'!$A$2:$A$1001,"SU")+COUNTIF('Hybrid Questions'!$D$2:$D$1001,"SU")+COUNTIF('Demographics'!$A$2:$A$1001,"SU"))=0),"Responses column SU ("""&amp;Responses!$SU$1&amp;""") has data, but no question or demographic is set up to use it — so it won't appear in your results.","")</f>
        <v>0</v>
      </c>
      <c r="F3022" s="4" t="s">
        <v>2331</v>
      </c>
    </row>
    <row r="3023" spans="1:6" ht="75" customHeight="1">
      <c r="A3023" t="s">
        <v>334</v>
      </c>
      <c r="B3023" t="s">
        <v>1366</v>
      </c>
      <c r="C3023" t="s">
        <v>1816</v>
      </c>
      <c r="D3023" t="s">
        <v>1808</v>
      </c>
      <c r="E3023" s="4">
        <f>IF(AND(Responses!$SV$1&lt;&gt;"",ISERROR(SEARCH("response id",LOWER(Responses!$SV$1))),(COUNTIF('Open Questions'!$A$2:$A$1001,"SV")+COUNTIF('Multiple Choice Questions'!$A$2:$A$1001,"SV")+COUNTIF('Hybrid Questions'!$A$2:$A$1001,"SV")+COUNTIF('Hybrid Questions'!$D$2:$D$1001,"SV")+COUNTIF('Demographics'!$A$2:$A$1001,"SV"))=0),"Responses column SV ("""&amp;Responses!$SV$1&amp;""") has data, but no question or demographic is set up to use it — so it won't appear in your results.","")</f>
        <v>0</v>
      </c>
      <c r="F3023" s="4" t="s">
        <v>2332</v>
      </c>
    </row>
    <row r="3024" spans="1:6" ht="75" customHeight="1">
      <c r="A3024" t="s">
        <v>334</v>
      </c>
      <c r="B3024" t="s">
        <v>1368</v>
      </c>
      <c r="C3024" t="s">
        <v>1816</v>
      </c>
      <c r="D3024" t="s">
        <v>1808</v>
      </c>
      <c r="E3024" s="4">
        <f>IF(AND(Responses!$SW$1&lt;&gt;"",ISERROR(SEARCH("response id",LOWER(Responses!$SW$1))),(COUNTIF('Open Questions'!$A$2:$A$1001,"SW")+COUNTIF('Multiple Choice Questions'!$A$2:$A$1001,"SW")+COUNTIF('Hybrid Questions'!$A$2:$A$1001,"SW")+COUNTIF('Hybrid Questions'!$D$2:$D$1001,"SW")+COUNTIF('Demographics'!$A$2:$A$1001,"SW"))=0),"Responses column SW ("""&amp;Responses!$SW$1&amp;""") has data, but no question or demographic is set up to use it — so it won't appear in your results.","")</f>
        <v>0</v>
      </c>
      <c r="F3024" s="4" t="s">
        <v>2333</v>
      </c>
    </row>
    <row r="3025" spans="1:6" ht="75" customHeight="1">
      <c r="A3025" t="s">
        <v>334</v>
      </c>
      <c r="B3025" t="s">
        <v>1370</v>
      </c>
      <c r="C3025" t="s">
        <v>1816</v>
      </c>
      <c r="D3025" t="s">
        <v>1808</v>
      </c>
      <c r="E3025" s="4">
        <f>IF(AND(Responses!$SX$1&lt;&gt;"",ISERROR(SEARCH("response id",LOWER(Responses!$SX$1))),(COUNTIF('Open Questions'!$A$2:$A$1001,"SX")+COUNTIF('Multiple Choice Questions'!$A$2:$A$1001,"SX")+COUNTIF('Hybrid Questions'!$A$2:$A$1001,"SX")+COUNTIF('Hybrid Questions'!$D$2:$D$1001,"SX")+COUNTIF('Demographics'!$A$2:$A$1001,"SX"))=0),"Responses column SX ("""&amp;Responses!$SX$1&amp;""") has data, but no question or demographic is set up to use it — so it won't appear in your results.","")</f>
        <v>0</v>
      </c>
      <c r="F3025" s="4" t="s">
        <v>2334</v>
      </c>
    </row>
    <row r="3026" spans="1:6" ht="75" customHeight="1">
      <c r="A3026" t="s">
        <v>334</v>
      </c>
      <c r="B3026" t="s">
        <v>1372</v>
      </c>
      <c r="C3026" t="s">
        <v>1816</v>
      </c>
      <c r="D3026" t="s">
        <v>1808</v>
      </c>
      <c r="E3026" s="4">
        <f>IF(AND(Responses!$SY$1&lt;&gt;"",ISERROR(SEARCH("response id",LOWER(Responses!$SY$1))),(COUNTIF('Open Questions'!$A$2:$A$1001,"SY")+COUNTIF('Multiple Choice Questions'!$A$2:$A$1001,"SY")+COUNTIF('Hybrid Questions'!$A$2:$A$1001,"SY")+COUNTIF('Hybrid Questions'!$D$2:$D$1001,"SY")+COUNTIF('Demographics'!$A$2:$A$1001,"SY"))=0),"Responses column SY ("""&amp;Responses!$SY$1&amp;""") has data, but no question or demographic is set up to use it — so it won't appear in your results.","")</f>
        <v>0</v>
      </c>
      <c r="F3026" s="4" t="s">
        <v>2335</v>
      </c>
    </row>
    <row r="3027" spans="1:6" ht="75" customHeight="1">
      <c r="A3027" t="s">
        <v>334</v>
      </c>
      <c r="B3027" t="s">
        <v>1374</v>
      </c>
      <c r="C3027" t="s">
        <v>1816</v>
      </c>
      <c r="D3027" t="s">
        <v>1808</v>
      </c>
      <c r="E3027" s="4">
        <f>IF(AND(Responses!$SZ$1&lt;&gt;"",ISERROR(SEARCH("response id",LOWER(Responses!$SZ$1))),(COUNTIF('Open Questions'!$A$2:$A$1001,"SZ")+COUNTIF('Multiple Choice Questions'!$A$2:$A$1001,"SZ")+COUNTIF('Hybrid Questions'!$A$2:$A$1001,"SZ")+COUNTIF('Hybrid Questions'!$D$2:$D$1001,"SZ")+COUNTIF('Demographics'!$A$2:$A$1001,"SZ"))=0),"Responses column SZ ("""&amp;Responses!$SZ$1&amp;""") has data, but no question or demographic is set up to use it — so it won't appear in your results.","")</f>
        <v>0</v>
      </c>
      <c r="F3027" s="4" t="s">
        <v>2336</v>
      </c>
    </row>
    <row r="3028" spans="1:6" ht="75" customHeight="1">
      <c r="A3028" t="s">
        <v>334</v>
      </c>
      <c r="B3028" t="s">
        <v>1376</v>
      </c>
      <c r="C3028" t="s">
        <v>1816</v>
      </c>
      <c r="D3028" t="s">
        <v>1808</v>
      </c>
      <c r="E3028" s="4">
        <f>IF(AND(Responses!$TA$1&lt;&gt;"",ISERROR(SEARCH("response id",LOWER(Responses!$TA$1))),(COUNTIF('Open Questions'!$A$2:$A$1001,"TA")+COUNTIF('Multiple Choice Questions'!$A$2:$A$1001,"TA")+COUNTIF('Hybrid Questions'!$A$2:$A$1001,"TA")+COUNTIF('Hybrid Questions'!$D$2:$D$1001,"TA")+COUNTIF('Demographics'!$A$2:$A$1001,"TA"))=0),"Responses column TA ("""&amp;Responses!$TA$1&amp;""") has data, but no question or demographic is set up to use it — so it won't appear in your results.","")</f>
        <v>0</v>
      </c>
      <c r="F3028" s="4" t="s">
        <v>2337</v>
      </c>
    </row>
    <row r="3029" spans="1:6" ht="75" customHeight="1">
      <c r="A3029" t="s">
        <v>334</v>
      </c>
      <c r="B3029" t="s">
        <v>1378</v>
      </c>
      <c r="C3029" t="s">
        <v>1816</v>
      </c>
      <c r="D3029" t="s">
        <v>1808</v>
      </c>
      <c r="E3029" s="4">
        <f>IF(AND(Responses!$TB$1&lt;&gt;"",ISERROR(SEARCH("response id",LOWER(Responses!$TB$1))),(COUNTIF('Open Questions'!$A$2:$A$1001,"TB")+COUNTIF('Multiple Choice Questions'!$A$2:$A$1001,"TB")+COUNTIF('Hybrid Questions'!$A$2:$A$1001,"TB")+COUNTIF('Hybrid Questions'!$D$2:$D$1001,"TB")+COUNTIF('Demographics'!$A$2:$A$1001,"TB"))=0),"Responses column TB ("""&amp;Responses!$TB$1&amp;""") has data, but no question or demographic is set up to use it — so it won't appear in your results.","")</f>
        <v>0</v>
      </c>
      <c r="F3029" s="4" t="s">
        <v>2338</v>
      </c>
    </row>
    <row r="3030" spans="1:6" ht="75" customHeight="1">
      <c r="A3030" t="s">
        <v>334</v>
      </c>
      <c r="B3030" t="s">
        <v>1380</v>
      </c>
      <c r="C3030" t="s">
        <v>1816</v>
      </c>
      <c r="D3030" t="s">
        <v>1808</v>
      </c>
      <c r="E3030" s="4">
        <f>IF(AND(Responses!$TC$1&lt;&gt;"",ISERROR(SEARCH("response id",LOWER(Responses!$TC$1))),(COUNTIF('Open Questions'!$A$2:$A$1001,"TC")+COUNTIF('Multiple Choice Questions'!$A$2:$A$1001,"TC")+COUNTIF('Hybrid Questions'!$A$2:$A$1001,"TC")+COUNTIF('Hybrid Questions'!$D$2:$D$1001,"TC")+COUNTIF('Demographics'!$A$2:$A$1001,"TC"))=0),"Responses column TC ("""&amp;Responses!$TC$1&amp;""") has data, but no question or demographic is set up to use it — so it won't appear in your results.","")</f>
        <v>0</v>
      </c>
      <c r="F3030" s="4" t="s">
        <v>2339</v>
      </c>
    </row>
    <row r="3031" spans="1:6" ht="75" customHeight="1">
      <c r="A3031" t="s">
        <v>334</v>
      </c>
      <c r="B3031" t="s">
        <v>1382</v>
      </c>
      <c r="C3031" t="s">
        <v>1816</v>
      </c>
      <c r="D3031" t="s">
        <v>1808</v>
      </c>
      <c r="E3031" s="4">
        <f>IF(AND(Responses!$TD$1&lt;&gt;"",ISERROR(SEARCH("response id",LOWER(Responses!$TD$1))),(COUNTIF('Open Questions'!$A$2:$A$1001,"TD")+COUNTIF('Multiple Choice Questions'!$A$2:$A$1001,"TD")+COUNTIF('Hybrid Questions'!$A$2:$A$1001,"TD")+COUNTIF('Hybrid Questions'!$D$2:$D$1001,"TD")+COUNTIF('Demographics'!$A$2:$A$1001,"TD"))=0),"Responses column TD ("""&amp;Responses!$TD$1&amp;""") has data, but no question or demographic is set up to use it — so it won't appear in your results.","")</f>
        <v>0</v>
      </c>
      <c r="F3031" s="4" t="s">
        <v>2340</v>
      </c>
    </row>
    <row r="3032" spans="1:6" ht="75" customHeight="1">
      <c r="A3032" t="s">
        <v>334</v>
      </c>
      <c r="B3032" t="s">
        <v>1384</v>
      </c>
      <c r="C3032" t="s">
        <v>1816</v>
      </c>
      <c r="D3032" t="s">
        <v>1808</v>
      </c>
      <c r="E3032" s="4">
        <f>IF(AND(Responses!$TE$1&lt;&gt;"",ISERROR(SEARCH("response id",LOWER(Responses!$TE$1))),(COUNTIF('Open Questions'!$A$2:$A$1001,"TE")+COUNTIF('Multiple Choice Questions'!$A$2:$A$1001,"TE")+COUNTIF('Hybrid Questions'!$A$2:$A$1001,"TE")+COUNTIF('Hybrid Questions'!$D$2:$D$1001,"TE")+COUNTIF('Demographics'!$A$2:$A$1001,"TE"))=0),"Responses column TE ("""&amp;Responses!$TE$1&amp;""") has data, but no question or demographic is set up to use it — so it won't appear in your results.","")</f>
        <v>0</v>
      </c>
      <c r="F3032" s="4" t="s">
        <v>2341</v>
      </c>
    </row>
    <row r="3033" spans="1:6" ht="75" customHeight="1">
      <c r="A3033" t="s">
        <v>334</v>
      </c>
      <c r="B3033" t="s">
        <v>1386</v>
      </c>
      <c r="C3033" t="s">
        <v>1816</v>
      </c>
      <c r="D3033" t="s">
        <v>1808</v>
      </c>
      <c r="E3033" s="4">
        <f>IF(AND(Responses!$TF$1&lt;&gt;"",ISERROR(SEARCH("response id",LOWER(Responses!$TF$1))),(COUNTIF('Open Questions'!$A$2:$A$1001,"TF")+COUNTIF('Multiple Choice Questions'!$A$2:$A$1001,"TF")+COUNTIF('Hybrid Questions'!$A$2:$A$1001,"TF")+COUNTIF('Hybrid Questions'!$D$2:$D$1001,"TF")+COUNTIF('Demographics'!$A$2:$A$1001,"TF"))=0),"Responses column TF ("""&amp;Responses!$TF$1&amp;""") has data, but no question or demographic is set up to use it — so it won't appear in your results.","")</f>
        <v>0</v>
      </c>
      <c r="F3033" s="4" t="s">
        <v>2342</v>
      </c>
    </row>
    <row r="3034" spans="1:6" ht="75" customHeight="1">
      <c r="A3034" t="s">
        <v>334</v>
      </c>
      <c r="B3034" t="s">
        <v>1388</v>
      </c>
      <c r="C3034" t="s">
        <v>1816</v>
      </c>
      <c r="D3034" t="s">
        <v>1808</v>
      </c>
      <c r="E3034" s="4">
        <f>IF(AND(Responses!$TG$1&lt;&gt;"",ISERROR(SEARCH("response id",LOWER(Responses!$TG$1))),(COUNTIF('Open Questions'!$A$2:$A$1001,"TG")+COUNTIF('Multiple Choice Questions'!$A$2:$A$1001,"TG")+COUNTIF('Hybrid Questions'!$A$2:$A$1001,"TG")+COUNTIF('Hybrid Questions'!$D$2:$D$1001,"TG")+COUNTIF('Demographics'!$A$2:$A$1001,"TG"))=0),"Responses column TG ("""&amp;Responses!$TG$1&amp;""") has data, but no question or demographic is set up to use it — so it won't appear in your results.","")</f>
        <v>0</v>
      </c>
      <c r="F3034" s="4" t="s">
        <v>2343</v>
      </c>
    </row>
    <row r="3035" spans="1:6" ht="75" customHeight="1">
      <c r="A3035" t="s">
        <v>334</v>
      </c>
      <c r="B3035" t="s">
        <v>1390</v>
      </c>
      <c r="C3035" t="s">
        <v>1816</v>
      </c>
      <c r="D3035" t="s">
        <v>1808</v>
      </c>
      <c r="E3035" s="4">
        <f>IF(AND(Responses!$TH$1&lt;&gt;"",ISERROR(SEARCH("response id",LOWER(Responses!$TH$1))),(COUNTIF('Open Questions'!$A$2:$A$1001,"TH")+COUNTIF('Multiple Choice Questions'!$A$2:$A$1001,"TH")+COUNTIF('Hybrid Questions'!$A$2:$A$1001,"TH")+COUNTIF('Hybrid Questions'!$D$2:$D$1001,"TH")+COUNTIF('Demographics'!$A$2:$A$1001,"TH"))=0),"Responses column TH ("""&amp;Responses!$TH$1&amp;""") has data, but no question or demographic is set up to use it — so it won't appear in your results.","")</f>
        <v>0</v>
      </c>
      <c r="F3035" s="4" t="s">
        <v>2344</v>
      </c>
    </row>
    <row r="3036" spans="1:6" ht="75" customHeight="1">
      <c r="A3036" t="s">
        <v>334</v>
      </c>
      <c r="B3036" t="s">
        <v>1392</v>
      </c>
      <c r="C3036" t="s">
        <v>1816</v>
      </c>
      <c r="D3036" t="s">
        <v>1808</v>
      </c>
      <c r="E3036" s="4">
        <f>IF(AND(Responses!$TI$1&lt;&gt;"",ISERROR(SEARCH("response id",LOWER(Responses!$TI$1))),(COUNTIF('Open Questions'!$A$2:$A$1001,"TI")+COUNTIF('Multiple Choice Questions'!$A$2:$A$1001,"TI")+COUNTIF('Hybrid Questions'!$A$2:$A$1001,"TI")+COUNTIF('Hybrid Questions'!$D$2:$D$1001,"TI")+COUNTIF('Demographics'!$A$2:$A$1001,"TI"))=0),"Responses column TI ("""&amp;Responses!$TI$1&amp;""") has data, but no question or demographic is set up to use it — so it won't appear in your results.","")</f>
        <v>0</v>
      </c>
      <c r="F3036" s="4" t="s">
        <v>2345</v>
      </c>
    </row>
    <row r="3037" spans="1:6" ht="75" customHeight="1">
      <c r="A3037" t="s">
        <v>334</v>
      </c>
      <c r="B3037" t="s">
        <v>1394</v>
      </c>
      <c r="C3037" t="s">
        <v>1816</v>
      </c>
      <c r="D3037" t="s">
        <v>1808</v>
      </c>
      <c r="E3037" s="4">
        <f>IF(AND(Responses!$TJ$1&lt;&gt;"",ISERROR(SEARCH("response id",LOWER(Responses!$TJ$1))),(COUNTIF('Open Questions'!$A$2:$A$1001,"TJ")+COUNTIF('Multiple Choice Questions'!$A$2:$A$1001,"TJ")+COUNTIF('Hybrid Questions'!$A$2:$A$1001,"TJ")+COUNTIF('Hybrid Questions'!$D$2:$D$1001,"TJ")+COUNTIF('Demographics'!$A$2:$A$1001,"TJ"))=0),"Responses column TJ ("""&amp;Responses!$TJ$1&amp;""") has data, but no question or demographic is set up to use it — so it won't appear in your results.","")</f>
        <v>0</v>
      </c>
      <c r="F3037" s="4" t="s">
        <v>2346</v>
      </c>
    </row>
    <row r="3038" spans="1:6" ht="75" customHeight="1">
      <c r="A3038" t="s">
        <v>334</v>
      </c>
      <c r="B3038" t="s">
        <v>1396</v>
      </c>
      <c r="C3038" t="s">
        <v>1816</v>
      </c>
      <c r="D3038" t="s">
        <v>1808</v>
      </c>
      <c r="E3038" s="4">
        <f>IF(AND(Responses!$TK$1&lt;&gt;"",ISERROR(SEARCH("response id",LOWER(Responses!$TK$1))),(COUNTIF('Open Questions'!$A$2:$A$1001,"TK")+COUNTIF('Multiple Choice Questions'!$A$2:$A$1001,"TK")+COUNTIF('Hybrid Questions'!$A$2:$A$1001,"TK")+COUNTIF('Hybrid Questions'!$D$2:$D$1001,"TK")+COUNTIF('Demographics'!$A$2:$A$1001,"TK"))=0),"Responses column TK ("""&amp;Responses!$TK$1&amp;""") has data, but no question or demographic is set up to use it — so it won't appear in your results.","")</f>
        <v>0</v>
      </c>
      <c r="F3038" s="4" t="s">
        <v>2347</v>
      </c>
    </row>
    <row r="3039" spans="1:6" ht="75" customHeight="1">
      <c r="A3039" t="s">
        <v>334</v>
      </c>
      <c r="B3039" t="s">
        <v>1398</v>
      </c>
      <c r="C3039" t="s">
        <v>1816</v>
      </c>
      <c r="D3039" t="s">
        <v>1808</v>
      </c>
      <c r="E3039" s="4">
        <f>IF(AND(Responses!$TL$1&lt;&gt;"",ISERROR(SEARCH("response id",LOWER(Responses!$TL$1))),(COUNTIF('Open Questions'!$A$2:$A$1001,"TL")+COUNTIF('Multiple Choice Questions'!$A$2:$A$1001,"TL")+COUNTIF('Hybrid Questions'!$A$2:$A$1001,"TL")+COUNTIF('Hybrid Questions'!$D$2:$D$1001,"TL")+COUNTIF('Demographics'!$A$2:$A$1001,"TL"))=0),"Responses column TL ("""&amp;Responses!$TL$1&amp;""") has data, but no question or demographic is set up to use it — so it won't appear in your results.","")</f>
        <v>0</v>
      </c>
      <c r="F3039" s="4" t="s">
        <v>2348</v>
      </c>
    </row>
    <row r="3040" spans="1:6" ht="75" customHeight="1">
      <c r="A3040" t="s">
        <v>334</v>
      </c>
      <c r="B3040" t="s">
        <v>1400</v>
      </c>
      <c r="C3040" t="s">
        <v>1816</v>
      </c>
      <c r="D3040" t="s">
        <v>1808</v>
      </c>
      <c r="E3040" s="4">
        <f>IF(AND(Responses!$TM$1&lt;&gt;"",ISERROR(SEARCH("response id",LOWER(Responses!$TM$1))),(COUNTIF('Open Questions'!$A$2:$A$1001,"TM")+COUNTIF('Multiple Choice Questions'!$A$2:$A$1001,"TM")+COUNTIF('Hybrid Questions'!$A$2:$A$1001,"TM")+COUNTIF('Hybrid Questions'!$D$2:$D$1001,"TM")+COUNTIF('Demographics'!$A$2:$A$1001,"TM"))=0),"Responses column TM ("""&amp;Responses!$TM$1&amp;""") has data, but no question or demographic is set up to use it — so it won't appear in your results.","")</f>
        <v>0</v>
      </c>
      <c r="F3040" s="4" t="s">
        <v>2349</v>
      </c>
    </row>
    <row r="3041" spans="1:6" ht="75" customHeight="1">
      <c r="A3041" t="s">
        <v>334</v>
      </c>
      <c r="B3041" t="s">
        <v>1402</v>
      </c>
      <c r="C3041" t="s">
        <v>1816</v>
      </c>
      <c r="D3041" t="s">
        <v>1808</v>
      </c>
      <c r="E3041" s="4">
        <f>IF(AND(Responses!$TN$1&lt;&gt;"",ISERROR(SEARCH("response id",LOWER(Responses!$TN$1))),(COUNTIF('Open Questions'!$A$2:$A$1001,"TN")+COUNTIF('Multiple Choice Questions'!$A$2:$A$1001,"TN")+COUNTIF('Hybrid Questions'!$A$2:$A$1001,"TN")+COUNTIF('Hybrid Questions'!$D$2:$D$1001,"TN")+COUNTIF('Demographics'!$A$2:$A$1001,"TN"))=0),"Responses column TN ("""&amp;Responses!$TN$1&amp;""") has data, but no question or demographic is set up to use it — so it won't appear in your results.","")</f>
        <v>0</v>
      </c>
      <c r="F3041" s="4" t="s">
        <v>2350</v>
      </c>
    </row>
    <row r="3042" spans="1:6" ht="75" customHeight="1">
      <c r="A3042" t="s">
        <v>334</v>
      </c>
      <c r="B3042" t="s">
        <v>1404</v>
      </c>
      <c r="C3042" t="s">
        <v>1816</v>
      </c>
      <c r="D3042" t="s">
        <v>1808</v>
      </c>
      <c r="E3042" s="4">
        <f>IF(AND(Responses!$TO$1&lt;&gt;"",ISERROR(SEARCH("response id",LOWER(Responses!$TO$1))),(COUNTIF('Open Questions'!$A$2:$A$1001,"TO")+COUNTIF('Multiple Choice Questions'!$A$2:$A$1001,"TO")+COUNTIF('Hybrid Questions'!$A$2:$A$1001,"TO")+COUNTIF('Hybrid Questions'!$D$2:$D$1001,"TO")+COUNTIF('Demographics'!$A$2:$A$1001,"TO"))=0),"Responses column TO ("""&amp;Responses!$TO$1&amp;""") has data, but no question or demographic is set up to use it — so it won't appear in your results.","")</f>
        <v>0</v>
      </c>
      <c r="F3042" s="4" t="s">
        <v>2351</v>
      </c>
    </row>
    <row r="3043" spans="1:6" ht="75" customHeight="1">
      <c r="A3043" t="s">
        <v>334</v>
      </c>
      <c r="B3043" t="s">
        <v>1406</v>
      </c>
      <c r="C3043" t="s">
        <v>1816</v>
      </c>
      <c r="D3043" t="s">
        <v>1808</v>
      </c>
      <c r="E3043" s="4">
        <f>IF(AND(Responses!$TP$1&lt;&gt;"",ISERROR(SEARCH("response id",LOWER(Responses!$TP$1))),(COUNTIF('Open Questions'!$A$2:$A$1001,"TP")+COUNTIF('Multiple Choice Questions'!$A$2:$A$1001,"TP")+COUNTIF('Hybrid Questions'!$A$2:$A$1001,"TP")+COUNTIF('Hybrid Questions'!$D$2:$D$1001,"TP")+COUNTIF('Demographics'!$A$2:$A$1001,"TP"))=0),"Responses column TP ("""&amp;Responses!$TP$1&amp;""") has data, but no question or demographic is set up to use it — so it won't appear in your results.","")</f>
        <v>0</v>
      </c>
      <c r="F3043" s="4" t="s">
        <v>2352</v>
      </c>
    </row>
    <row r="3044" spans="1:6" ht="75" customHeight="1">
      <c r="A3044" t="s">
        <v>334</v>
      </c>
      <c r="B3044" t="s">
        <v>1408</v>
      </c>
      <c r="C3044" t="s">
        <v>1816</v>
      </c>
      <c r="D3044" t="s">
        <v>1808</v>
      </c>
      <c r="E3044" s="4">
        <f>IF(AND(Responses!$TQ$1&lt;&gt;"",ISERROR(SEARCH("response id",LOWER(Responses!$TQ$1))),(COUNTIF('Open Questions'!$A$2:$A$1001,"TQ")+COUNTIF('Multiple Choice Questions'!$A$2:$A$1001,"TQ")+COUNTIF('Hybrid Questions'!$A$2:$A$1001,"TQ")+COUNTIF('Hybrid Questions'!$D$2:$D$1001,"TQ")+COUNTIF('Demographics'!$A$2:$A$1001,"TQ"))=0),"Responses column TQ ("""&amp;Responses!$TQ$1&amp;""") has data, but no question or demographic is set up to use it — so it won't appear in your results.","")</f>
        <v>0</v>
      </c>
      <c r="F3044" s="4" t="s">
        <v>2353</v>
      </c>
    </row>
    <row r="3045" spans="1:6" ht="75" customHeight="1">
      <c r="A3045" t="s">
        <v>334</v>
      </c>
      <c r="B3045" t="s">
        <v>1410</v>
      </c>
      <c r="C3045" t="s">
        <v>1816</v>
      </c>
      <c r="D3045" t="s">
        <v>1808</v>
      </c>
      <c r="E3045" s="4">
        <f>IF(AND(Responses!$TR$1&lt;&gt;"",ISERROR(SEARCH("response id",LOWER(Responses!$TR$1))),(COUNTIF('Open Questions'!$A$2:$A$1001,"TR")+COUNTIF('Multiple Choice Questions'!$A$2:$A$1001,"TR")+COUNTIF('Hybrid Questions'!$A$2:$A$1001,"TR")+COUNTIF('Hybrid Questions'!$D$2:$D$1001,"TR")+COUNTIF('Demographics'!$A$2:$A$1001,"TR"))=0),"Responses column TR ("""&amp;Responses!$TR$1&amp;""") has data, but no question or demographic is set up to use it — so it won't appear in your results.","")</f>
        <v>0</v>
      </c>
      <c r="F3045" s="4" t="s">
        <v>2354</v>
      </c>
    </row>
    <row r="3046" spans="1:6" ht="75" customHeight="1">
      <c r="A3046" t="s">
        <v>334</v>
      </c>
      <c r="B3046" t="s">
        <v>1412</v>
      </c>
      <c r="C3046" t="s">
        <v>1816</v>
      </c>
      <c r="D3046" t="s">
        <v>1808</v>
      </c>
      <c r="E3046" s="4">
        <f>IF(AND(Responses!$TS$1&lt;&gt;"",ISERROR(SEARCH("response id",LOWER(Responses!$TS$1))),(COUNTIF('Open Questions'!$A$2:$A$1001,"TS")+COUNTIF('Multiple Choice Questions'!$A$2:$A$1001,"TS")+COUNTIF('Hybrid Questions'!$A$2:$A$1001,"TS")+COUNTIF('Hybrid Questions'!$D$2:$D$1001,"TS")+COUNTIF('Demographics'!$A$2:$A$1001,"TS"))=0),"Responses column TS ("""&amp;Responses!$TS$1&amp;""") has data, but no question or demographic is set up to use it — so it won't appear in your results.","")</f>
        <v>0</v>
      </c>
      <c r="F3046" s="4" t="s">
        <v>2355</v>
      </c>
    </row>
    <row r="3047" spans="1:6" ht="75" customHeight="1">
      <c r="A3047" t="s">
        <v>334</v>
      </c>
      <c r="B3047" t="s">
        <v>1414</v>
      </c>
      <c r="C3047" t="s">
        <v>1816</v>
      </c>
      <c r="D3047" t="s">
        <v>1808</v>
      </c>
      <c r="E3047" s="4">
        <f>IF(AND(Responses!$TT$1&lt;&gt;"",ISERROR(SEARCH("response id",LOWER(Responses!$TT$1))),(COUNTIF('Open Questions'!$A$2:$A$1001,"TT")+COUNTIF('Multiple Choice Questions'!$A$2:$A$1001,"TT")+COUNTIF('Hybrid Questions'!$A$2:$A$1001,"TT")+COUNTIF('Hybrid Questions'!$D$2:$D$1001,"TT")+COUNTIF('Demographics'!$A$2:$A$1001,"TT"))=0),"Responses column TT ("""&amp;Responses!$TT$1&amp;""") has data, but no question or demographic is set up to use it — so it won't appear in your results.","")</f>
        <v>0</v>
      </c>
      <c r="F3047" s="4" t="s">
        <v>2356</v>
      </c>
    </row>
    <row r="3048" spans="1:6" ht="75" customHeight="1">
      <c r="A3048" t="s">
        <v>334</v>
      </c>
      <c r="B3048" t="s">
        <v>1416</v>
      </c>
      <c r="C3048" t="s">
        <v>1816</v>
      </c>
      <c r="D3048" t="s">
        <v>1808</v>
      </c>
      <c r="E3048" s="4">
        <f>IF(AND(Responses!$TU$1&lt;&gt;"",ISERROR(SEARCH("response id",LOWER(Responses!$TU$1))),(COUNTIF('Open Questions'!$A$2:$A$1001,"TU")+COUNTIF('Multiple Choice Questions'!$A$2:$A$1001,"TU")+COUNTIF('Hybrid Questions'!$A$2:$A$1001,"TU")+COUNTIF('Hybrid Questions'!$D$2:$D$1001,"TU")+COUNTIF('Demographics'!$A$2:$A$1001,"TU"))=0),"Responses column TU ("""&amp;Responses!$TU$1&amp;""") has data, but no question or demographic is set up to use it — so it won't appear in your results.","")</f>
        <v>0</v>
      </c>
      <c r="F3048" s="4" t="s">
        <v>2357</v>
      </c>
    </row>
    <row r="3049" spans="1:6" ht="75" customHeight="1">
      <c r="A3049" t="s">
        <v>334</v>
      </c>
      <c r="B3049" t="s">
        <v>1418</v>
      </c>
      <c r="C3049" t="s">
        <v>1816</v>
      </c>
      <c r="D3049" t="s">
        <v>1808</v>
      </c>
      <c r="E3049" s="4">
        <f>IF(AND(Responses!$TV$1&lt;&gt;"",ISERROR(SEARCH("response id",LOWER(Responses!$TV$1))),(COUNTIF('Open Questions'!$A$2:$A$1001,"TV")+COUNTIF('Multiple Choice Questions'!$A$2:$A$1001,"TV")+COUNTIF('Hybrid Questions'!$A$2:$A$1001,"TV")+COUNTIF('Hybrid Questions'!$D$2:$D$1001,"TV")+COUNTIF('Demographics'!$A$2:$A$1001,"TV"))=0),"Responses column TV ("""&amp;Responses!$TV$1&amp;""") has data, but no question or demographic is set up to use it — so it won't appear in your results.","")</f>
        <v>0</v>
      </c>
      <c r="F3049" s="4" t="s">
        <v>2358</v>
      </c>
    </row>
    <row r="3050" spans="1:6" ht="75" customHeight="1">
      <c r="A3050" t="s">
        <v>334</v>
      </c>
      <c r="B3050" t="s">
        <v>1420</v>
      </c>
      <c r="C3050" t="s">
        <v>1816</v>
      </c>
      <c r="D3050" t="s">
        <v>1808</v>
      </c>
      <c r="E3050" s="4">
        <f>IF(AND(Responses!$TW$1&lt;&gt;"",ISERROR(SEARCH("response id",LOWER(Responses!$TW$1))),(COUNTIF('Open Questions'!$A$2:$A$1001,"TW")+COUNTIF('Multiple Choice Questions'!$A$2:$A$1001,"TW")+COUNTIF('Hybrid Questions'!$A$2:$A$1001,"TW")+COUNTIF('Hybrid Questions'!$D$2:$D$1001,"TW")+COUNTIF('Demographics'!$A$2:$A$1001,"TW"))=0),"Responses column TW ("""&amp;Responses!$TW$1&amp;""") has data, but no question or demographic is set up to use it — so it won't appear in your results.","")</f>
        <v>0</v>
      </c>
      <c r="F3050" s="4" t="s">
        <v>2359</v>
      </c>
    </row>
    <row r="3051" spans="1:6" ht="75" customHeight="1">
      <c r="A3051" t="s">
        <v>334</v>
      </c>
      <c r="B3051" t="s">
        <v>1422</v>
      </c>
      <c r="C3051" t="s">
        <v>1816</v>
      </c>
      <c r="D3051" t="s">
        <v>1808</v>
      </c>
      <c r="E3051" s="4">
        <f>IF(AND(Responses!$TX$1&lt;&gt;"",ISERROR(SEARCH("response id",LOWER(Responses!$TX$1))),(COUNTIF('Open Questions'!$A$2:$A$1001,"TX")+COUNTIF('Multiple Choice Questions'!$A$2:$A$1001,"TX")+COUNTIF('Hybrid Questions'!$A$2:$A$1001,"TX")+COUNTIF('Hybrid Questions'!$D$2:$D$1001,"TX")+COUNTIF('Demographics'!$A$2:$A$1001,"TX"))=0),"Responses column TX ("""&amp;Responses!$TX$1&amp;""") has data, but no question or demographic is set up to use it — so it won't appear in your results.","")</f>
        <v>0</v>
      </c>
      <c r="F3051" s="4" t="s">
        <v>2360</v>
      </c>
    </row>
    <row r="3052" spans="1:6" ht="75" customHeight="1">
      <c r="A3052" t="s">
        <v>334</v>
      </c>
      <c r="B3052" t="s">
        <v>1424</v>
      </c>
      <c r="C3052" t="s">
        <v>1816</v>
      </c>
      <c r="D3052" t="s">
        <v>1808</v>
      </c>
      <c r="E3052" s="4">
        <f>IF(AND(Responses!$TY$1&lt;&gt;"",ISERROR(SEARCH("response id",LOWER(Responses!$TY$1))),(COUNTIF('Open Questions'!$A$2:$A$1001,"TY")+COUNTIF('Multiple Choice Questions'!$A$2:$A$1001,"TY")+COUNTIF('Hybrid Questions'!$A$2:$A$1001,"TY")+COUNTIF('Hybrid Questions'!$D$2:$D$1001,"TY")+COUNTIF('Demographics'!$A$2:$A$1001,"TY"))=0),"Responses column TY ("""&amp;Responses!$TY$1&amp;""") has data, but no question or demographic is set up to use it — so it won't appear in your results.","")</f>
        <v>0</v>
      </c>
      <c r="F3052" s="4" t="s">
        <v>2361</v>
      </c>
    </row>
    <row r="3053" spans="1:6" ht="75" customHeight="1">
      <c r="A3053" t="s">
        <v>334</v>
      </c>
      <c r="B3053" t="s">
        <v>1426</v>
      </c>
      <c r="C3053" t="s">
        <v>1816</v>
      </c>
      <c r="D3053" t="s">
        <v>1808</v>
      </c>
      <c r="E3053" s="4">
        <f>IF(AND(Responses!$TZ$1&lt;&gt;"",ISERROR(SEARCH("response id",LOWER(Responses!$TZ$1))),(COUNTIF('Open Questions'!$A$2:$A$1001,"TZ")+COUNTIF('Multiple Choice Questions'!$A$2:$A$1001,"TZ")+COUNTIF('Hybrid Questions'!$A$2:$A$1001,"TZ")+COUNTIF('Hybrid Questions'!$D$2:$D$1001,"TZ")+COUNTIF('Demographics'!$A$2:$A$1001,"TZ"))=0),"Responses column TZ ("""&amp;Responses!$TZ$1&amp;""") has data, but no question or demographic is set up to use it — so it won't appear in your results.","")</f>
        <v>0</v>
      </c>
      <c r="F3053" s="4" t="s">
        <v>2362</v>
      </c>
    </row>
    <row r="3054" spans="1:6" ht="75" customHeight="1">
      <c r="A3054" t="s">
        <v>334</v>
      </c>
      <c r="B3054" t="s">
        <v>1428</v>
      </c>
      <c r="C3054" t="s">
        <v>1816</v>
      </c>
      <c r="D3054" t="s">
        <v>1808</v>
      </c>
      <c r="E3054" s="4">
        <f>IF(AND(Responses!$UA$1&lt;&gt;"",ISERROR(SEARCH("response id",LOWER(Responses!$UA$1))),(COUNTIF('Open Questions'!$A$2:$A$1001,"UA")+COUNTIF('Multiple Choice Questions'!$A$2:$A$1001,"UA")+COUNTIF('Hybrid Questions'!$A$2:$A$1001,"UA")+COUNTIF('Hybrid Questions'!$D$2:$D$1001,"UA")+COUNTIF('Demographics'!$A$2:$A$1001,"UA"))=0),"Responses column UA ("""&amp;Responses!$UA$1&amp;""") has data, but no question or demographic is set up to use it — so it won't appear in your results.","")</f>
        <v>0</v>
      </c>
      <c r="F3054" s="4" t="s">
        <v>2363</v>
      </c>
    </row>
    <row r="3055" spans="1:6" ht="75" customHeight="1">
      <c r="A3055" t="s">
        <v>334</v>
      </c>
      <c r="B3055" t="s">
        <v>1430</v>
      </c>
      <c r="C3055" t="s">
        <v>1816</v>
      </c>
      <c r="D3055" t="s">
        <v>1808</v>
      </c>
      <c r="E3055" s="4">
        <f>IF(AND(Responses!$UB$1&lt;&gt;"",ISERROR(SEARCH("response id",LOWER(Responses!$UB$1))),(COUNTIF('Open Questions'!$A$2:$A$1001,"UB")+COUNTIF('Multiple Choice Questions'!$A$2:$A$1001,"UB")+COUNTIF('Hybrid Questions'!$A$2:$A$1001,"UB")+COUNTIF('Hybrid Questions'!$D$2:$D$1001,"UB")+COUNTIF('Demographics'!$A$2:$A$1001,"UB"))=0),"Responses column UB ("""&amp;Responses!$UB$1&amp;""") has data, but no question or demographic is set up to use it — so it won't appear in your results.","")</f>
        <v>0</v>
      </c>
      <c r="F3055" s="4" t="s">
        <v>2364</v>
      </c>
    </row>
    <row r="3056" spans="1:6" ht="75" customHeight="1">
      <c r="A3056" t="s">
        <v>334</v>
      </c>
      <c r="B3056" t="s">
        <v>1432</v>
      </c>
      <c r="C3056" t="s">
        <v>1816</v>
      </c>
      <c r="D3056" t="s">
        <v>1808</v>
      </c>
      <c r="E3056" s="4">
        <f>IF(AND(Responses!$UC$1&lt;&gt;"",ISERROR(SEARCH("response id",LOWER(Responses!$UC$1))),(COUNTIF('Open Questions'!$A$2:$A$1001,"UC")+COUNTIF('Multiple Choice Questions'!$A$2:$A$1001,"UC")+COUNTIF('Hybrid Questions'!$A$2:$A$1001,"UC")+COUNTIF('Hybrid Questions'!$D$2:$D$1001,"UC")+COUNTIF('Demographics'!$A$2:$A$1001,"UC"))=0),"Responses column UC ("""&amp;Responses!$UC$1&amp;""") has data, but no question or demographic is set up to use it — so it won't appear in your results.","")</f>
        <v>0</v>
      </c>
      <c r="F3056" s="4" t="s">
        <v>2365</v>
      </c>
    </row>
    <row r="3057" spans="1:6" ht="75" customHeight="1">
      <c r="A3057" t="s">
        <v>334</v>
      </c>
      <c r="B3057" t="s">
        <v>1434</v>
      </c>
      <c r="C3057" t="s">
        <v>1816</v>
      </c>
      <c r="D3057" t="s">
        <v>1808</v>
      </c>
      <c r="E3057" s="4">
        <f>IF(AND(Responses!$UD$1&lt;&gt;"",ISERROR(SEARCH("response id",LOWER(Responses!$UD$1))),(COUNTIF('Open Questions'!$A$2:$A$1001,"UD")+COUNTIF('Multiple Choice Questions'!$A$2:$A$1001,"UD")+COUNTIF('Hybrid Questions'!$A$2:$A$1001,"UD")+COUNTIF('Hybrid Questions'!$D$2:$D$1001,"UD")+COUNTIF('Demographics'!$A$2:$A$1001,"UD"))=0),"Responses column UD ("""&amp;Responses!$UD$1&amp;""") has data, but no question or demographic is set up to use it — so it won't appear in your results.","")</f>
        <v>0</v>
      </c>
      <c r="F3057" s="4" t="s">
        <v>2366</v>
      </c>
    </row>
    <row r="3058" spans="1:6" ht="75" customHeight="1">
      <c r="A3058" t="s">
        <v>334</v>
      </c>
      <c r="B3058" t="s">
        <v>1436</v>
      </c>
      <c r="C3058" t="s">
        <v>1816</v>
      </c>
      <c r="D3058" t="s">
        <v>1808</v>
      </c>
      <c r="E3058" s="4">
        <f>IF(AND(Responses!$UE$1&lt;&gt;"",ISERROR(SEARCH("response id",LOWER(Responses!$UE$1))),(COUNTIF('Open Questions'!$A$2:$A$1001,"UE")+COUNTIF('Multiple Choice Questions'!$A$2:$A$1001,"UE")+COUNTIF('Hybrid Questions'!$A$2:$A$1001,"UE")+COUNTIF('Hybrid Questions'!$D$2:$D$1001,"UE")+COUNTIF('Demographics'!$A$2:$A$1001,"UE"))=0),"Responses column UE ("""&amp;Responses!$UE$1&amp;""") has data, but no question or demographic is set up to use it — so it won't appear in your results.","")</f>
        <v>0</v>
      </c>
      <c r="F3058" s="4" t="s">
        <v>2367</v>
      </c>
    </row>
    <row r="3059" spans="1:6" ht="75" customHeight="1">
      <c r="A3059" t="s">
        <v>334</v>
      </c>
      <c r="B3059" t="s">
        <v>1438</v>
      </c>
      <c r="C3059" t="s">
        <v>1816</v>
      </c>
      <c r="D3059" t="s">
        <v>1808</v>
      </c>
      <c r="E3059" s="4">
        <f>IF(AND(Responses!$UF$1&lt;&gt;"",ISERROR(SEARCH("response id",LOWER(Responses!$UF$1))),(COUNTIF('Open Questions'!$A$2:$A$1001,"UF")+COUNTIF('Multiple Choice Questions'!$A$2:$A$1001,"UF")+COUNTIF('Hybrid Questions'!$A$2:$A$1001,"UF")+COUNTIF('Hybrid Questions'!$D$2:$D$1001,"UF")+COUNTIF('Demographics'!$A$2:$A$1001,"UF"))=0),"Responses column UF ("""&amp;Responses!$UF$1&amp;""") has data, but no question or demographic is set up to use it — so it won't appear in your results.","")</f>
        <v>0</v>
      </c>
      <c r="F3059" s="4" t="s">
        <v>2368</v>
      </c>
    </row>
    <row r="3060" spans="1:6" ht="75" customHeight="1">
      <c r="A3060" t="s">
        <v>334</v>
      </c>
      <c r="B3060" t="s">
        <v>1440</v>
      </c>
      <c r="C3060" t="s">
        <v>1816</v>
      </c>
      <c r="D3060" t="s">
        <v>1808</v>
      </c>
      <c r="E3060" s="4">
        <f>IF(AND(Responses!$UG$1&lt;&gt;"",ISERROR(SEARCH("response id",LOWER(Responses!$UG$1))),(COUNTIF('Open Questions'!$A$2:$A$1001,"UG")+COUNTIF('Multiple Choice Questions'!$A$2:$A$1001,"UG")+COUNTIF('Hybrid Questions'!$A$2:$A$1001,"UG")+COUNTIF('Hybrid Questions'!$D$2:$D$1001,"UG")+COUNTIF('Demographics'!$A$2:$A$1001,"UG"))=0),"Responses column UG ("""&amp;Responses!$UG$1&amp;""") has data, but no question or demographic is set up to use it — so it won't appear in your results.","")</f>
        <v>0</v>
      </c>
      <c r="F3060" s="4" t="s">
        <v>2369</v>
      </c>
    </row>
    <row r="3061" spans="1:6" ht="75" customHeight="1">
      <c r="A3061" t="s">
        <v>334</v>
      </c>
      <c r="B3061" t="s">
        <v>1442</v>
      </c>
      <c r="C3061" t="s">
        <v>1816</v>
      </c>
      <c r="D3061" t="s">
        <v>1808</v>
      </c>
      <c r="E3061" s="4">
        <f>IF(AND(Responses!$UH$1&lt;&gt;"",ISERROR(SEARCH("response id",LOWER(Responses!$UH$1))),(COUNTIF('Open Questions'!$A$2:$A$1001,"UH")+COUNTIF('Multiple Choice Questions'!$A$2:$A$1001,"UH")+COUNTIF('Hybrid Questions'!$A$2:$A$1001,"UH")+COUNTIF('Hybrid Questions'!$D$2:$D$1001,"UH")+COUNTIF('Demographics'!$A$2:$A$1001,"UH"))=0),"Responses column UH ("""&amp;Responses!$UH$1&amp;""") has data, but no question or demographic is set up to use it — so it won't appear in your results.","")</f>
        <v>0</v>
      </c>
      <c r="F3061" s="4" t="s">
        <v>2370</v>
      </c>
    </row>
    <row r="3062" spans="1:6" ht="75" customHeight="1">
      <c r="A3062" t="s">
        <v>334</v>
      </c>
      <c r="B3062" t="s">
        <v>1444</v>
      </c>
      <c r="C3062" t="s">
        <v>1816</v>
      </c>
      <c r="D3062" t="s">
        <v>1808</v>
      </c>
      <c r="E3062" s="4">
        <f>IF(AND(Responses!$UI$1&lt;&gt;"",ISERROR(SEARCH("response id",LOWER(Responses!$UI$1))),(COUNTIF('Open Questions'!$A$2:$A$1001,"UI")+COUNTIF('Multiple Choice Questions'!$A$2:$A$1001,"UI")+COUNTIF('Hybrid Questions'!$A$2:$A$1001,"UI")+COUNTIF('Hybrid Questions'!$D$2:$D$1001,"UI")+COUNTIF('Demographics'!$A$2:$A$1001,"UI"))=0),"Responses column UI ("""&amp;Responses!$UI$1&amp;""") has data, but no question or demographic is set up to use it — so it won't appear in your results.","")</f>
        <v>0</v>
      </c>
      <c r="F3062" s="4" t="s">
        <v>2371</v>
      </c>
    </row>
    <row r="3063" spans="1:6" ht="75" customHeight="1">
      <c r="A3063" t="s">
        <v>334</v>
      </c>
      <c r="B3063" t="s">
        <v>1446</v>
      </c>
      <c r="C3063" t="s">
        <v>1816</v>
      </c>
      <c r="D3063" t="s">
        <v>1808</v>
      </c>
      <c r="E3063" s="4">
        <f>IF(AND(Responses!$UJ$1&lt;&gt;"",ISERROR(SEARCH("response id",LOWER(Responses!$UJ$1))),(COUNTIF('Open Questions'!$A$2:$A$1001,"UJ")+COUNTIF('Multiple Choice Questions'!$A$2:$A$1001,"UJ")+COUNTIF('Hybrid Questions'!$A$2:$A$1001,"UJ")+COUNTIF('Hybrid Questions'!$D$2:$D$1001,"UJ")+COUNTIF('Demographics'!$A$2:$A$1001,"UJ"))=0),"Responses column UJ ("""&amp;Responses!$UJ$1&amp;""") has data, but no question or demographic is set up to use it — so it won't appear in your results.","")</f>
        <v>0</v>
      </c>
      <c r="F3063" s="4" t="s">
        <v>2372</v>
      </c>
    </row>
    <row r="3064" spans="1:6" ht="75" customHeight="1">
      <c r="A3064" t="s">
        <v>334</v>
      </c>
      <c r="B3064" t="s">
        <v>1448</v>
      </c>
      <c r="C3064" t="s">
        <v>1816</v>
      </c>
      <c r="D3064" t="s">
        <v>1808</v>
      </c>
      <c r="E3064" s="4">
        <f>IF(AND(Responses!$UK$1&lt;&gt;"",ISERROR(SEARCH("response id",LOWER(Responses!$UK$1))),(COUNTIF('Open Questions'!$A$2:$A$1001,"UK")+COUNTIF('Multiple Choice Questions'!$A$2:$A$1001,"UK")+COUNTIF('Hybrid Questions'!$A$2:$A$1001,"UK")+COUNTIF('Hybrid Questions'!$D$2:$D$1001,"UK")+COUNTIF('Demographics'!$A$2:$A$1001,"UK"))=0),"Responses column UK ("""&amp;Responses!$UK$1&amp;""") has data, but no question or demographic is set up to use it — so it won't appear in your results.","")</f>
        <v>0</v>
      </c>
      <c r="F3064" s="4" t="s">
        <v>2373</v>
      </c>
    </row>
    <row r="3065" spans="1:6" ht="75" customHeight="1">
      <c r="A3065" t="s">
        <v>334</v>
      </c>
      <c r="B3065" t="s">
        <v>1450</v>
      </c>
      <c r="C3065" t="s">
        <v>1816</v>
      </c>
      <c r="D3065" t="s">
        <v>1808</v>
      </c>
      <c r="E3065" s="4">
        <f>IF(AND(Responses!$UL$1&lt;&gt;"",ISERROR(SEARCH("response id",LOWER(Responses!$UL$1))),(COUNTIF('Open Questions'!$A$2:$A$1001,"UL")+COUNTIF('Multiple Choice Questions'!$A$2:$A$1001,"UL")+COUNTIF('Hybrid Questions'!$A$2:$A$1001,"UL")+COUNTIF('Hybrid Questions'!$D$2:$D$1001,"UL")+COUNTIF('Demographics'!$A$2:$A$1001,"UL"))=0),"Responses column UL ("""&amp;Responses!$UL$1&amp;""") has data, but no question or demographic is set up to use it — so it won't appear in your results.","")</f>
        <v>0</v>
      </c>
      <c r="F3065" s="4" t="s">
        <v>2374</v>
      </c>
    </row>
    <row r="3066" spans="1:6" ht="75" customHeight="1">
      <c r="A3066" t="s">
        <v>334</v>
      </c>
      <c r="B3066" t="s">
        <v>1452</v>
      </c>
      <c r="C3066" t="s">
        <v>1816</v>
      </c>
      <c r="D3066" t="s">
        <v>1808</v>
      </c>
      <c r="E3066" s="4">
        <f>IF(AND(Responses!$UM$1&lt;&gt;"",ISERROR(SEARCH("response id",LOWER(Responses!$UM$1))),(COUNTIF('Open Questions'!$A$2:$A$1001,"UM")+COUNTIF('Multiple Choice Questions'!$A$2:$A$1001,"UM")+COUNTIF('Hybrid Questions'!$A$2:$A$1001,"UM")+COUNTIF('Hybrid Questions'!$D$2:$D$1001,"UM")+COUNTIF('Demographics'!$A$2:$A$1001,"UM"))=0),"Responses column UM ("""&amp;Responses!$UM$1&amp;""") has data, but no question or demographic is set up to use it — so it won't appear in your results.","")</f>
        <v>0</v>
      </c>
      <c r="F3066" s="4" t="s">
        <v>2375</v>
      </c>
    </row>
    <row r="3067" spans="1:6" ht="75" customHeight="1">
      <c r="A3067" t="s">
        <v>334</v>
      </c>
      <c r="B3067" t="s">
        <v>1454</v>
      </c>
      <c r="C3067" t="s">
        <v>1816</v>
      </c>
      <c r="D3067" t="s">
        <v>1808</v>
      </c>
      <c r="E3067" s="4">
        <f>IF(AND(Responses!$UN$1&lt;&gt;"",ISERROR(SEARCH("response id",LOWER(Responses!$UN$1))),(COUNTIF('Open Questions'!$A$2:$A$1001,"UN")+COUNTIF('Multiple Choice Questions'!$A$2:$A$1001,"UN")+COUNTIF('Hybrid Questions'!$A$2:$A$1001,"UN")+COUNTIF('Hybrid Questions'!$D$2:$D$1001,"UN")+COUNTIF('Demographics'!$A$2:$A$1001,"UN"))=0),"Responses column UN ("""&amp;Responses!$UN$1&amp;""") has data, but no question or demographic is set up to use it — so it won't appear in your results.","")</f>
        <v>0</v>
      </c>
      <c r="F3067" s="4" t="s">
        <v>2376</v>
      </c>
    </row>
    <row r="3068" spans="1:6" ht="75" customHeight="1">
      <c r="A3068" t="s">
        <v>334</v>
      </c>
      <c r="B3068" t="s">
        <v>1456</v>
      </c>
      <c r="C3068" t="s">
        <v>1816</v>
      </c>
      <c r="D3068" t="s">
        <v>1808</v>
      </c>
      <c r="E3068" s="4">
        <f>IF(AND(Responses!$UO$1&lt;&gt;"",ISERROR(SEARCH("response id",LOWER(Responses!$UO$1))),(COUNTIF('Open Questions'!$A$2:$A$1001,"UO")+COUNTIF('Multiple Choice Questions'!$A$2:$A$1001,"UO")+COUNTIF('Hybrid Questions'!$A$2:$A$1001,"UO")+COUNTIF('Hybrid Questions'!$D$2:$D$1001,"UO")+COUNTIF('Demographics'!$A$2:$A$1001,"UO"))=0),"Responses column UO ("""&amp;Responses!$UO$1&amp;""") has data, but no question or demographic is set up to use it — so it won't appear in your results.","")</f>
        <v>0</v>
      </c>
      <c r="F3068" s="4" t="s">
        <v>2377</v>
      </c>
    </row>
    <row r="3069" spans="1:6" ht="75" customHeight="1">
      <c r="A3069" t="s">
        <v>334</v>
      </c>
      <c r="B3069" t="s">
        <v>1458</v>
      </c>
      <c r="C3069" t="s">
        <v>1816</v>
      </c>
      <c r="D3069" t="s">
        <v>1808</v>
      </c>
      <c r="E3069" s="4">
        <f>IF(AND(Responses!$UP$1&lt;&gt;"",ISERROR(SEARCH("response id",LOWER(Responses!$UP$1))),(COUNTIF('Open Questions'!$A$2:$A$1001,"UP")+COUNTIF('Multiple Choice Questions'!$A$2:$A$1001,"UP")+COUNTIF('Hybrid Questions'!$A$2:$A$1001,"UP")+COUNTIF('Hybrid Questions'!$D$2:$D$1001,"UP")+COUNTIF('Demographics'!$A$2:$A$1001,"UP"))=0),"Responses column UP ("""&amp;Responses!$UP$1&amp;""") has data, but no question or demographic is set up to use it — so it won't appear in your results.","")</f>
        <v>0</v>
      </c>
      <c r="F3069" s="4" t="s">
        <v>2378</v>
      </c>
    </row>
    <row r="3070" spans="1:6" ht="75" customHeight="1">
      <c r="A3070" t="s">
        <v>334</v>
      </c>
      <c r="B3070" t="s">
        <v>1460</v>
      </c>
      <c r="C3070" t="s">
        <v>1816</v>
      </c>
      <c r="D3070" t="s">
        <v>1808</v>
      </c>
      <c r="E3070" s="4">
        <f>IF(AND(Responses!$UQ$1&lt;&gt;"",ISERROR(SEARCH("response id",LOWER(Responses!$UQ$1))),(COUNTIF('Open Questions'!$A$2:$A$1001,"UQ")+COUNTIF('Multiple Choice Questions'!$A$2:$A$1001,"UQ")+COUNTIF('Hybrid Questions'!$A$2:$A$1001,"UQ")+COUNTIF('Hybrid Questions'!$D$2:$D$1001,"UQ")+COUNTIF('Demographics'!$A$2:$A$1001,"UQ"))=0),"Responses column UQ ("""&amp;Responses!$UQ$1&amp;""") has data, but no question or demographic is set up to use it — so it won't appear in your results.","")</f>
        <v>0</v>
      </c>
      <c r="F3070" s="4" t="s">
        <v>2379</v>
      </c>
    </row>
    <row r="3071" spans="1:6" ht="75" customHeight="1">
      <c r="A3071" t="s">
        <v>334</v>
      </c>
      <c r="B3071" t="s">
        <v>1462</v>
      </c>
      <c r="C3071" t="s">
        <v>1816</v>
      </c>
      <c r="D3071" t="s">
        <v>1808</v>
      </c>
      <c r="E3071" s="4">
        <f>IF(AND(Responses!$UR$1&lt;&gt;"",ISERROR(SEARCH("response id",LOWER(Responses!$UR$1))),(COUNTIF('Open Questions'!$A$2:$A$1001,"UR")+COUNTIF('Multiple Choice Questions'!$A$2:$A$1001,"UR")+COUNTIF('Hybrid Questions'!$A$2:$A$1001,"UR")+COUNTIF('Hybrid Questions'!$D$2:$D$1001,"UR")+COUNTIF('Demographics'!$A$2:$A$1001,"UR"))=0),"Responses column UR ("""&amp;Responses!$UR$1&amp;""") has data, but no question or demographic is set up to use it — so it won't appear in your results.","")</f>
        <v>0</v>
      </c>
      <c r="F3071" s="4" t="s">
        <v>2380</v>
      </c>
    </row>
    <row r="3072" spans="1:6" ht="75" customHeight="1">
      <c r="A3072" t="s">
        <v>334</v>
      </c>
      <c r="B3072" t="s">
        <v>1464</v>
      </c>
      <c r="C3072" t="s">
        <v>1816</v>
      </c>
      <c r="D3072" t="s">
        <v>1808</v>
      </c>
      <c r="E3072" s="4">
        <f>IF(AND(Responses!$US$1&lt;&gt;"",ISERROR(SEARCH("response id",LOWER(Responses!$US$1))),(COUNTIF('Open Questions'!$A$2:$A$1001,"US")+COUNTIF('Multiple Choice Questions'!$A$2:$A$1001,"US")+COUNTIF('Hybrid Questions'!$A$2:$A$1001,"US")+COUNTIF('Hybrid Questions'!$D$2:$D$1001,"US")+COUNTIF('Demographics'!$A$2:$A$1001,"US"))=0),"Responses column US ("""&amp;Responses!$US$1&amp;""") has data, but no question or demographic is set up to use it — so it won't appear in your results.","")</f>
        <v>0</v>
      </c>
      <c r="F3072" s="4" t="s">
        <v>2381</v>
      </c>
    </row>
    <row r="3073" spans="1:6" ht="75" customHeight="1">
      <c r="A3073" t="s">
        <v>334</v>
      </c>
      <c r="B3073" t="s">
        <v>1466</v>
      </c>
      <c r="C3073" t="s">
        <v>1816</v>
      </c>
      <c r="D3073" t="s">
        <v>1808</v>
      </c>
      <c r="E3073" s="4">
        <f>IF(AND(Responses!$UT$1&lt;&gt;"",ISERROR(SEARCH("response id",LOWER(Responses!$UT$1))),(COUNTIF('Open Questions'!$A$2:$A$1001,"UT")+COUNTIF('Multiple Choice Questions'!$A$2:$A$1001,"UT")+COUNTIF('Hybrid Questions'!$A$2:$A$1001,"UT")+COUNTIF('Hybrid Questions'!$D$2:$D$1001,"UT")+COUNTIF('Demographics'!$A$2:$A$1001,"UT"))=0),"Responses column UT ("""&amp;Responses!$UT$1&amp;""") has data, but no question or demographic is set up to use it — so it won't appear in your results.","")</f>
        <v>0</v>
      </c>
      <c r="F3073" s="4" t="s">
        <v>2382</v>
      </c>
    </row>
    <row r="3074" spans="1:6" ht="75" customHeight="1">
      <c r="A3074" t="s">
        <v>334</v>
      </c>
      <c r="B3074" t="s">
        <v>1468</v>
      </c>
      <c r="C3074" t="s">
        <v>1816</v>
      </c>
      <c r="D3074" t="s">
        <v>1808</v>
      </c>
      <c r="E3074" s="4">
        <f>IF(AND(Responses!$UU$1&lt;&gt;"",ISERROR(SEARCH("response id",LOWER(Responses!$UU$1))),(COUNTIF('Open Questions'!$A$2:$A$1001,"UU")+COUNTIF('Multiple Choice Questions'!$A$2:$A$1001,"UU")+COUNTIF('Hybrid Questions'!$A$2:$A$1001,"UU")+COUNTIF('Hybrid Questions'!$D$2:$D$1001,"UU")+COUNTIF('Demographics'!$A$2:$A$1001,"UU"))=0),"Responses column UU ("""&amp;Responses!$UU$1&amp;""") has data, but no question or demographic is set up to use it — so it won't appear in your results.","")</f>
        <v>0</v>
      </c>
      <c r="F3074" s="4" t="s">
        <v>2383</v>
      </c>
    </row>
    <row r="3075" spans="1:6" ht="75" customHeight="1">
      <c r="A3075" t="s">
        <v>334</v>
      </c>
      <c r="B3075" t="s">
        <v>1470</v>
      </c>
      <c r="C3075" t="s">
        <v>1816</v>
      </c>
      <c r="D3075" t="s">
        <v>1808</v>
      </c>
      <c r="E3075" s="4">
        <f>IF(AND(Responses!$UV$1&lt;&gt;"",ISERROR(SEARCH("response id",LOWER(Responses!$UV$1))),(COUNTIF('Open Questions'!$A$2:$A$1001,"UV")+COUNTIF('Multiple Choice Questions'!$A$2:$A$1001,"UV")+COUNTIF('Hybrid Questions'!$A$2:$A$1001,"UV")+COUNTIF('Hybrid Questions'!$D$2:$D$1001,"UV")+COUNTIF('Demographics'!$A$2:$A$1001,"UV"))=0),"Responses column UV ("""&amp;Responses!$UV$1&amp;""") has data, but no question or demographic is set up to use it — so it won't appear in your results.","")</f>
        <v>0</v>
      </c>
      <c r="F3075" s="4" t="s">
        <v>2384</v>
      </c>
    </row>
    <row r="3076" spans="1:6" ht="75" customHeight="1">
      <c r="A3076" t="s">
        <v>334</v>
      </c>
      <c r="B3076" t="s">
        <v>1472</v>
      </c>
      <c r="C3076" t="s">
        <v>1816</v>
      </c>
      <c r="D3076" t="s">
        <v>1808</v>
      </c>
      <c r="E3076" s="4">
        <f>IF(AND(Responses!$UW$1&lt;&gt;"",ISERROR(SEARCH("response id",LOWER(Responses!$UW$1))),(COUNTIF('Open Questions'!$A$2:$A$1001,"UW")+COUNTIF('Multiple Choice Questions'!$A$2:$A$1001,"UW")+COUNTIF('Hybrid Questions'!$A$2:$A$1001,"UW")+COUNTIF('Hybrid Questions'!$D$2:$D$1001,"UW")+COUNTIF('Demographics'!$A$2:$A$1001,"UW"))=0),"Responses column UW ("""&amp;Responses!$UW$1&amp;""") has data, but no question or demographic is set up to use it — so it won't appear in your results.","")</f>
        <v>0</v>
      </c>
      <c r="F3076" s="4" t="s">
        <v>2385</v>
      </c>
    </row>
    <row r="3077" spans="1:6" ht="75" customHeight="1">
      <c r="A3077" t="s">
        <v>334</v>
      </c>
      <c r="B3077" t="s">
        <v>1474</v>
      </c>
      <c r="C3077" t="s">
        <v>1816</v>
      </c>
      <c r="D3077" t="s">
        <v>1808</v>
      </c>
      <c r="E3077" s="4">
        <f>IF(AND(Responses!$UX$1&lt;&gt;"",ISERROR(SEARCH("response id",LOWER(Responses!$UX$1))),(COUNTIF('Open Questions'!$A$2:$A$1001,"UX")+COUNTIF('Multiple Choice Questions'!$A$2:$A$1001,"UX")+COUNTIF('Hybrid Questions'!$A$2:$A$1001,"UX")+COUNTIF('Hybrid Questions'!$D$2:$D$1001,"UX")+COUNTIF('Demographics'!$A$2:$A$1001,"UX"))=0),"Responses column UX ("""&amp;Responses!$UX$1&amp;""") has data, but no question or demographic is set up to use it — so it won't appear in your results.","")</f>
        <v>0</v>
      </c>
      <c r="F3077" s="4" t="s">
        <v>2386</v>
      </c>
    </row>
    <row r="3078" spans="1:6" ht="75" customHeight="1">
      <c r="A3078" t="s">
        <v>334</v>
      </c>
      <c r="B3078" t="s">
        <v>1476</v>
      </c>
      <c r="C3078" t="s">
        <v>1816</v>
      </c>
      <c r="D3078" t="s">
        <v>1808</v>
      </c>
      <c r="E3078" s="4">
        <f>IF(AND(Responses!$UY$1&lt;&gt;"",ISERROR(SEARCH("response id",LOWER(Responses!$UY$1))),(COUNTIF('Open Questions'!$A$2:$A$1001,"UY")+COUNTIF('Multiple Choice Questions'!$A$2:$A$1001,"UY")+COUNTIF('Hybrid Questions'!$A$2:$A$1001,"UY")+COUNTIF('Hybrid Questions'!$D$2:$D$1001,"UY")+COUNTIF('Demographics'!$A$2:$A$1001,"UY"))=0),"Responses column UY ("""&amp;Responses!$UY$1&amp;""") has data, but no question or demographic is set up to use it — so it won't appear in your results.","")</f>
        <v>0</v>
      </c>
      <c r="F3078" s="4" t="s">
        <v>2387</v>
      </c>
    </row>
    <row r="3079" spans="1:6" ht="75" customHeight="1">
      <c r="A3079" t="s">
        <v>334</v>
      </c>
      <c r="B3079" t="s">
        <v>1478</v>
      </c>
      <c r="C3079" t="s">
        <v>1816</v>
      </c>
      <c r="D3079" t="s">
        <v>1808</v>
      </c>
      <c r="E3079" s="4">
        <f>IF(AND(Responses!$UZ$1&lt;&gt;"",ISERROR(SEARCH("response id",LOWER(Responses!$UZ$1))),(COUNTIF('Open Questions'!$A$2:$A$1001,"UZ")+COUNTIF('Multiple Choice Questions'!$A$2:$A$1001,"UZ")+COUNTIF('Hybrid Questions'!$A$2:$A$1001,"UZ")+COUNTIF('Hybrid Questions'!$D$2:$D$1001,"UZ")+COUNTIF('Demographics'!$A$2:$A$1001,"UZ"))=0),"Responses column UZ ("""&amp;Responses!$UZ$1&amp;""") has data, but no question or demographic is set up to use it — so it won't appear in your results.","")</f>
        <v>0</v>
      </c>
      <c r="F3079" s="4" t="s">
        <v>2388</v>
      </c>
    </row>
    <row r="3080" spans="1:6" ht="75" customHeight="1">
      <c r="A3080" t="s">
        <v>334</v>
      </c>
      <c r="B3080" t="s">
        <v>1480</v>
      </c>
      <c r="C3080" t="s">
        <v>1816</v>
      </c>
      <c r="D3080" t="s">
        <v>1808</v>
      </c>
      <c r="E3080" s="4">
        <f>IF(AND(Responses!$VA$1&lt;&gt;"",ISERROR(SEARCH("response id",LOWER(Responses!$VA$1))),(COUNTIF('Open Questions'!$A$2:$A$1001,"VA")+COUNTIF('Multiple Choice Questions'!$A$2:$A$1001,"VA")+COUNTIF('Hybrid Questions'!$A$2:$A$1001,"VA")+COUNTIF('Hybrid Questions'!$D$2:$D$1001,"VA")+COUNTIF('Demographics'!$A$2:$A$1001,"VA"))=0),"Responses column VA ("""&amp;Responses!$VA$1&amp;""") has data, but no question or demographic is set up to use it — so it won't appear in your results.","")</f>
        <v>0</v>
      </c>
      <c r="F3080" s="4" t="s">
        <v>2389</v>
      </c>
    </row>
    <row r="3081" spans="1:6" ht="75" customHeight="1">
      <c r="A3081" t="s">
        <v>334</v>
      </c>
      <c r="B3081" t="s">
        <v>1482</v>
      </c>
      <c r="C3081" t="s">
        <v>1816</v>
      </c>
      <c r="D3081" t="s">
        <v>1808</v>
      </c>
      <c r="E3081" s="4">
        <f>IF(AND(Responses!$VB$1&lt;&gt;"",ISERROR(SEARCH("response id",LOWER(Responses!$VB$1))),(COUNTIF('Open Questions'!$A$2:$A$1001,"VB")+COUNTIF('Multiple Choice Questions'!$A$2:$A$1001,"VB")+COUNTIF('Hybrid Questions'!$A$2:$A$1001,"VB")+COUNTIF('Hybrid Questions'!$D$2:$D$1001,"VB")+COUNTIF('Demographics'!$A$2:$A$1001,"VB"))=0),"Responses column VB ("""&amp;Responses!$VB$1&amp;""") has data, but no question or demographic is set up to use it — so it won't appear in your results.","")</f>
        <v>0</v>
      </c>
      <c r="F3081" s="4" t="s">
        <v>2390</v>
      </c>
    </row>
    <row r="3082" spans="1:6" ht="75" customHeight="1">
      <c r="A3082" t="s">
        <v>334</v>
      </c>
      <c r="B3082" t="s">
        <v>1484</v>
      </c>
      <c r="C3082" t="s">
        <v>1816</v>
      </c>
      <c r="D3082" t="s">
        <v>1808</v>
      </c>
      <c r="E3082" s="4">
        <f>IF(AND(Responses!$VC$1&lt;&gt;"",ISERROR(SEARCH("response id",LOWER(Responses!$VC$1))),(COUNTIF('Open Questions'!$A$2:$A$1001,"VC")+COUNTIF('Multiple Choice Questions'!$A$2:$A$1001,"VC")+COUNTIF('Hybrid Questions'!$A$2:$A$1001,"VC")+COUNTIF('Hybrid Questions'!$D$2:$D$1001,"VC")+COUNTIF('Demographics'!$A$2:$A$1001,"VC"))=0),"Responses column VC ("""&amp;Responses!$VC$1&amp;""") has data, but no question or demographic is set up to use it — so it won't appear in your results.","")</f>
        <v>0</v>
      </c>
      <c r="F3082" s="4" t="s">
        <v>2391</v>
      </c>
    </row>
    <row r="3083" spans="1:6" ht="75" customHeight="1">
      <c r="A3083" t="s">
        <v>334</v>
      </c>
      <c r="B3083" t="s">
        <v>1486</v>
      </c>
      <c r="C3083" t="s">
        <v>1816</v>
      </c>
      <c r="D3083" t="s">
        <v>1808</v>
      </c>
      <c r="E3083" s="4">
        <f>IF(AND(Responses!$VD$1&lt;&gt;"",ISERROR(SEARCH("response id",LOWER(Responses!$VD$1))),(COUNTIF('Open Questions'!$A$2:$A$1001,"VD")+COUNTIF('Multiple Choice Questions'!$A$2:$A$1001,"VD")+COUNTIF('Hybrid Questions'!$A$2:$A$1001,"VD")+COUNTIF('Hybrid Questions'!$D$2:$D$1001,"VD")+COUNTIF('Demographics'!$A$2:$A$1001,"VD"))=0),"Responses column VD ("""&amp;Responses!$VD$1&amp;""") has data, but no question or demographic is set up to use it — so it won't appear in your results.","")</f>
        <v>0</v>
      </c>
      <c r="F3083" s="4" t="s">
        <v>2392</v>
      </c>
    </row>
    <row r="3084" spans="1:6" ht="75" customHeight="1">
      <c r="A3084" t="s">
        <v>334</v>
      </c>
      <c r="B3084" t="s">
        <v>1488</v>
      </c>
      <c r="C3084" t="s">
        <v>1816</v>
      </c>
      <c r="D3084" t="s">
        <v>1808</v>
      </c>
      <c r="E3084" s="4">
        <f>IF(AND(Responses!$VE$1&lt;&gt;"",ISERROR(SEARCH("response id",LOWER(Responses!$VE$1))),(COUNTIF('Open Questions'!$A$2:$A$1001,"VE")+COUNTIF('Multiple Choice Questions'!$A$2:$A$1001,"VE")+COUNTIF('Hybrid Questions'!$A$2:$A$1001,"VE")+COUNTIF('Hybrid Questions'!$D$2:$D$1001,"VE")+COUNTIF('Demographics'!$A$2:$A$1001,"VE"))=0),"Responses column VE ("""&amp;Responses!$VE$1&amp;""") has data, but no question or demographic is set up to use it — so it won't appear in your results.","")</f>
        <v>0</v>
      </c>
      <c r="F3084" s="4" t="s">
        <v>2393</v>
      </c>
    </row>
    <row r="3085" spans="1:6" ht="75" customHeight="1">
      <c r="A3085" t="s">
        <v>334</v>
      </c>
      <c r="B3085" t="s">
        <v>1490</v>
      </c>
      <c r="C3085" t="s">
        <v>1816</v>
      </c>
      <c r="D3085" t="s">
        <v>1808</v>
      </c>
      <c r="E3085" s="4">
        <f>IF(AND(Responses!$VF$1&lt;&gt;"",ISERROR(SEARCH("response id",LOWER(Responses!$VF$1))),(COUNTIF('Open Questions'!$A$2:$A$1001,"VF")+COUNTIF('Multiple Choice Questions'!$A$2:$A$1001,"VF")+COUNTIF('Hybrid Questions'!$A$2:$A$1001,"VF")+COUNTIF('Hybrid Questions'!$D$2:$D$1001,"VF")+COUNTIF('Demographics'!$A$2:$A$1001,"VF"))=0),"Responses column VF ("""&amp;Responses!$VF$1&amp;""") has data, but no question or demographic is set up to use it — so it won't appear in your results.","")</f>
        <v>0</v>
      </c>
      <c r="F3085" s="4" t="s">
        <v>2394</v>
      </c>
    </row>
    <row r="3086" spans="1:6" ht="75" customHeight="1">
      <c r="A3086" t="s">
        <v>334</v>
      </c>
      <c r="B3086" t="s">
        <v>1492</v>
      </c>
      <c r="C3086" t="s">
        <v>1816</v>
      </c>
      <c r="D3086" t="s">
        <v>1808</v>
      </c>
      <c r="E3086" s="4">
        <f>IF(AND(Responses!$VG$1&lt;&gt;"",ISERROR(SEARCH("response id",LOWER(Responses!$VG$1))),(COUNTIF('Open Questions'!$A$2:$A$1001,"VG")+COUNTIF('Multiple Choice Questions'!$A$2:$A$1001,"VG")+COUNTIF('Hybrid Questions'!$A$2:$A$1001,"VG")+COUNTIF('Hybrid Questions'!$D$2:$D$1001,"VG")+COUNTIF('Demographics'!$A$2:$A$1001,"VG"))=0),"Responses column VG ("""&amp;Responses!$VG$1&amp;""") has data, but no question or demographic is set up to use it — so it won't appear in your results.","")</f>
        <v>0</v>
      </c>
      <c r="F3086" s="4" t="s">
        <v>2395</v>
      </c>
    </row>
    <row r="3087" spans="1:6" ht="75" customHeight="1">
      <c r="A3087" t="s">
        <v>334</v>
      </c>
      <c r="B3087" t="s">
        <v>1494</v>
      </c>
      <c r="C3087" t="s">
        <v>1816</v>
      </c>
      <c r="D3087" t="s">
        <v>1808</v>
      </c>
      <c r="E3087" s="4">
        <f>IF(AND(Responses!$VH$1&lt;&gt;"",ISERROR(SEARCH("response id",LOWER(Responses!$VH$1))),(COUNTIF('Open Questions'!$A$2:$A$1001,"VH")+COUNTIF('Multiple Choice Questions'!$A$2:$A$1001,"VH")+COUNTIF('Hybrid Questions'!$A$2:$A$1001,"VH")+COUNTIF('Hybrid Questions'!$D$2:$D$1001,"VH")+COUNTIF('Demographics'!$A$2:$A$1001,"VH"))=0),"Responses column VH ("""&amp;Responses!$VH$1&amp;""") has data, but no question or demographic is set up to use it — so it won't appear in your results.","")</f>
        <v>0</v>
      </c>
      <c r="F3087" s="4" t="s">
        <v>2396</v>
      </c>
    </row>
    <row r="3088" spans="1:6" ht="75" customHeight="1">
      <c r="A3088" t="s">
        <v>334</v>
      </c>
      <c r="B3088" t="s">
        <v>1496</v>
      </c>
      <c r="C3088" t="s">
        <v>1816</v>
      </c>
      <c r="D3088" t="s">
        <v>1808</v>
      </c>
      <c r="E3088" s="4">
        <f>IF(AND(Responses!$VI$1&lt;&gt;"",ISERROR(SEARCH("response id",LOWER(Responses!$VI$1))),(COUNTIF('Open Questions'!$A$2:$A$1001,"VI")+COUNTIF('Multiple Choice Questions'!$A$2:$A$1001,"VI")+COUNTIF('Hybrid Questions'!$A$2:$A$1001,"VI")+COUNTIF('Hybrid Questions'!$D$2:$D$1001,"VI")+COUNTIF('Demographics'!$A$2:$A$1001,"VI"))=0),"Responses column VI ("""&amp;Responses!$VI$1&amp;""") has data, but no question or demographic is set up to use it — so it won't appear in your results.","")</f>
        <v>0</v>
      </c>
      <c r="F3088" s="4" t="s">
        <v>2397</v>
      </c>
    </row>
    <row r="3089" spans="1:6" ht="75" customHeight="1">
      <c r="A3089" t="s">
        <v>334</v>
      </c>
      <c r="B3089" t="s">
        <v>1498</v>
      </c>
      <c r="C3089" t="s">
        <v>1816</v>
      </c>
      <c r="D3089" t="s">
        <v>1808</v>
      </c>
      <c r="E3089" s="4">
        <f>IF(AND(Responses!$VJ$1&lt;&gt;"",ISERROR(SEARCH("response id",LOWER(Responses!$VJ$1))),(COUNTIF('Open Questions'!$A$2:$A$1001,"VJ")+COUNTIF('Multiple Choice Questions'!$A$2:$A$1001,"VJ")+COUNTIF('Hybrid Questions'!$A$2:$A$1001,"VJ")+COUNTIF('Hybrid Questions'!$D$2:$D$1001,"VJ")+COUNTIF('Demographics'!$A$2:$A$1001,"VJ"))=0),"Responses column VJ ("""&amp;Responses!$VJ$1&amp;""") has data, but no question or demographic is set up to use it — so it won't appear in your results.","")</f>
        <v>0</v>
      </c>
      <c r="F3089" s="4" t="s">
        <v>2398</v>
      </c>
    </row>
    <row r="3090" spans="1:6" ht="75" customHeight="1">
      <c r="A3090" t="s">
        <v>334</v>
      </c>
      <c r="B3090" t="s">
        <v>1500</v>
      </c>
      <c r="C3090" t="s">
        <v>1816</v>
      </c>
      <c r="D3090" t="s">
        <v>1808</v>
      </c>
      <c r="E3090" s="4">
        <f>IF(AND(Responses!$VK$1&lt;&gt;"",ISERROR(SEARCH("response id",LOWER(Responses!$VK$1))),(COUNTIF('Open Questions'!$A$2:$A$1001,"VK")+COUNTIF('Multiple Choice Questions'!$A$2:$A$1001,"VK")+COUNTIF('Hybrid Questions'!$A$2:$A$1001,"VK")+COUNTIF('Hybrid Questions'!$D$2:$D$1001,"VK")+COUNTIF('Demographics'!$A$2:$A$1001,"VK"))=0),"Responses column VK ("""&amp;Responses!$VK$1&amp;""") has data, but no question or demographic is set up to use it — so it won't appear in your results.","")</f>
        <v>0</v>
      </c>
      <c r="F3090" s="4" t="s">
        <v>2399</v>
      </c>
    </row>
    <row r="3091" spans="1:6" ht="75" customHeight="1">
      <c r="A3091" t="s">
        <v>334</v>
      </c>
      <c r="B3091" t="s">
        <v>1502</v>
      </c>
      <c r="C3091" t="s">
        <v>1816</v>
      </c>
      <c r="D3091" t="s">
        <v>1808</v>
      </c>
      <c r="E3091" s="4">
        <f>IF(AND(Responses!$VL$1&lt;&gt;"",ISERROR(SEARCH("response id",LOWER(Responses!$VL$1))),(COUNTIF('Open Questions'!$A$2:$A$1001,"VL")+COUNTIF('Multiple Choice Questions'!$A$2:$A$1001,"VL")+COUNTIF('Hybrid Questions'!$A$2:$A$1001,"VL")+COUNTIF('Hybrid Questions'!$D$2:$D$1001,"VL")+COUNTIF('Demographics'!$A$2:$A$1001,"VL"))=0),"Responses column VL ("""&amp;Responses!$VL$1&amp;""") has data, but no question or demographic is set up to use it — so it won't appear in your results.","")</f>
        <v>0</v>
      </c>
      <c r="F3091" s="4" t="s">
        <v>2400</v>
      </c>
    </row>
    <row r="3092" spans="1:6" ht="75" customHeight="1">
      <c r="A3092" t="s">
        <v>334</v>
      </c>
      <c r="B3092" t="s">
        <v>1504</v>
      </c>
      <c r="C3092" t="s">
        <v>1816</v>
      </c>
      <c r="D3092" t="s">
        <v>1808</v>
      </c>
      <c r="E3092" s="4">
        <f>IF(AND(Responses!$VM$1&lt;&gt;"",ISERROR(SEARCH("response id",LOWER(Responses!$VM$1))),(COUNTIF('Open Questions'!$A$2:$A$1001,"VM")+COUNTIF('Multiple Choice Questions'!$A$2:$A$1001,"VM")+COUNTIF('Hybrid Questions'!$A$2:$A$1001,"VM")+COUNTIF('Hybrid Questions'!$D$2:$D$1001,"VM")+COUNTIF('Demographics'!$A$2:$A$1001,"VM"))=0),"Responses column VM ("""&amp;Responses!$VM$1&amp;""") has data, but no question or demographic is set up to use it — so it won't appear in your results.","")</f>
        <v>0</v>
      </c>
      <c r="F3092" s="4" t="s">
        <v>2401</v>
      </c>
    </row>
    <row r="3093" spans="1:6" ht="75" customHeight="1">
      <c r="A3093" t="s">
        <v>334</v>
      </c>
      <c r="B3093" t="s">
        <v>1506</v>
      </c>
      <c r="C3093" t="s">
        <v>1816</v>
      </c>
      <c r="D3093" t="s">
        <v>1808</v>
      </c>
      <c r="E3093" s="4">
        <f>IF(AND(Responses!$VN$1&lt;&gt;"",ISERROR(SEARCH("response id",LOWER(Responses!$VN$1))),(COUNTIF('Open Questions'!$A$2:$A$1001,"VN")+COUNTIF('Multiple Choice Questions'!$A$2:$A$1001,"VN")+COUNTIF('Hybrid Questions'!$A$2:$A$1001,"VN")+COUNTIF('Hybrid Questions'!$D$2:$D$1001,"VN")+COUNTIF('Demographics'!$A$2:$A$1001,"VN"))=0),"Responses column VN ("""&amp;Responses!$VN$1&amp;""") has data, but no question or demographic is set up to use it — so it won't appear in your results.","")</f>
        <v>0</v>
      </c>
      <c r="F3093" s="4" t="s">
        <v>2402</v>
      </c>
    </row>
    <row r="3094" spans="1:6" ht="75" customHeight="1">
      <c r="A3094" t="s">
        <v>334</v>
      </c>
      <c r="B3094" t="s">
        <v>1508</v>
      </c>
      <c r="C3094" t="s">
        <v>1816</v>
      </c>
      <c r="D3094" t="s">
        <v>1808</v>
      </c>
      <c r="E3094" s="4">
        <f>IF(AND(Responses!$VO$1&lt;&gt;"",ISERROR(SEARCH("response id",LOWER(Responses!$VO$1))),(COUNTIF('Open Questions'!$A$2:$A$1001,"VO")+COUNTIF('Multiple Choice Questions'!$A$2:$A$1001,"VO")+COUNTIF('Hybrid Questions'!$A$2:$A$1001,"VO")+COUNTIF('Hybrid Questions'!$D$2:$D$1001,"VO")+COUNTIF('Demographics'!$A$2:$A$1001,"VO"))=0),"Responses column VO ("""&amp;Responses!$VO$1&amp;""") has data, but no question or demographic is set up to use it — so it won't appear in your results.","")</f>
        <v>0</v>
      </c>
      <c r="F3094" s="4" t="s">
        <v>2403</v>
      </c>
    </row>
    <row r="3095" spans="1:6" ht="75" customHeight="1">
      <c r="A3095" t="s">
        <v>334</v>
      </c>
      <c r="B3095" t="s">
        <v>1510</v>
      </c>
      <c r="C3095" t="s">
        <v>1816</v>
      </c>
      <c r="D3095" t="s">
        <v>1808</v>
      </c>
      <c r="E3095" s="4">
        <f>IF(AND(Responses!$VP$1&lt;&gt;"",ISERROR(SEARCH("response id",LOWER(Responses!$VP$1))),(COUNTIF('Open Questions'!$A$2:$A$1001,"VP")+COUNTIF('Multiple Choice Questions'!$A$2:$A$1001,"VP")+COUNTIF('Hybrid Questions'!$A$2:$A$1001,"VP")+COUNTIF('Hybrid Questions'!$D$2:$D$1001,"VP")+COUNTIF('Demographics'!$A$2:$A$1001,"VP"))=0),"Responses column VP ("""&amp;Responses!$VP$1&amp;""") has data, but no question or demographic is set up to use it — so it won't appear in your results.","")</f>
        <v>0</v>
      </c>
      <c r="F3095" s="4" t="s">
        <v>2404</v>
      </c>
    </row>
    <row r="3096" spans="1:6" ht="75" customHeight="1">
      <c r="A3096" t="s">
        <v>334</v>
      </c>
      <c r="B3096" t="s">
        <v>1512</v>
      </c>
      <c r="C3096" t="s">
        <v>1816</v>
      </c>
      <c r="D3096" t="s">
        <v>1808</v>
      </c>
      <c r="E3096" s="4">
        <f>IF(AND(Responses!$VQ$1&lt;&gt;"",ISERROR(SEARCH("response id",LOWER(Responses!$VQ$1))),(COUNTIF('Open Questions'!$A$2:$A$1001,"VQ")+COUNTIF('Multiple Choice Questions'!$A$2:$A$1001,"VQ")+COUNTIF('Hybrid Questions'!$A$2:$A$1001,"VQ")+COUNTIF('Hybrid Questions'!$D$2:$D$1001,"VQ")+COUNTIF('Demographics'!$A$2:$A$1001,"VQ"))=0),"Responses column VQ ("""&amp;Responses!$VQ$1&amp;""") has data, but no question or demographic is set up to use it — so it won't appear in your results.","")</f>
        <v>0</v>
      </c>
      <c r="F3096" s="4" t="s">
        <v>2405</v>
      </c>
    </row>
    <row r="3097" spans="1:6" ht="75" customHeight="1">
      <c r="A3097" t="s">
        <v>334</v>
      </c>
      <c r="B3097" t="s">
        <v>1514</v>
      </c>
      <c r="C3097" t="s">
        <v>1816</v>
      </c>
      <c r="D3097" t="s">
        <v>1808</v>
      </c>
      <c r="E3097" s="4">
        <f>IF(AND(Responses!$VR$1&lt;&gt;"",ISERROR(SEARCH("response id",LOWER(Responses!$VR$1))),(COUNTIF('Open Questions'!$A$2:$A$1001,"VR")+COUNTIF('Multiple Choice Questions'!$A$2:$A$1001,"VR")+COUNTIF('Hybrid Questions'!$A$2:$A$1001,"VR")+COUNTIF('Hybrid Questions'!$D$2:$D$1001,"VR")+COUNTIF('Demographics'!$A$2:$A$1001,"VR"))=0),"Responses column VR ("""&amp;Responses!$VR$1&amp;""") has data, but no question or demographic is set up to use it — so it won't appear in your results.","")</f>
        <v>0</v>
      </c>
      <c r="F3097" s="4" t="s">
        <v>2406</v>
      </c>
    </row>
    <row r="3098" spans="1:6" ht="75" customHeight="1">
      <c r="A3098" t="s">
        <v>334</v>
      </c>
      <c r="B3098" t="s">
        <v>1516</v>
      </c>
      <c r="C3098" t="s">
        <v>1816</v>
      </c>
      <c r="D3098" t="s">
        <v>1808</v>
      </c>
      <c r="E3098" s="4">
        <f>IF(AND(Responses!$VS$1&lt;&gt;"",ISERROR(SEARCH("response id",LOWER(Responses!$VS$1))),(COUNTIF('Open Questions'!$A$2:$A$1001,"VS")+COUNTIF('Multiple Choice Questions'!$A$2:$A$1001,"VS")+COUNTIF('Hybrid Questions'!$A$2:$A$1001,"VS")+COUNTIF('Hybrid Questions'!$D$2:$D$1001,"VS")+COUNTIF('Demographics'!$A$2:$A$1001,"VS"))=0),"Responses column VS ("""&amp;Responses!$VS$1&amp;""") has data, but no question or demographic is set up to use it — so it won't appear in your results.","")</f>
        <v>0</v>
      </c>
      <c r="F3098" s="4" t="s">
        <v>2407</v>
      </c>
    </row>
    <row r="3099" spans="1:6" ht="75" customHeight="1">
      <c r="A3099" t="s">
        <v>334</v>
      </c>
      <c r="B3099" t="s">
        <v>1518</v>
      </c>
      <c r="C3099" t="s">
        <v>1816</v>
      </c>
      <c r="D3099" t="s">
        <v>1808</v>
      </c>
      <c r="E3099" s="4">
        <f>IF(AND(Responses!$VT$1&lt;&gt;"",ISERROR(SEARCH("response id",LOWER(Responses!$VT$1))),(COUNTIF('Open Questions'!$A$2:$A$1001,"VT")+COUNTIF('Multiple Choice Questions'!$A$2:$A$1001,"VT")+COUNTIF('Hybrid Questions'!$A$2:$A$1001,"VT")+COUNTIF('Hybrid Questions'!$D$2:$D$1001,"VT")+COUNTIF('Demographics'!$A$2:$A$1001,"VT"))=0),"Responses column VT ("""&amp;Responses!$VT$1&amp;""") has data, but no question or demographic is set up to use it — so it won't appear in your results.","")</f>
        <v>0</v>
      </c>
      <c r="F3099" s="4" t="s">
        <v>2408</v>
      </c>
    </row>
    <row r="3100" spans="1:6" ht="75" customHeight="1">
      <c r="A3100" t="s">
        <v>334</v>
      </c>
      <c r="B3100" t="s">
        <v>1520</v>
      </c>
      <c r="C3100" t="s">
        <v>1816</v>
      </c>
      <c r="D3100" t="s">
        <v>1808</v>
      </c>
      <c r="E3100" s="4">
        <f>IF(AND(Responses!$VU$1&lt;&gt;"",ISERROR(SEARCH("response id",LOWER(Responses!$VU$1))),(COUNTIF('Open Questions'!$A$2:$A$1001,"VU")+COUNTIF('Multiple Choice Questions'!$A$2:$A$1001,"VU")+COUNTIF('Hybrid Questions'!$A$2:$A$1001,"VU")+COUNTIF('Hybrid Questions'!$D$2:$D$1001,"VU")+COUNTIF('Demographics'!$A$2:$A$1001,"VU"))=0),"Responses column VU ("""&amp;Responses!$VU$1&amp;""") has data, but no question or demographic is set up to use it — so it won't appear in your results.","")</f>
        <v>0</v>
      </c>
      <c r="F3100" s="4" t="s">
        <v>2409</v>
      </c>
    </row>
    <row r="3101" spans="1:6" ht="75" customHeight="1">
      <c r="A3101" t="s">
        <v>334</v>
      </c>
      <c r="B3101" t="s">
        <v>1522</v>
      </c>
      <c r="C3101" t="s">
        <v>1816</v>
      </c>
      <c r="D3101" t="s">
        <v>1808</v>
      </c>
      <c r="E3101" s="4">
        <f>IF(AND(Responses!$VV$1&lt;&gt;"",ISERROR(SEARCH("response id",LOWER(Responses!$VV$1))),(COUNTIF('Open Questions'!$A$2:$A$1001,"VV")+COUNTIF('Multiple Choice Questions'!$A$2:$A$1001,"VV")+COUNTIF('Hybrid Questions'!$A$2:$A$1001,"VV")+COUNTIF('Hybrid Questions'!$D$2:$D$1001,"VV")+COUNTIF('Demographics'!$A$2:$A$1001,"VV"))=0),"Responses column VV ("""&amp;Responses!$VV$1&amp;""") has data, but no question or demographic is set up to use it — so it won't appear in your results.","")</f>
        <v>0</v>
      </c>
      <c r="F3101" s="4" t="s">
        <v>2410</v>
      </c>
    </row>
    <row r="3102" spans="1:6" ht="75" customHeight="1">
      <c r="A3102" t="s">
        <v>334</v>
      </c>
      <c r="B3102" t="s">
        <v>1524</v>
      </c>
      <c r="C3102" t="s">
        <v>1816</v>
      </c>
      <c r="D3102" t="s">
        <v>1808</v>
      </c>
      <c r="E3102" s="4">
        <f>IF(AND(Responses!$VW$1&lt;&gt;"",ISERROR(SEARCH("response id",LOWER(Responses!$VW$1))),(COUNTIF('Open Questions'!$A$2:$A$1001,"VW")+COUNTIF('Multiple Choice Questions'!$A$2:$A$1001,"VW")+COUNTIF('Hybrid Questions'!$A$2:$A$1001,"VW")+COUNTIF('Hybrid Questions'!$D$2:$D$1001,"VW")+COUNTIF('Demographics'!$A$2:$A$1001,"VW"))=0),"Responses column VW ("""&amp;Responses!$VW$1&amp;""") has data, but no question or demographic is set up to use it — so it won't appear in your results.","")</f>
        <v>0</v>
      </c>
      <c r="F3102" s="4" t="s">
        <v>2411</v>
      </c>
    </row>
    <row r="3103" spans="1:6" ht="75" customHeight="1">
      <c r="A3103" t="s">
        <v>334</v>
      </c>
      <c r="B3103" t="s">
        <v>1526</v>
      </c>
      <c r="C3103" t="s">
        <v>1816</v>
      </c>
      <c r="D3103" t="s">
        <v>1808</v>
      </c>
      <c r="E3103" s="4">
        <f>IF(AND(Responses!$VX$1&lt;&gt;"",ISERROR(SEARCH("response id",LOWER(Responses!$VX$1))),(COUNTIF('Open Questions'!$A$2:$A$1001,"VX")+COUNTIF('Multiple Choice Questions'!$A$2:$A$1001,"VX")+COUNTIF('Hybrid Questions'!$A$2:$A$1001,"VX")+COUNTIF('Hybrid Questions'!$D$2:$D$1001,"VX")+COUNTIF('Demographics'!$A$2:$A$1001,"VX"))=0),"Responses column VX ("""&amp;Responses!$VX$1&amp;""") has data, but no question or demographic is set up to use it — so it won't appear in your results.","")</f>
        <v>0</v>
      </c>
      <c r="F3103" s="4" t="s">
        <v>2412</v>
      </c>
    </row>
    <row r="3104" spans="1:6" ht="75" customHeight="1">
      <c r="A3104" t="s">
        <v>334</v>
      </c>
      <c r="B3104" t="s">
        <v>1528</v>
      </c>
      <c r="C3104" t="s">
        <v>1816</v>
      </c>
      <c r="D3104" t="s">
        <v>1808</v>
      </c>
      <c r="E3104" s="4">
        <f>IF(AND(Responses!$VY$1&lt;&gt;"",ISERROR(SEARCH("response id",LOWER(Responses!$VY$1))),(COUNTIF('Open Questions'!$A$2:$A$1001,"VY")+COUNTIF('Multiple Choice Questions'!$A$2:$A$1001,"VY")+COUNTIF('Hybrid Questions'!$A$2:$A$1001,"VY")+COUNTIF('Hybrid Questions'!$D$2:$D$1001,"VY")+COUNTIF('Demographics'!$A$2:$A$1001,"VY"))=0),"Responses column VY ("""&amp;Responses!$VY$1&amp;""") has data, but no question or demographic is set up to use it — so it won't appear in your results.","")</f>
        <v>0</v>
      </c>
      <c r="F3104" s="4" t="s">
        <v>2413</v>
      </c>
    </row>
    <row r="3105" spans="1:6" ht="75" customHeight="1">
      <c r="A3105" t="s">
        <v>334</v>
      </c>
      <c r="B3105" t="s">
        <v>1530</v>
      </c>
      <c r="C3105" t="s">
        <v>1816</v>
      </c>
      <c r="D3105" t="s">
        <v>1808</v>
      </c>
      <c r="E3105" s="4">
        <f>IF(AND(Responses!$VZ$1&lt;&gt;"",ISERROR(SEARCH("response id",LOWER(Responses!$VZ$1))),(COUNTIF('Open Questions'!$A$2:$A$1001,"VZ")+COUNTIF('Multiple Choice Questions'!$A$2:$A$1001,"VZ")+COUNTIF('Hybrid Questions'!$A$2:$A$1001,"VZ")+COUNTIF('Hybrid Questions'!$D$2:$D$1001,"VZ")+COUNTIF('Demographics'!$A$2:$A$1001,"VZ"))=0),"Responses column VZ ("""&amp;Responses!$VZ$1&amp;""") has data, but no question or demographic is set up to use it — so it won't appear in your results.","")</f>
        <v>0</v>
      </c>
      <c r="F3105" s="4" t="s">
        <v>2414</v>
      </c>
    </row>
    <row r="3106" spans="1:6" ht="75" customHeight="1">
      <c r="A3106" t="s">
        <v>334</v>
      </c>
      <c r="B3106" t="s">
        <v>1532</v>
      </c>
      <c r="C3106" t="s">
        <v>1816</v>
      </c>
      <c r="D3106" t="s">
        <v>1808</v>
      </c>
      <c r="E3106" s="4">
        <f>IF(AND(Responses!$WA$1&lt;&gt;"",ISERROR(SEARCH("response id",LOWER(Responses!$WA$1))),(COUNTIF('Open Questions'!$A$2:$A$1001,"WA")+COUNTIF('Multiple Choice Questions'!$A$2:$A$1001,"WA")+COUNTIF('Hybrid Questions'!$A$2:$A$1001,"WA")+COUNTIF('Hybrid Questions'!$D$2:$D$1001,"WA")+COUNTIF('Demographics'!$A$2:$A$1001,"WA"))=0),"Responses column WA ("""&amp;Responses!$WA$1&amp;""") has data, but no question or demographic is set up to use it — so it won't appear in your results.","")</f>
        <v>0</v>
      </c>
      <c r="F3106" s="4" t="s">
        <v>2415</v>
      </c>
    </row>
    <row r="3107" spans="1:6" ht="75" customHeight="1">
      <c r="A3107" t="s">
        <v>334</v>
      </c>
      <c r="B3107" t="s">
        <v>1534</v>
      </c>
      <c r="C3107" t="s">
        <v>1816</v>
      </c>
      <c r="D3107" t="s">
        <v>1808</v>
      </c>
      <c r="E3107" s="4">
        <f>IF(AND(Responses!$WB$1&lt;&gt;"",ISERROR(SEARCH("response id",LOWER(Responses!$WB$1))),(COUNTIF('Open Questions'!$A$2:$A$1001,"WB")+COUNTIF('Multiple Choice Questions'!$A$2:$A$1001,"WB")+COUNTIF('Hybrid Questions'!$A$2:$A$1001,"WB")+COUNTIF('Hybrid Questions'!$D$2:$D$1001,"WB")+COUNTIF('Demographics'!$A$2:$A$1001,"WB"))=0),"Responses column WB ("""&amp;Responses!$WB$1&amp;""") has data, but no question or demographic is set up to use it — so it won't appear in your results.","")</f>
        <v>0</v>
      </c>
      <c r="F3107" s="4" t="s">
        <v>2416</v>
      </c>
    </row>
    <row r="3108" spans="1:6" ht="75" customHeight="1">
      <c r="A3108" t="s">
        <v>334</v>
      </c>
      <c r="B3108" t="s">
        <v>1536</v>
      </c>
      <c r="C3108" t="s">
        <v>1816</v>
      </c>
      <c r="D3108" t="s">
        <v>1808</v>
      </c>
      <c r="E3108" s="4">
        <f>IF(AND(Responses!$WC$1&lt;&gt;"",ISERROR(SEARCH("response id",LOWER(Responses!$WC$1))),(COUNTIF('Open Questions'!$A$2:$A$1001,"WC")+COUNTIF('Multiple Choice Questions'!$A$2:$A$1001,"WC")+COUNTIF('Hybrid Questions'!$A$2:$A$1001,"WC")+COUNTIF('Hybrid Questions'!$D$2:$D$1001,"WC")+COUNTIF('Demographics'!$A$2:$A$1001,"WC"))=0),"Responses column WC ("""&amp;Responses!$WC$1&amp;""") has data, but no question or demographic is set up to use it — so it won't appear in your results.","")</f>
        <v>0</v>
      </c>
      <c r="F3108" s="4" t="s">
        <v>2417</v>
      </c>
    </row>
    <row r="3109" spans="1:6" ht="75" customHeight="1">
      <c r="A3109" t="s">
        <v>334</v>
      </c>
      <c r="B3109" t="s">
        <v>1538</v>
      </c>
      <c r="C3109" t="s">
        <v>1816</v>
      </c>
      <c r="D3109" t="s">
        <v>1808</v>
      </c>
      <c r="E3109" s="4">
        <f>IF(AND(Responses!$WD$1&lt;&gt;"",ISERROR(SEARCH("response id",LOWER(Responses!$WD$1))),(COUNTIF('Open Questions'!$A$2:$A$1001,"WD")+COUNTIF('Multiple Choice Questions'!$A$2:$A$1001,"WD")+COUNTIF('Hybrid Questions'!$A$2:$A$1001,"WD")+COUNTIF('Hybrid Questions'!$D$2:$D$1001,"WD")+COUNTIF('Demographics'!$A$2:$A$1001,"WD"))=0),"Responses column WD ("""&amp;Responses!$WD$1&amp;""") has data, but no question or demographic is set up to use it — so it won't appear in your results.","")</f>
        <v>0</v>
      </c>
      <c r="F3109" s="4" t="s">
        <v>2418</v>
      </c>
    </row>
    <row r="3110" spans="1:6" ht="75" customHeight="1">
      <c r="A3110" t="s">
        <v>334</v>
      </c>
      <c r="B3110" t="s">
        <v>1540</v>
      </c>
      <c r="C3110" t="s">
        <v>1816</v>
      </c>
      <c r="D3110" t="s">
        <v>1808</v>
      </c>
      <c r="E3110" s="4">
        <f>IF(AND(Responses!$WE$1&lt;&gt;"",ISERROR(SEARCH("response id",LOWER(Responses!$WE$1))),(COUNTIF('Open Questions'!$A$2:$A$1001,"WE")+COUNTIF('Multiple Choice Questions'!$A$2:$A$1001,"WE")+COUNTIF('Hybrid Questions'!$A$2:$A$1001,"WE")+COUNTIF('Hybrid Questions'!$D$2:$D$1001,"WE")+COUNTIF('Demographics'!$A$2:$A$1001,"WE"))=0),"Responses column WE ("""&amp;Responses!$WE$1&amp;""") has data, but no question or demographic is set up to use it — so it won't appear in your results.","")</f>
        <v>0</v>
      </c>
      <c r="F3110" s="4" t="s">
        <v>2419</v>
      </c>
    </row>
    <row r="3111" spans="1:6" ht="75" customHeight="1">
      <c r="A3111" t="s">
        <v>334</v>
      </c>
      <c r="B3111" t="s">
        <v>1542</v>
      </c>
      <c r="C3111" t="s">
        <v>1816</v>
      </c>
      <c r="D3111" t="s">
        <v>1808</v>
      </c>
      <c r="E3111" s="4">
        <f>IF(AND(Responses!$WF$1&lt;&gt;"",ISERROR(SEARCH("response id",LOWER(Responses!$WF$1))),(COUNTIF('Open Questions'!$A$2:$A$1001,"WF")+COUNTIF('Multiple Choice Questions'!$A$2:$A$1001,"WF")+COUNTIF('Hybrid Questions'!$A$2:$A$1001,"WF")+COUNTIF('Hybrid Questions'!$D$2:$D$1001,"WF")+COUNTIF('Demographics'!$A$2:$A$1001,"WF"))=0),"Responses column WF ("""&amp;Responses!$WF$1&amp;""") has data, but no question or demographic is set up to use it — so it won't appear in your results.","")</f>
        <v>0</v>
      </c>
      <c r="F3111" s="4" t="s">
        <v>2420</v>
      </c>
    </row>
    <row r="3112" spans="1:6" ht="75" customHeight="1">
      <c r="A3112" t="s">
        <v>334</v>
      </c>
      <c r="B3112" t="s">
        <v>1544</v>
      </c>
      <c r="C3112" t="s">
        <v>1816</v>
      </c>
      <c r="D3112" t="s">
        <v>1808</v>
      </c>
      <c r="E3112" s="4">
        <f>IF(AND(Responses!$WG$1&lt;&gt;"",ISERROR(SEARCH("response id",LOWER(Responses!$WG$1))),(COUNTIF('Open Questions'!$A$2:$A$1001,"WG")+COUNTIF('Multiple Choice Questions'!$A$2:$A$1001,"WG")+COUNTIF('Hybrid Questions'!$A$2:$A$1001,"WG")+COUNTIF('Hybrid Questions'!$D$2:$D$1001,"WG")+COUNTIF('Demographics'!$A$2:$A$1001,"WG"))=0),"Responses column WG ("""&amp;Responses!$WG$1&amp;""") has data, but no question or demographic is set up to use it — so it won't appear in your results.","")</f>
        <v>0</v>
      </c>
      <c r="F3112" s="4" t="s">
        <v>2421</v>
      </c>
    </row>
    <row r="3113" spans="1:6" ht="75" customHeight="1">
      <c r="A3113" t="s">
        <v>334</v>
      </c>
      <c r="B3113" t="s">
        <v>1546</v>
      </c>
      <c r="C3113" t="s">
        <v>1816</v>
      </c>
      <c r="D3113" t="s">
        <v>1808</v>
      </c>
      <c r="E3113" s="4">
        <f>IF(AND(Responses!$WH$1&lt;&gt;"",ISERROR(SEARCH("response id",LOWER(Responses!$WH$1))),(COUNTIF('Open Questions'!$A$2:$A$1001,"WH")+COUNTIF('Multiple Choice Questions'!$A$2:$A$1001,"WH")+COUNTIF('Hybrid Questions'!$A$2:$A$1001,"WH")+COUNTIF('Hybrid Questions'!$D$2:$D$1001,"WH")+COUNTIF('Demographics'!$A$2:$A$1001,"WH"))=0),"Responses column WH ("""&amp;Responses!$WH$1&amp;""") has data, but no question or demographic is set up to use it — so it won't appear in your results.","")</f>
        <v>0</v>
      </c>
      <c r="F3113" s="4" t="s">
        <v>2422</v>
      </c>
    </row>
    <row r="3114" spans="1:6" ht="75" customHeight="1">
      <c r="A3114" t="s">
        <v>334</v>
      </c>
      <c r="B3114" t="s">
        <v>1548</v>
      </c>
      <c r="C3114" t="s">
        <v>1816</v>
      </c>
      <c r="D3114" t="s">
        <v>1808</v>
      </c>
      <c r="E3114" s="4">
        <f>IF(AND(Responses!$WI$1&lt;&gt;"",ISERROR(SEARCH("response id",LOWER(Responses!$WI$1))),(COUNTIF('Open Questions'!$A$2:$A$1001,"WI")+COUNTIF('Multiple Choice Questions'!$A$2:$A$1001,"WI")+COUNTIF('Hybrid Questions'!$A$2:$A$1001,"WI")+COUNTIF('Hybrid Questions'!$D$2:$D$1001,"WI")+COUNTIF('Demographics'!$A$2:$A$1001,"WI"))=0),"Responses column WI ("""&amp;Responses!$WI$1&amp;""") has data, but no question or demographic is set up to use it — so it won't appear in your results.","")</f>
        <v>0</v>
      </c>
      <c r="F3114" s="4" t="s">
        <v>2423</v>
      </c>
    </row>
    <row r="3115" spans="1:6" ht="75" customHeight="1">
      <c r="A3115" t="s">
        <v>334</v>
      </c>
      <c r="B3115" t="s">
        <v>1550</v>
      </c>
      <c r="C3115" t="s">
        <v>1816</v>
      </c>
      <c r="D3115" t="s">
        <v>1808</v>
      </c>
      <c r="E3115" s="4">
        <f>IF(AND(Responses!$WJ$1&lt;&gt;"",ISERROR(SEARCH("response id",LOWER(Responses!$WJ$1))),(COUNTIF('Open Questions'!$A$2:$A$1001,"WJ")+COUNTIF('Multiple Choice Questions'!$A$2:$A$1001,"WJ")+COUNTIF('Hybrid Questions'!$A$2:$A$1001,"WJ")+COUNTIF('Hybrid Questions'!$D$2:$D$1001,"WJ")+COUNTIF('Demographics'!$A$2:$A$1001,"WJ"))=0),"Responses column WJ ("""&amp;Responses!$WJ$1&amp;""") has data, but no question or demographic is set up to use it — so it won't appear in your results.","")</f>
        <v>0</v>
      </c>
      <c r="F3115" s="4" t="s">
        <v>2424</v>
      </c>
    </row>
    <row r="3116" spans="1:6" ht="75" customHeight="1">
      <c r="A3116" t="s">
        <v>334</v>
      </c>
      <c r="B3116" t="s">
        <v>1552</v>
      </c>
      <c r="C3116" t="s">
        <v>1816</v>
      </c>
      <c r="D3116" t="s">
        <v>1808</v>
      </c>
      <c r="E3116" s="4">
        <f>IF(AND(Responses!$WK$1&lt;&gt;"",ISERROR(SEARCH("response id",LOWER(Responses!$WK$1))),(COUNTIF('Open Questions'!$A$2:$A$1001,"WK")+COUNTIF('Multiple Choice Questions'!$A$2:$A$1001,"WK")+COUNTIF('Hybrid Questions'!$A$2:$A$1001,"WK")+COUNTIF('Hybrid Questions'!$D$2:$D$1001,"WK")+COUNTIF('Demographics'!$A$2:$A$1001,"WK"))=0),"Responses column WK ("""&amp;Responses!$WK$1&amp;""") has data, but no question or demographic is set up to use it — so it won't appear in your results.","")</f>
        <v>0</v>
      </c>
      <c r="F3116" s="4" t="s">
        <v>2425</v>
      </c>
    </row>
    <row r="3117" spans="1:6" ht="75" customHeight="1">
      <c r="A3117" t="s">
        <v>334</v>
      </c>
      <c r="B3117" t="s">
        <v>1554</v>
      </c>
      <c r="C3117" t="s">
        <v>1816</v>
      </c>
      <c r="D3117" t="s">
        <v>1808</v>
      </c>
      <c r="E3117" s="4">
        <f>IF(AND(Responses!$WL$1&lt;&gt;"",ISERROR(SEARCH("response id",LOWER(Responses!$WL$1))),(COUNTIF('Open Questions'!$A$2:$A$1001,"WL")+COUNTIF('Multiple Choice Questions'!$A$2:$A$1001,"WL")+COUNTIF('Hybrid Questions'!$A$2:$A$1001,"WL")+COUNTIF('Hybrid Questions'!$D$2:$D$1001,"WL")+COUNTIF('Demographics'!$A$2:$A$1001,"WL"))=0),"Responses column WL ("""&amp;Responses!$WL$1&amp;""") has data, but no question or demographic is set up to use it — so it won't appear in your results.","")</f>
        <v>0</v>
      </c>
      <c r="F3117" s="4" t="s">
        <v>2426</v>
      </c>
    </row>
    <row r="3118" spans="1:6" ht="75" customHeight="1">
      <c r="A3118" t="s">
        <v>334</v>
      </c>
      <c r="B3118" t="s">
        <v>1556</v>
      </c>
      <c r="C3118" t="s">
        <v>1816</v>
      </c>
      <c r="D3118" t="s">
        <v>1808</v>
      </c>
      <c r="E3118" s="4">
        <f>IF(AND(Responses!$WM$1&lt;&gt;"",ISERROR(SEARCH("response id",LOWER(Responses!$WM$1))),(COUNTIF('Open Questions'!$A$2:$A$1001,"WM")+COUNTIF('Multiple Choice Questions'!$A$2:$A$1001,"WM")+COUNTIF('Hybrid Questions'!$A$2:$A$1001,"WM")+COUNTIF('Hybrid Questions'!$D$2:$D$1001,"WM")+COUNTIF('Demographics'!$A$2:$A$1001,"WM"))=0),"Responses column WM ("""&amp;Responses!$WM$1&amp;""") has data, but no question or demographic is set up to use it — so it won't appear in your results.","")</f>
        <v>0</v>
      </c>
      <c r="F3118" s="4" t="s">
        <v>2427</v>
      </c>
    </row>
    <row r="3119" spans="1:6" ht="75" customHeight="1">
      <c r="A3119" t="s">
        <v>334</v>
      </c>
      <c r="B3119" t="s">
        <v>1558</v>
      </c>
      <c r="C3119" t="s">
        <v>1816</v>
      </c>
      <c r="D3119" t="s">
        <v>1808</v>
      </c>
      <c r="E3119" s="4">
        <f>IF(AND(Responses!$WN$1&lt;&gt;"",ISERROR(SEARCH("response id",LOWER(Responses!$WN$1))),(COUNTIF('Open Questions'!$A$2:$A$1001,"WN")+COUNTIF('Multiple Choice Questions'!$A$2:$A$1001,"WN")+COUNTIF('Hybrid Questions'!$A$2:$A$1001,"WN")+COUNTIF('Hybrid Questions'!$D$2:$D$1001,"WN")+COUNTIF('Demographics'!$A$2:$A$1001,"WN"))=0),"Responses column WN ("""&amp;Responses!$WN$1&amp;""") has data, but no question or demographic is set up to use it — so it won't appear in your results.","")</f>
        <v>0</v>
      </c>
      <c r="F3119" s="4" t="s">
        <v>2428</v>
      </c>
    </row>
    <row r="3120" spans="1:6" ht="75" customHeight="1">
      <c r="A3120" t="s">
        <v>334</v>
      </c>
      <c r="B3120" t="s">
        <v>1560</v>
      </c>
      <c r="C3120" t="s">
        <v>1816</v>
      </c>
      <c r="D3120" t="s">
        <v>1808</v>
      </c>
      <c r="E3120" s="4">
        <f>IF(AND(Responses!$WO$1&lt;&gt;"",ISERROR(SEARCH("response id",LOWER(Responses!$WO$1))),(COUNTIF('Open Questions'!$A$2:$A$1001,"WO")+COUNTIF('Multiple Choice Questions'!$A$2:$A$1001,"WO")+COUNTIF('Hybrid Questions'!$A$2:$A$1001,"WO")+COUNTIF('Hybrid Questions'!$D$2:$D$1001,"WO")+COUNTIF('Demographics'!$A$2:$A$1001,"WO"))=0),"Responses column WO ("""&amp;Responses!$WO$1&amp;""") has data, but no question or demographic is set up to use it — so it won't appear in your results.","")</f>
        <v>0</v>
      </c>
      <c r="F3120" s="4" t="s">
        <v>2429</v>
      </c>
    </row>
    <row r="3121" spans="1:6" ht="75" customHeight="1">
      <c r="A3121" t="s">
        <v>334</v>
      </c>
      <c r="B3121" t="s">
        <v>1562</v>
      </c>
      <c r="C3121" t="s">
        <v>1816</v>
      </c>
      <c r="D3121" t="s">
        <v>1808</v>
      </c>
      <c r="E3121" s="4">
        <f>IF(AND(Responses!$WP$1&lt;&gt;"",ISERROR(SEARCH("response id",LOWER(Responses!$WP$1))),(COUNTIF('Open Questions'!$A$2:$A$1001,"WP")+COUNTIF('Multiple Choice Questions'!$A$2:$A$1001,"WP")+COUNTIF('Hybrid Questions'!$A$2:$A$1001,"WP")+COUNTIF('Hybrid Questions'!$D$2:$D$1001,"WP")+COUNTIF('Demographics'!$A$2:$A$1001,"WP"))=0),"Responses column WP ("""&amp;Responses!$WP$1&amp;""") has data, but no question or demographic is set up to use it — so it won't appear in your results.","")</f>
        <v>0</v>
      </c>
      <c r="F3121" s="4" t="s">
        <v>2430</v>
      </c>
    </row>
    <row r="3122" spans="1:6" ht="75" customHeight="1">
      <c r="A3122" t="s">
        <v>334</v>
      </c>
      <c r="B3122" t="s">
        <v>1564</v>
      </c>
      <c r="C3122" t="s">
        <v>1816</v>
      </c>
      <c r="D3122" t="s">
        <v>1808</v>
      </c>
      <c r="E3122" s="4">
        <f>IF(AND(Responses!$WQ$1&lt;&gt;"",ISERROR(SEARCH("response id",LOWER(Responses!$WQ$1))),(COUNTIF('Open Questions'!$A$2:$A$1001,"WQ")+COUNTIF('Multiple Choice Questions'!$A$2:$A$1001,"WQ")+COUNTIF('Hybrid Questions'!$A$2:$A$1001,"WQ")+COUNTIF('Hybrid Questions'!$D$2:$D$1001,"WQ")+COUNTIF('Demographics'!$A$2:$A$1001,"WQ"))=0),"Responses column WQ ("""&amp;Responses!$WQ$1&amp;""") has data, but no question or demographic is set up to use it — so it won't appear in your results.","")</f>
        <v>0</v>
      </c>
      <c r="F3122" s="4" t="s">
        <v>2431</v>
      </c>
    </row>
    <row r="3123" spans="1:6" ht="75" customHeight="1">
      <c r="A3123" t="s">
        <v>334</v>
      </c>
      <c r="B3123" t="s">
        <v>1566</v>
      </c>
      <c r="C3123" t="s">
        <v>1816</v>
      </c>
      <c r="D3123" t="s">
        <v>1808</v>
      </c>
      <c r="E3123" s="4">
        <f>IF(AND(Responses!$WR$1&lt;&gt;"",ISERROR(SEARCH("response id",LOWER(Responses!$WR$1))),(COUNTIF('Open Questions'!$A$2:$A$1001,"WR")+COUNTIF('Multiple Choice Questions'!$A$2:$A$1001,"WR")+COUNTIF('Hybrid Questions'!$A$2:$A$1001,"WR")+COUNTIF('Hybrid Questions'!$D$2:$D$1001,"WR")+COUNTIF('Demographics'!$A$2:$A$1001,"WR"))=0),"Responses column WR ("""&amp;Responses!$WR$1&amp;""") has data, but no question or demographic is set up to use it — so it won't appear in your results.","")</f>
        <v>0</v>
      </c>
      <c r="F3123" s="4" t="s">
        <v>2432</v>
      </c>
    </row>
    <row r="3124" spans="1:6" ht="75" customHeight="1">
      <c r="A3124" t="s">
        <v>334</v>
      </c>
      <c r="B3124" t="s">
        <v>1568</v>
      </c>
      <c r="C3124" t="s">
        <v>1816</v>
      </c>
      <c r="D3124" t="s">
        <v>1808</v>
      </c>
      <c r="E3124" s="4">
        <f>IF(AND(Responses!$WS$1&lt;&gt;"",ISERROR(SEARCH("response id",LOWER(Responses!$WS$1))),(COUNTIF('Open Questions'!$A$2:$A$1001,"WS")+COUNTIF('Multiple Choice Questions'!$A$2:$A$1001,"WS")+COUNTIF('Hybrid Questions'!$A$2:$A$1001,"WS")+COUNTIF('Hybrid Questions'!$D$2:$D$1001,"WS")+COUNTIF('Demographics'!$A$2:$A$1001,"WS"))=0),"Responses column WS ("""&amp;Responses!$WS$1&amp;""") has data, but no question or demographic is set up to use it — so it won't appear in your results.","")</f>
        <v>0</v>
      </c>
      <c r="F3124" s="4" t="s">
        <v>2433</v>
      </c>
    </row>
    <row r="3125" spans="1:6" ht="75" customHeight="1">
      <c r="A3125" t="s">
        <v>334</v>
      </c>
      <c r="B3125" t="s">
        <v>1570</v>
      </c>
      <c r="C3125" t="s">
        <v>1816</v>
      </c>
      <c r="D3125" t="s">
        <v>1808</v>
      </c>
      <c r="E3125" s="4">
        <f>IF(AND(Responses!$WT$1&lt;&gt;"",ISERROR(SEARCH("response id",LOWER(Responses!$WT$1))),(COUNTIF('Open Questions'!$A$2:$A$1001,"WT")+COUNTIF('Multiple Choice Questions'!$A$2:$A$1001,"WT")+COUNTIF('Hybrid Questions'!$A$2:$A$1001,"WT")+COUNTIF('Hybrid Questions'!$D$2:$D$1001,"WT")+COUNTIF('Demographics'!$A$2:$A$1001,"WT"))=0),"Responses column WT ("""&amp;Responses!$WT$1&amp;""") has data, but no question or demographic is set up to use it — so it won't appear in your results.","")</f>
        <v>0</v>
      </c>
      <c r="F3125" s="4" t="s">
        <v>2434</v>
      </c>
    </row>
    <row r="3126" spans="1:6" ht="75" customHeight="1">
      <c r="A3126" t="s">
        <v>334</v>
      </c>
      <c r="B3126" t="s">
        <v>1572</v>
      </c>
      <c r="C3126" t="s">
        <v>1816</v>
      </c>
      <c r="D3126" t="s">
        <v>1808</v>
      </c>
      <c r="E3126" s="4">
        <f>IF(AND(Responses!$WU$1&lt;&gt;"",ISERROR(SEARCH("response id",LOWER(Responses!$WU$1))),(COUNTIF('Open Questions'!$A$2:$A$1001,"WU")+COUNTIF('Multiple Choice Questions'!$A$2:$A$1001,"WU")+COUNTIF('Hybrid Questions'!$A$2:$A$1001,"WU")+COUNTIF('Hybrid Questions'!$D$2:$D$1001,"WU")+COUNTIF('Demographics'!$A$2:$A$1001,"WU"))=0),"Responses column WU ("""&amp;Responses!$WU$1&amp;""") has data, but no question or demographic is set up to use it — so it won't appear in your results.","")</f>
        <v>0</v>
      </c>
      <c r="F3126" s="4" t="s">
        <v>2435</v>
      </c>
    </row>
    <row r="3127" spans="1:6" ht="75" customHeight="1">
      <c r="A3127" t="s">
        <v>334</v>
      </c>
      <c r="B3127" t="s">
        <v>1574</v>
      </c>
      <c r="C3127" t="s">
        <v>1816</v>
      </c>
      <c r="D3127" t="s">
        <v>1808</v>
      </c>
      <c r="E3127" s="4">
        <f>IF(AND(Responses!$WV$1&lt;&gt;"",ISERROR(SEARCH("response id",LOWER(Responses!$WV$1))),(COUNTIF('Open Questions'!$A$2:$A$1001,"WV")+COUNTIF('Multiple Choice Questions'!$A$2:$A$1001,"WV")+COUNTIF('Hybrid Questions'!$A$2:$A$1001,"WV")+COUNTIF('Hybrid Questions'!$D$2:$D$1001,"WV")+COUNTIF('Demographics'!$A$2:$A$1001,"WV"))=0),"Responses column WV ("""&amp;Responses!$WV$1&amp;""") has data, but no question or demographic is set up to use it — so it won't appear in your results.","")</f>
        <v>0</v>
      </c>
      <c r="F3127" s="4" t="s">
        <v>2436</v>
      </c>
    </row>
    <row r="3128" spans="1:6" ht="75" customHeight="1">
      <c r="A3128" t="s">
        <v>334</v>
      </c>
      <c r="B3128" t="s">
        <v>1576</v>
      </c>
      <c r="C3128" t="s">
        <v>1816</v>
      </c>
      <c r="D3128" t="s">
        <v>1808</v>
      </c>
      <c r="E3128" s="4">
        <f>IF(AND(Responses!$WW$1&lt;&gt;"",ISERROR(SEARCH("response id",LOWER(Responses!$WW$1))),(COUNTIF('Open Questions'!$A$2:$A$1001,"WW")+COUNTIF('Multiple Choice Questions'!$A$2:$A$1001,"WW")+COUNTIF('Hybrid Questions'!$A$2:$A$1001,"WW")+COUNTIF('Hybrid Questions'!$D$2:$D$1001,"WW")+COUNTIF('Demographics'!$A$2:$A$1001,"WW"))=0),"Responses column WW ("""&amp;Responses!$WW$1&amp;""") has data, but no question or demographic is set up to use it — so it won't appear in your results.","")</f>
        <v>0</v>
      </c>
      <c r="F3128" s="4" t="s">
        <v>2437</v>
      </c>
    </row>
    <row r="3129" spans="1:6" ht="75" customHeight="1">
      <c r="A3129" t="s">
        <v>334</v>
      </c>
      <c r="B3129" t="s">
        <v>1578</v>
      </c>
      <c r="C3129" t="s">
        <v>1816</v>
      </c>
      <c r="D3129" t="s">
        <v>1808</v>
      </c>
      <c r="E3129" s="4">
        <f>IF(AND(Responses!$WX$1&lt;&gt;"",ISERROR(SEARCH("response id",LOWER(Responses!$WX$1))),(COUNTIF('Open Questions'!$A$2:$A$1001,"WX")+COUNTIF('Multiple Choice Questions'!$A$2:$A$1001,"WX")+COUNTIF('Hybrid Questions'!$A$2:$A$1001,"WX")+COUNTIF('Hybrid Questions'!$D$2:$D$1001,"WX")+COUNTIF('Demographics'!$A$2:$A$1001,"WX"))=0),"Responses column WX ("""&amp;Responses!$WX$1&amp;""") has data, but no question or demographic is set up to use it — so it won't appear in your results.","")</f>
        <v>0</v>
      </c>
      <c r="F3129" s="4" t="s">
        <v>2438</v>
      </c>
    </row>
    <row r="3130" spans="1:6" ht="75" customHeight="1">
      <c r="A3130" t="s">
        <v>334</v>
      </c>
      <c r="B3130" t="s">
        <v>1580</v>
      </c>
      <c r="C3130" t="s">
        <v>1816</v>
      </c>
      <c r="D3130" t="s">
        <v>1808</v>
      </c>
      <c r="E3130" s="4">
        <f>IF(AND(Responses!$WY$1&lt;&gt;"",ISERROR(SEARCH("response id",LOWER(Responses!$WY$1))),(COUNTIF('Open Questions'!$A$2:$A$1001,"WY")+COUNTIF('Multiple Choice Questions'!$A$2:$A$1001,"WY")+COUNTIF('Hybrid Questions'!$A$2:$A$1001,"WY")+COUNTIF('Hybrid Questions'!$D$2:$D$1001,"WY")+COUNTIF('Demographics'!$A$2:$A$1001,"WY"))=0),"Responses column WY ("""&amp;Responses!$WY$1&amp;""") has data, but no question or demographic is set up to use it — so it won't appear in your results.","")</f>
        <v>0</v>
      </c>
      <c r="F3130" s="4" t="s">
        <v>2439</v>
      </c>
    </row>
    <row r="3131" spans="1:6" ht="75" customHeight="1">
      <c r="A3131" t="s">
        <v>334</v>
      </c>
      <c r="B3131" t="s">
        <v>1582</v>
      </c>
      <c r="C3131" t="s">
        <v>1816</v>
      </c>
      <c r="D3131" t="s">
        <v>1808</v>
      </c>
      <c r="E3131" s="4">
        <f>IF(AND(Responses!$WZ$1&lt;&gt;"",ISERROR(SEARCH("response id",LOWER(Responses!$WZ$1))),(COUNTIF('Open Questions'!$A$2:$A$1001,"WZ")+COUNTIF('Multiple Choice Questions'!$A$2:$A$1001,"WZ")+COUNTIF('Hybrid Questions'!$A$2:$A$1001,"WZ")+COUNTIF('Hybrid Questions'!$D$2:$D$1001,"WZ")+COUNTIF('Demographics'!$A$2:$A$1001,"WZ"))=0),"Responses column WZ ("""&amp;Responses!$WZ$1&amp;""") has data, but no question or demographic is set up to use it — so it won't appear in your results.","")</f>
        <v>0</v>
      </c>
      <c r="F3131" s="4" t="s">
        <v>2440</v>
      </c>
    </row>
    <row r="3132" spans="1:6" ht="75" customHeight="1">
      <c r="A3132" t="s">
        <v>334</v>
      </c>
      <c r="B3132" t="s">
        <v>1584</v>
      </c>
      <c r="C3132" t="s">
        <v>1816</v>
      </c>
      <c r="D3132" t="s">
        <v>1808</v>
      </c>
      <c r="E3132" s="4">
        <f>IF(AND(Responses!$XA$1&lt;&gt;"",ISERROR(SEARCH("response id",LOWER(Responses!$XA$1))),(COUNTIF('Open Questions'!$A$2:$A$1001,"XA")+COUNTIF('Multiple Choice Questions'!$A$2:$A$1001,"XA")+COUNTIF('Hybrid Questions'!$A$2:$A$1001,"XA")+COUNTIF('Hybrid Questions'!$D$2:$D$1001,"XA")+COUNTIF('Demographics'!$A$2:$A$1001,"XA"))=0),"Responses column XA ("""&amp;Responses!$XA$1&amp;""") has data, but no question or demographic is set up to use it — so it won't appear in your results.","")</f>
        <v>0</v>
      </c>
      <c r="F3132" s="4" t="s">
        <v>2441</v>
      </c>
    </row>
    <row r="3133" spans="1:6" ht="75" customHeight="1">
      <c r="A3133" t="s">
        <v>334</v>
      </c>
      <c r="B3133" t="s">
        <v>1586</v>
      </c>
      <c r="C3133" t="s">
        <v>1816</v>
      </c>
      <c r="D3133" t="s">
        <v>1808</v>
      </c>
      <c r="E3133" s="4">
        <f>IF(AND(Responses!$XB$1&lt;&gt;"",ISERROR(SEARCH("response id",LOWER(Responses!$XB$1))),(COUNTIF('Open Questions'!$A$2:$A$1001,"XB")+COUNTIF('Multiple Choice Questions'!$A$2:$A$1001,"XB")+COUNTIF('Hybrid Questions'!$A$2:$A$1001,"XB")+COUNTIF('Hybrid Questions'!$D$2:$D$1001,"XB")+COUNTIF('Demographics'!$A$2:$A$1001,"XB"))=0),"Responses column XB ("""&amp;Responses!$XB$1&amp;""") has data, but no question or demographic is set up to use it — so it won't appear in your results.","")</f>
        <v>0</v>
      </c>
      <c r="F3133" s="4" t="s">
        <v>2442</v>
      </c>
    </row>
    <row r="3134" spans="1:6" ht="75" customHeight="1">
      <c r="A3134" t="s">
        <v>334</v>
      </c>
      <c r="B3134" t="s">
        <v>1588</v>
      </c>
      <c r="C3134" t="s">
        <v>1816</v>
      </c>
      <c r="D3134" t="s">
        <v>1808</v>
      </c>
      <c r="E3134" s="4">
        <f>IF(AND(Responses!$XC$1&lt;&gt;"",ISERROR(SEARCH("response id",LOWER(Responses!$XC$1))),(COUNTIF('Open Questions'!$A$2:$A$1001,"XC")+COUNTIF('Multiple Choice Questions'!$A$2:$A$1001,"XC")+COUNTIF('Hybrid Questions'!$A$2:$A$1001,"XC")+COUNTIF('Hybrid Questions'!$D$2:$D$1001,"XC")+COUNTIF('Demographics'!$A$2:$A$1001,"XC"))=0),"Responses column XC ("""&amp;Responses!$XC$1&amp;""") has data, but no question or demographic is set up to use it — so it won't appear in your results.","")</f>
        <v>0</v>
      </c>
      <c r="F3134" s="4" t="s">
        <v>2443</v>
      </c>
    </row>
    <row r="3135" spans="1:6" ht="75" customHeight="1">
      <c r="A3135" t="s">
        <v>334</v>
      </c>
      <c r="B3135" t="s">
        <v>1590</v>
      </c>
      <c r="C3135" t="s">
        <v>1816</v>
      </c>
      <c r="D3135" t="s">
        <v>1808</v>
      </c>
      <c r="E3135" s="4">
        <f>IF(AND(Responses!$XD$1&lt;&gt;"",ISERROR(SEARCH("response id",LOWER(Responses!$XD$1))),(COUNTIF('Open Questions'!$A$2:$A$1001,"XD")+COUNTIF('Multiple Choice Questions'!$A$2:$A$1001,"XD")+COUNTIF('Hybrid Questions'!$A$2:$A$1001,"XD")+COUNTIF('Hybrid Questions'!$D$2:$D$1001,"XD")+COUNTIF('Demographics'!$A$2:$A$1001,"XD"))=0),"Responses column XD ("""&amp;Responses!$XD$1&amp;""") has data, but no question or demographic is set up to use it — so it won't appear in your results.","")</f>
        <v>0</v>
      </c>
      <c r="F3135" s="4" t="s">
        <v>2444</v>
      </c>
    </row>
    <row r="3136" spans="1:6" ht="75" customHeight="1">
      <c r="A3136" t="s">
        <v>334</v>
      </c>
      <c r="B3136" t="s">
        <v>1592</v>
      </c>
      <c r="C3136" t="s">
        <v>1816</v>
      </c>
      <c r="D3136" t="s">
        <v>1808</v>
      </c>
      <c r="E3136" s="4">
        <f>IF(AND(Responses!$XE$1&lt;&gt;"",ISERROR(SEARCH("response id",LOWER(Responses!$XE$1))),(COUNTIF('Open Questions'!$A$2:$A$1001,"XE")+COUNTIF('Multiple Choice Questions'!$A$2:$A$1001,"XE")+COUNTIF('Hybrid Questions'!$A$2:$A$1001,"XE")+COUNTIF('Hybrid Questions'!$D$2:$D$1001,"XE")+COUNTIF('Demographics'!$A$2:$A$1001,"XE"))=0),"Responses column XE ("""&amp;Responses!$XE$1&amp;""") has data, but no question or demographic is set up to use it — so it won't appear in your results.","")</f>
        <v>0</v>
      </c>
      <c r="F3136" s="4" t="s">
        <v>2445</v>
      </c>
    </row>
    <row r="3137" spans="1:6" ht="75" customHeight="1">
      <c r="A3137" t="s">
        <v>334</v>
      </c>
      <c r="B3137" t="s">
        <v>1594</v>
      </c>
      <c r="C3137" t="s">
        <v>1816</v>
      </c>
      <c r="D3137" t="s">
        <v>1808</v>
      </c>
      <c r="E3137" s="4">
        <f>IF(AND(Responses!$XF$1&lt;&gt;"",ISERROR(SEARCH("response id",LOWER(Responses!$XF$1))),(COUNTIF('Open Questions'!$A$2:$A$1001,"XF")+COUNTIF('Multiple Choice Questions'!$A$2:$A$1001,"XF")+COUNTIF('Hybrid Questions'!$A$2:$A$1001,"XF")+COUNTIF('Hybrid Questions'!$D$2:$D$1001,"XF")+COUNTIF('Demographics'!$A$2:$A$1001,"XF"))=0),"Responses column XF ("""&amp;Responses!$XF$1&amp;""") has data, but no question or demographic is set up to use it — so it won't appear in your results.","")</f>
        <v>0</v>
      </c>
      <c r="F3137" s="4" t="s">
        <v>2446</v>
      </c>
    </row>
    <row r="3138" spans="1:6" ht="75" customHeight="1">
      <c r="A3138" t="s">
        <v>334</v>
      </c>
      <c r="B3138" t="s">
        <v>1596</v>
      </c>
      <c r="C3138" t="s">
        <v>1816</v>
      </c>
      <c r="D3138" t="s">
        <v>1808</v>
      </c>
      <c r="E3138" s="4">
        <f>IF(AND(Responses!$XG$1&lt;&gt;"",ISERROR(SEARCH("response id",LOWER(Responses!$XG$1))),(COUNTIF('Open Questions'!$A$2:$A$1001,"XG")+COUNTIF('Multiple Choice Questions'!$A$2:$A$1001,"XG")+COUNTIF('Hybrid Questions'!$A$2:$A$1001,"XG")+COUNTIF('Hybrid Questions'!$D$2:$D$1001,"XG")+COUNTIF('Demographics'!$A$2:$A$1001,"XG"))=0),"Responses column XG ("""&amp;Responses!$XG$1&amp;""") has data, but no question or demographic is set up to use it — so it won't appear in your results.","")</f>
        <v>0</v>
      </c>
      <c r="F3138" s="4" t="s">
        <v>2447</v>
      </c>
    </row>
    <row r="3139" spans="1:6" ht="75" customHeight="1">
      <c r="A3139" t="s">
        <v>334</v>
      </c>
      <c r="B3139" t="s">
        <v>1598</v>
      </c>
      <c r="C3139" t="s">
        <v>1816</v>
      </c>
      <c r="D3139" t="s">
        <v>1808</v>
      </c>
      <c r="E3139" s="4">
        <f>IF(AND(Responses!$XH$1&lt;&gt;"",ISERROR(SEARCH("response id",LOWER(Responses!$XH$1))),(COUNTIF('Open Questions'!$A$2:$A$1001,"XH")+COUNTIF('Multiple Choice Questions'!$A$2:$A$1001,"XH")+COUNTIF('Hybrid Questions'!$A$2:$A$1001,"XH")+COUNTIF('Hybrid Questions'!$D$2:$D$1001,"XH")+COUNTIF('Demographics'!$A$2:$A$1001,"XH"))=0),"Responses column XH ("""&amp;Responses!$XH$1&amp;""") has data, but no question or demographic is set up to use it — so it won't appear in your results.","")</f>
        <v>0</v>
      </c>
      <c r="F3139" s="4" t="s">
        <v>2448</v>
      </c>
    </row>
    <row r="3140" spans="1:6" ht="75" customHeight="1">
      <c r="A3140" t="s">
        <v>334</v>
      </c>
      <c r="B3140" t="s">
        <v>1600</v>
      </c>
      <c r="C3140" t="s">
        <v>1816</v>
      </c>
      <c r="D3140" t="s">
        <v>1808</v>
      </c>
      <c r="E3140" s="4">
        <f>IF(AND(Responses!$XI$1&lt;&gt;"",ISERROR(SEARCH("response id",LOWER(Responses!$XI$1))),(COUNTIF('Open Questions'!$A$2:$A$1001,"XI")+COUNTIF('Multiple Choice Questions'!$A$2:$A$1001,"XI")+COUNTIF('Hybrid Questions'!$A$2:$A$1001,"XI")+COUNTIF('Hybrid Questions'!$D$2:$D$1001,"XI")+COUNTIF('Demographics'!$A$2:$A$1001,"XI"))=0),"Responses column XI ("""&amp;Responses!$XI$1&amp;""") has data, but no question or demographic is set up to use it — so it won't appear in your results.","")</f>
        <v>0</v>
      </c>
      <c r="F3140" s="4" t="s">
        <v>2449</v>
      </c>
    </row>
    <row r="3141" spans="1:6" ht="75" customHeight="1">
      <c r="A3141" t="s">
        <v>334</v>
      </c>
      <c r="B3141" t="s">
        <v>1602</v>
      </c>
      <c r="C3141" t="s">
        <v>1816</v>
      </c>
      <c r="D3141" t="s">
        <v>1808</v>
      </c>
      <c r="E3141" s="4">
        <f>IF(AND(Responses!$XJ$1&lt;&gt;"",ISERROR(SEARCH("response id",LOWER(Responses!$XJ$1))),(COUNTIF('Open Questions'!$A$2:$A$1001,"XJ")+COUNTIF('Multiple Choice Questions'!$A$2:$A$1001,"XJ")+COUNTIF('Hybrid Questions'!$A$2:$A$1001,"XJ")+COUNTIF('Hybrid Questions'!$D$2:$D$1001,"XJ")+COUNTIF('Demographics'!$A$2:$A$1001,"XJ"))=0),"Responses column XJ ("""&amp;Responses!$XJ$1&amp;""") has data, but no question or demographic is set up to use it — so it won't appear in your results.","")</f>
        <v>0</v>
      </c>
      <c r="F3141" s="4" t="s">
        <v>2450</v>
      </c>
    </row>
    <row r="3142" spans="1:6" ht="75" customHeight="1">
      <c r="A3142" t="s">
        <v>334</v>
      </c>
      <c r="B3142" t="s">
        <v>1604</v>
      </c>
      <c r="C3142" t="s">
        <v>1816</v>
      </c>
      <c r="D3142" t="s">
        <v>1808</v>
      </c>
      <c r="E3142" s="4">
        <f>IF(AND(Responses!$XK$1&lt;&gt;"",ISERROR(SEARCH("response id",LOWER(Responses!$XK$1))),(COUNTIF('Open Questions'!$A$2:$A$1001,"XK")+COUNTIF('Multiple Choice Questions'!$A$2:$A$1001,"XK")+COUNTIF('Hybrid Questions'!$A$2:$A$1001,"XK")+COUNTIF('Hybrid Questions'!$D$2:$D$1001,"XK")+COUNTIF('Demographics'!$A$2:$A$1001,"XK"))=0),"Responses column XK ("""&amp;Responses!$XK$1&amp;""") has data, but no question or demographic is set up to use it — so it won't appear in your results.","")</f>
        <v>0</v>
      </c>
      <c r="F3142" s="4" t="s">
        <v>2451</v>
      </c>
    </row>
    <row r="3143" spans="1:6" ht="75" customHeight="1">
      <c r="A3143" t="s">
        <v>334</v>
      </c>
      <c r="B3143" t="s">
        <v>1606</v>
      </c>
      <c r="C3143" t="s">
        <v>1816</v>
      </c>
      <c r="D3143" t="s">
        <v>1808</v>
      </c>
      <c r="E3143" s="4">
        <f>IF(AND(Responses!$XL$1&lt;&gt;"",ISERROR(SEARCH("response id",LOWER(Responses!$XL$1))),(COUNTIF('Open Questions'!$A$2:$A$1001,"XL")+COUNTIF('Multiple Choice Questions'!$A$2:$A$1001,"XL")+COUNTIF('Hybrid Questions'!$A$2:$A$1001,"XL")+COUNTIF('Hybrid Questions'!$D$2:$D$1001,"XL")+COUNTIF('Demographics'!$A$2:$A$1001,"XL"))=0),"Responses column XL ("""&amp;Responses!$XL$1&amp;""") has data, but no question or demographic is set up to use it — so it won't appear in your results.","")</f>
        <v>0</v>
      </c>
      <c r="F3143" s="4" t="s">
        <v>2452</v>
      </c>
    </row>
    <row r="3144" spans="1:6" ht="75" customHeight="1">
      <c r="A3144" t="s">
        <v>334</v>
      </c>
      <c r="B3144" t="s">
        <v>1608</v>
      </c>
      <c r="C3144" t="s">
        <v>1816</v>
      </c>
      <c r="D3144" t="s">
        <v>1808</v>
      </c>
      <c r="E3144" s="4">
        <f>IF(AND(Responses!$XM$1&lt;&gt;"",ISERROR(SEARCH("response id",LOWER(Responses!$XM$1))),(COUNTIF('Open Questions'!$A$2:$A$1001,"XM")+COUNTIF('Multiple Choice Questions'!$A$2:$A$1001,"XM")+COUNTIF('Hybrid Questions'!$A$2:$A$1001,"XM")+COUNTIF('Hybrid Questions'!$D$2:$D$1001,"XM")+COUNTIF('Demographics'!$A$2:$A$1001,"XM"))=0),"Responses column XM ("""&amp;Responses!$XM$1&amp;""") has data, but no question or demographic is set up to use it — so it won't appear in your results.","")</f>
        <v>0</v>
      </c>
      <c r="F3144" s="4" t="s">
        <v>2453</v>
      </c>
    </row>
    <row r="3145" spans="1:6" ht="75" customHeight="1">
      <c r="A3145" t="s">
        <v>334</v>
      </c>
      <c r="B3145" t="s">
        <v>1610</v>
      </c>
      <c r="C3145" t="s">
        <v>1816</v>
      </c>
      <c r="D3145" t="s">
        <v>1808</v>
      </c>
      <c r="E3145" s="4">
        <f>IF(AND(Responses!$XN$1&lt;&gt;"",ISERROR(SEARCH("response id",LOWER(Responses!$XN$1))),(COUNTIF('Open Questions'!$A$2:$A$1001,"XN")+COUNTIF('Multiple Choice Questions'!$A$2:$A$1001,"XN")+COUNTIF('Hybrid Questions'!$A$2:$A$1001,"XN")+COUNTIF('Hybrid Questions'!$D$2:$D$1001,"XN")+COUNTIF('Demographics'!$A$2:$A$1001,"XN"))=0),"Responses column XN ("""&amp;Responses!$XN$1&amp;""") has data, but no question or demographic is set up to use it — so it won't appear in your results.","")</f>
        <v>0</v>
      </c>
      <c r="F3145" s="4" t="s">
        <v>2454</v>
      </c>
    </row>
    <row r="3146" spans="1:6" ht="75" customHeight="1">
      <c r="A3146" t="s">
        <v>334</v>
      </c>
      <c r="B3146" t="s">
        <v>1612</v>
      </c>
      <c r="C3146" t="s">
        <v>1816</v>
      </c>
      <c r="D3146" t="s">
        <v>1808</v>
      </c>
      <c r="E3146" s="4">
        <f>IF(AND(Responses!$XO$1&lt;&gt;"",ISERROR(SEARCH("response id",LOWER(Responses!$XO$1))),(COUNTIF('Open Questions'!$A$2:$A$1001,"XO")+COUNTIF('Multiple Choice Questions'!$A$2:$A$1001,"XO")+COUNTIF('Hybrid Questions'!$A$2:$A$1001,"XO")+COUNTIF('Hybrid Questions'!$D$2:$D$1001,"XO")+COUNTIF('Demographics'!$A$2:$A$1001,"XO"))=0),"Responses column XO ("""&amp;Responses!$XO$1&amp;""") has data, but no question or demographic is set up to use it — so it won't appear in your results.","")</f>
        <v>0</v>
      </c>
      <c r="F3146" s="4" t="s">
        <v>2455</v>
      </c>
    </row>
    <row r="3147" spans="1:6" ht="75" customHeight="1">
      <c r="A3147" t="s">
        <v>334</v>
      </c>
      <c r="B3147" t="s">
        <v>1614</v>
      </c>
      <c r="C3147" t="s">
        <v>1816</v>
      </c>
      <c r="D3147" t="s">
        <v>1808</v>
      </c>
      <c r="E3147" s="4">
        <f>IF(AND(Responses!$XP$1&lt;&gt;"",ISERROR(SEARCH("response id",LOWER(Responses!$XP$1))),(COUNTIF('Open Questions'!$A$2:$A$1001,"XP")+COUNTIF('Multiple Choice Questions'!$A$2:$A$1001,"XP")+COUNTIF('Hybrid Questions'!$A$2:$A$1001,"XP")+COUNTIF('Hybrid Questions'!$D$2:$D$1001,"XP")+COUNTIF('Demographics'!$A$2:$A$1001,"XP"))=0),"Responses column XP ("""&amp;Responses!$XP$1&amp;""") has data, but no question or demographic is set up to use it — so it won't appear in your results.","")</f>
        <v>0</v>
      </c>
      <c r="F3147" s="4" t="s">
        <v>2456</v>
      </c>
    </row>
    <row r="3148" spans="1:6" ht="75" customHeight="1">
      <c r="A3148" t="s">
        <v>334</v>
      </c>
      <c r="B3148" t="s">
        <v>1616</v>
      </c>
      <c r="C3148" t="s">
        <v>1816</v>
      </c>
      <c r="D3148" t="s">
        <v>1808</v>
      </c>
      <c r="E3148" s="4">
        <f>IF(AND(Responses!$XQ$1&lt;&gt;"",ISERROR(SEARCH("response id",LOWER(Responses!$XQ$1))),(COUNTIF('Open Questions'!$A$2:$A$1001,"XQ")+COUNTIF('Multiple Choice Questions'!$A$2:$A$1001,"XQ")+COUNTIF('Hybrid Questions'!$A$2:$A$1001,"XQ")+COUNTIF('Hybrid Questions'!$D$2:$D$1001,"XQ")+COUNTIF('Demographics'!$A$2:$A$1001,"XQ"))=0),"Responses column XQ ("""&amp;Responses!$XQ$1&amp;""") has data, but no question or demographic is set up to use it — so it won't appear in your results.","")</f>
        <v>0</v>
      </c>
      <c r="F3148" s="4" t="s">
        <v>2457</v>
      </c>
    </row>
    <row r="3149" spans="1:6" ht="75" customHeight="1">
      <c r="A3149" t="s">
        <v>334</v>
      </c>
      <c r="B3149" t="s">
        <v>1618</v>
      </c>
      <c r="C3149" t="s">
        <v>1816</v>
      </c>
      <c r="D3149" t="s">
        <v>1808</v>
      </c>
      <c r="E3149" s="4">
        <f>IF(AND(Responses!$XR$1&lt;&gt;"",ISERROR(SEARCH("response id",LOWER(Responses!$XR$1))),(COUNTIF('Open Questions'!$A$2:$A$1001,"XR")+COUNTIF('Multiple Choice Questions'!$A$2:$A$1001,"XR")+COUNTIF('Hybrid Questions'!$A$2:$A$1001,"XR")+COUNTIF('Hybrid Questions'!$D$2:$D$1001,"XR")+COUNTIF('Demographics'!$A$2:$A$1001,"XR"))=0),"Responses column XR ("""&amp;Responses!$XR$1&amp;""") has data, but no question or demographic is set up to use it — so it won't appear in your results.","")</f>
        <v>0</v>
      </c>
      <c r="F3149" s="4" t="s">
        <v>2458</v>
      </c>
    </row>
    <row r="3150" spans="1:6" ht="75" customHeight="1">
      <c r="A3150" t="s">
        <v>334</v>
      </c>
      <c r="B3150" t="s">
        <v>1620</v>
      </c>
      <c r="C3150" t="s">
        <v>1816</v>
      </c>
      <c r="D3150" t="s">
        <v>1808</v>
      </c>
      <c r="E3150" s="4">
        <f>IF(AND(Responses!$XS$1&lt;&gt;"",ISERROR(SEARCH("response id",LOWER(Responses!$XS$1))),(COUNTIF('Open Questions'!$A$2:$A$1001,"XS")+COUNTIF('Multiple Choice Questions'!$A$2:$A$1001,"XS")+COUNTIF('Hybrid Questions'!$A$2:$A$1001,"XS")+COUNTIF('Hybrid Questions'!$D$2:$D$1001,"XS")+COUNTIF('Demographics'!$A$2:$A$1001,"XS"))=0),"Responses column XS ("""&amp;Responses!$XS$1&amp;""") has data, but no question or demographic is set up to use it — so it won't appear in your results.","")</f>
        <v>0</v>
      </c>
      <c r="F3150" s="4" t="s">
        <v>2459</v>
      </c>
    </row>
    <row r="3151" spans="1:6" ht="75" customHeight="1">
      <c r="A3151" t="s">
        <v>334</v>
      </c>
      <c r="B3151" t="s">
        <v>1622</v>
      </c>
      <c r="C3151" t="s">
        <v>1816</v>
      </c>
      <c r="D3151" t="s">
        <v>1808</v>
      </c>
      <c r="E3151" s="4">
        <f>IF(AND(Responses!$XT$1&lt;&gt;"",ISERROR(SEARCH("response id",LOWER(Responses!$XT$1))),(COUNTIF('Open Questions'!$A$2:$A$1001,"XT")+COUNTIF('Multiple Choice Questions'!$A$2:$A$1001,"XT")+COUNTIF('Hybrid Questions'!$A$2:$A$1001,"XT")+COUNTIF('Hybrid Questions'!$D$2:$D$1001,"XT")+COUNTIF('Demographics'!$A$2:$A$1001,"XT"))=0),"Responses column XT ("""&amp;Responses!$XT$1&amp;""") has data, but no question or demographic is set up to use it — so it won't appear in your results.","")</f>
        <v>0</v>
      </c>
      <c r="F3151" s="4" t="s">
        <v>2460</v>
      </c>
    </row>
    <row r="3152" spans="1:6" ht="75" customHeight="1">
      <c r="A3152" t="s">
        <v>334</v>
      </c>
      <c r="B3152" t="s">
        <v>1624</v>
      </c>
      <c r="C3152" t="s">
        <v>1816</v>
      </c>
      <c r="D3152" t="s">
        <v>1808</v>
      </c>
      <c r="E3152" s="4">
        <f>IF(AND(Responses!$XU$1&lt;&gt;"",ISERROR(SEARCH("response id",LOWER(Responses!$XU$1))),(COUNTIF('Open Questions'!$A$2:$A$1001,"XU")+COUNTIF('Multiple Choice Questions'!$A$2:$A$1001,"XU")+COUNTIF('Hybrid Questions'!$A$2:$A$1001,"XU")+COUNTIF('Hybrid Questions'!$D$2:$D$1001,"XU")+COUNTIF('Demographics'!$A$2:$A$1001,"XU"))=0),"Responses column XU ("""&amp;Responses!$XU$1&amp;""") has data, but no question or demographic is set up to use it — so it won't appear in your results.","")</f>
        <v>0</v>
      </c>
      <c r="F3152" s="4" t="s">
        <v>2461</v>
      </c>
    </row>
    <row r="3153" spans="1:6" ht="75" customHeight="1">
      <c r="A3153" t="s">
        <v>334</v>
      </c>
      <c r="B3153" t="s">
        <v>1626</v>
      </c>
      <c r="C3153" t="s">
        <v>1816</v>
      </c>
      <c r="D3153" t="s">
        <v>1808</v>
      </c>
      <c r="E3153" s="4">
        <f>IF(AND(Responses!$XV$1&lt;&gt;"",ISERROR(SEARCH("response id",LOWER(Responses!$XV$1))),(COUNTIF('Open Questions'!$A$2:$A$1001,"XV")+COUNTIF('Multiple Choice Questions'!$A$2:$A$1001,"XV")+COUNTIF('Hybrid Questions'!$A$2:$A$1001,"XV")+COUNTIF('Hybrid Questions'!$D$2:$D$1001,"XV")+COUNTIF('Demographics'!$A$2:$A$1001,"XV"))=0),"Responses column XV ("""&amp;Responses!$XV$1&amp;""") has data, but no question or demographic is set up to use it — so it won't appear in your results.","")</f>
        <v>0</v>
      </c>
      <c r="F3153" s="4" t="s">
        <v>2462</v>
      </c>
    </row>
    <row r="3154" spans="1:6" ht="75" customHeight="1">
      <c r="A3154" t="s">
        <v>334</v>
      </c>
      <c r="B3154" t="s">
        <v>1628</v>
      </c>
      <c r="C3154" t="s">
        <v>1816</v>
      </c>
      <c r="D3154" t="s">
        <v>1808</v>
      </c>
      <c r="E3154" s="4">
        <f>IF(AND(Responses!$XW$1&lt;&gt;"",ISERROR(SEARCH("response id",LOWER(Responses!$XW$1))),(COUNTIF('Open Questions'!$A$2:$A$1001,"XW")+COUNTIF('Multiple Choice Questions'!$A$2:$A$1001,"XW")+COUNTIF('Hybrid Questions'!$A$2:$A$1001,"XW")+COUNTIF('Hybrid Questions'!$D$2:$D$1001,"XW")+COUNTIF('Demographics'!$A$2:$A$1001,"XW"))=0),"Responses column XW ("""&amp;Responses!$XW$1&amp;""") has data, but no question or demographic is set up to use it — so it won't appear in your results.","")</f>
        <v>0</v>
      </c>
      <c r="F3154" s="4" t="s">
        <v>2463</v>
      </c>
    </row>
    <row r="3155" spans="1:6" ht="75" customHeight="1">
      <c r="A3155" t="s">
        <v>334</v>
      </c>
      <c r="B3155" t="s">
        <v>1630</v>
      </c>
      <c r="C3155" t="s">
        <v>1816</v>
      </c>
      <c r="D3155" t="s">
        <v>1808</v>
      </c>
      <c r="E3155" s="4">
        <f>IF(AND(Responses!$XX$1&lt;&gt;"",ISERROR(SEARCH("response id",LOWER(Responses!$XX$1))),(COUNTIF('Open Questions'!$A$2:$A$1001,"XX")+COUNTIF('Multiple Choice Questions'!$A$2:$A$1001,"XX")+COUNTIF('Hybrid Questions'!$A$2:$A$1001,"XX")+COUNTIF('Hybrid Questions'!$D$2:$D$1001,"XX")+COUNTIF('Demographics'!$A$2:$A$1001,"XX"))=0),"Responses column XX ("""&amp;Responses!$XX$1&amp;""") has data, but no question or demographic is set up to use it — so it won't appear in your results.","")</f>
        <v>0</v>
      </c>
      <c r="F3155" s="4" t="s">
        <v>2464</v>
      </c>
    </row>
    <row r="3156" spans="1:6" ht="75" customHeight="1">
      <c r="A3156" t="s">
        <v>334</v>
      </c>
      <c r="B3156" t="s">
        <v>1632</v>
      </c>
      <c r="C3156" t="s">
        <v>1816</v>
      </c>
      <c r="D3156" t="s">
        <v>1808</v>
      </c>
      <c r="E3156" s="4">
        <f>IF(AND(Responses!$XY$1&lt;&gt;"",ISERROR(SEARCH("response id",LOWER(Responses!$XY$1))),(COUNTIF('Open Questions'!$A$2:$A$1001,"XY")+COUNTIF('Multiple Choice Questions'!$A$2:$A$1001,"XY")+COUNTIF('Hybrid Questions'!$A$2:$A$1001,"XY")+COUNTIF('Hybrid Questions'!$D$2:$D$1001,"XY")+COUNTIF('Demographics'!$A$2:$A$1001,"XY"))=0),"Responses column XY ("""&amp;Responses!$XY$1&amp;""") has data, but no question or demographic is set up to use it — so it won't appear in your results.","")</f>
        <v>0</v>
      </c>
      <c r="F3156" s="4" t="s">
        <v>2465</v>
      </c>
    </row>
    <row r="3157" spans="1:6" ht="75" customHeight="1">
      <c r="A3157" t="s">
        <v>334</v>
      </c>
      <c r="B3157" t="s">
        <v>1634</v>
      </c>
      <c r="C3157" t="s">
        <v>1816</v>
      </c>
      <c r="D3157" t="s">
        <v>1808</v>
      </c>
      <c r="E3157" s="4">
        <f>IF(AND(Responses!$XZ$1&lt;&gt;"",ISERROR(SEARCH("response id",LOWER(Responses!$XZ$1))),(COUNTIF('Open Questions'!$A$2:$A$1001,"XZ")+COUNTIF('Multiple Choice Questions'!$A$2:$A$1001,"XZ")+COUNTIF('Hybrid Questions'!$A$2:$A$1001,"XZ")+COUNTIF('Hybrid Questions'!$D$2:$D$1001,"XZ")+COUNTIF('Demographics'!$A$2:$A$1001,"XZ"))=0),"Responses column XZ ("""&amp;Responses!$XZ$1&amp;""") has data, but no question or demographic is set up to use it — so it won't appear in your results.","")</f>
        <v>0</v>
      </c>
      <c r="F3157" s="4" t="s">
        <v>2466</v>
      </c>
    </row>
    <row r="3158" spans="1:6" ht="75" customHeight="1">
      <c r="A3158" t="s">
        <v>334</v>
      </c>
      <c r="B3158" t="s">
        <v>1636</v>
      </c>
      <c r="C3158" t="s">
        <v>1816</v>
      </c>
      <c r="D3158" t="s">
        <v>1808</v>
      </c>
      <c r="E3158" s="4">
        <f>IF(AND(Responses!$YA$1&lt;&gt;"",ISERROR(SEARCH("response id",LOWER(Responses!$YA$1))),(COUNTIF('Open Questions'!$A$2:$A$1001,"YA")+COUNTIF('Multiple Choice Questions'!$A$2:$A$1001,"YA")+COUNTIF('Hybrid Questions'!$A$2:$A$1001,"YA")+COUNTIF('Hybrid Questions'!$D$2:$D$1001,"YA")+COUNTIF('Demographics'!$A$2:$A$1001,"YA"))=0),"Responses column YA ("""&amp;Responses!$YA$1&amp;""") has data, but no question or demographic is set up to use it — so it won't appear in your results.","")</f>
        <v>0</v>
      </c>
      <c r="F3158" s="4" t="s">
        <v>2467</v>
      </c>
    </row>
    <row r="3159" spans="1:6" ht="75" customHeight="1">
      <c r="A3159" t="s">
        <v>334</v>
      </c>
      <c r="B3159" t="s">
        <v>1638</v>
      </c>
      <c r="C3159" t="s">
        <v>1816</v>
      </c>
      <c r="D3159" t="s">
        <v>1808</v>
      </c>
      <c r="E3159" s="4">
        <f>IF(AND(Responses!$YB$1&lt;&gt;"",ISERROR(SEARCH("response id",LOWER(Responses!$YB$1))),(COUNTIF('Open Questions'!$A$2:$A$1001,"YB")+COUNTIF('Multiple Choice Questions'!$A$2:$A$1001,"YB")+COUNTIF('Hybrid Questions'!$A$2:$A$1001,"YB")+COUNTIF('Hybrid Questions'!$D$2:$D$1001,"YB")+COUNTIF('Demographics'!$A$2:$A$1001,"YB"))=0),"Responses column YB ("""&amp;Responses!$YB$1&amp;""") has data, but no question or demographic is set up to use it — so it won't appear in your results.","")</f>
        <v>0</v>
      </c>
      <c r="F3159" s="4" t="s">
        <v>2468</v>
      </c>
    </row>
    <row r="3160" spans="1:6" ht="75" customHeight="1">
      <c r="A3160" t="s">
        <v>334</v>
      </c>
      <c r="B3160" t="s">
        <v>1640</v>
      </c>
      <c r="C3160" t="s">
        <v>1816</v>
      </c>
      <c r="D3160" t="s">
        <v>1808</v>
      </c>
      <c r="E3160" s="4">
        <f>IF(AND(Responses!$YC$1&lt;&gt;"",ISERROR(SEARCH("response id",LOWER(Responses!$YC$1))),(COUNTIF('Open Questions'!$A$2:$A$1001,"YC")+COUNTIF('Multiple Choice Questions'!$A$2:$A$1001,"YC")+COUNTIF('Hybrid Questions'!$A$2:$A$1001,"YC")+COUNTIF('Hybrid Questions'!$D$2:$D$1001,"YC")+COUNTIF('Demographics'!$A$2:$A$1001,"YC"))=0),"Responses column YC ("""&amp;Responses!$YC$1&amp;""") has data, but no question or demographic is set up to use it — so it won't appear in your results.","")</f>
        <v>0</v>
      </c>
      <c r="F3160" s="4" t="s">
        <v>2469</v>
      </c>
    </row>
    <row r="3161" spans="1:6" ht="75" customHeight="1">
      <c r="A3161" t="s">
        <v>334</v>
      </c>
      <c r="B3161" t="s">
        <v>1642</v>
      </c>
      <c r="C3161" t="s">
        <v>1816</v>
      </c>
      <c r="D3161" t="s">
        <v>1808</v>
      </c>
      <c r="E3161" s="4">
        <f>IF(AND(Responses!$YD$1&lt;&gt;"",ISERROR(SEARCH("response id",LOWER(Responses!$YD$1))),(COUNTIF('Open Questions'!$A$2:$A$1001,"YD")+COUNTIF('Multiple Choice Questions'!$A$2:$A$1001,"YD")+COUNTIF('Hybrid Questions'!$A$2:$A$1001,"YD")+COUNTIF('Hybrid Questions'!$D$2:$D$1001,"YD")+COUNTIF('Demographics'!$A$2:$A$1001,"YD"))=0),"Responses column YD ("""&amp;Responses!$YD$1&amp;""") has data, but no question or demographic is set up to use it — so it won't appear in your results.","")</f>
        <v>0</v>
      </c>
      <c r="F3161" s="4" t="s">
        <v>2470</v>
      </c>
    </row>
    <row r="3162" spans="1:6" ht="75" customHeight="1">
      <c r="A3162" t="s">
        <v>334</v>
      </c>
      <c r="B3162" t="s">
        <v>1644</v>
      </c>
      <c r="C3162" t="s">
        <v>1816</v>
      </c>
      <c r="D3162" t="s">
        <v>1808</v>
      </c>
      <c r="E3162" s="4">
        <f>IF(AND(Responses!$YE$1&lt;&gt;"",ISERROR(SEARCH("response id",LOWER(Responses!$YE$1))),(COUNTIF('Open Questions'!$A$2:$A$1001,"YE")+COUNTIF('Multiple Choice Questions'!$A$2:$A$1001,"YE")+COUNTIF('Hybrid Questions'!$A$2:$A$1001,"YE")+COUNTIF('Hybrid Questions'!$D$2:$D$1001,"YE")+COUNTIF('Demographics'!$A$2:$A$1001,"YE"))=0),"Responses column YE ("""&amp;Responses!$YE$1&amp;""") has data, but no question or demographic is set up to use it — so it won't appear in your results.","")</f>
        <v>0</v>
      </c>
      <c r="F3162" s="4" t="s">
        <v>2471</v>
      </c>
    </row>
    <row r="3163" spans="1:6" ht="75" customHeight="1">
      <c r="A3163" t="s">
        <v>334</v>
      </c>
      <c r="B3163" t="s">
        <v>1646</v>
      </c>
      <c r="C3163" t="s">
        <v>1816</v>
      </c>
      <c r="D3163" t="s">
        <v>1808</v>
      </c>
      <c r="E3163" s="4">
        <f>IF(AND(Responses!$YF$1&lt;&gt;"",ISERROR(SEARCH("response id",LOWER(Responses!$YF$1))),(COUNTIF('Open Questions'!$A$2:$A$1001,"YF")+COUNTIF('Multiple Choice Questions'!$A$2:$A$1001,"YF")+COUNTIF('Hybrid Questions'!$A$2:$A$1001,"YF")+COUNTIF('Hybrid Questions'!$D$2:$D$1001,"YF")+COUNTIF('Demographics'!$A$2:$A$1001,"YF"))=0),"Responses column YF ("""&amp;Responses!$YF$1&amp;""") has data, but no question or demographic is set up to use it — so it won't appear in your results.","")</f>
        <v>0</v>
      </c>
      <c r="F3163" s="4" t="s">
        <v>2472</v>
      </c>
    </row>
    <row r="3164" spans="1:6" ht="75" customHeight="1">
      <c r="A3164" t="s">
        <v>334</v>
      </c>
      <c r="B3164" t="s">
        <v>1648</v>
      </c>
      <c r="C3164" t="s">
        <v>1816</v>
      </c>
      <c r="D3164" t="s">
        <v>1808</v>
      </c>
      <c r="E3164" s="4">
        <f>IF(AND(Responses!$YG$1&lt;&gt;"",ISERROR(SEARCH("response id",LOWER(Responses!$YG$1))),(COUNTIF('Open Questions'!$A$2:$A$1001,"YG")+COUNTIF('Multiple Choice Questions'!$A$2:$A$1001,"YG")+COUNTIF('Hybrid Questions'!$A$2:$A$1001,"YG")+COUNTIF('Hybrid Questions'!$D$2:$D$1001,"YG")+COUNTIF('Demographics'!$A$2:$A$1001,"YG"))=0),"Responses column YG ("""&amp;Responses!$YG$1&amp;""") has data, but no question or demographic is set up to use it — so it won't appear in your results.","")</f>
        <v>0</v>
      </c>
      <c r="F3164" s="4" t="s">
        <v>2473</v>
      </c>
    </row>
    <row r="3165" spans="1:6" ht="75" customHeight="1">
      <c r="A3165" t="s">
        <v>334</v>
      </c>
      <c r="B3165" t="s">
        <v>1650</v>
      </c>
      <c r="C3165" t="s">
        <v>1816</v>
      </c>
      <c r="D3165" t="s">
        <v>1808</v>
      </c>
      <c r="E3165" s="4">
        <f>IF(AND(Responses!$YH$1&lt;&gt;"",ISERROR(SEARCH("response id",LOWER(Responses!$YH$1))),(COUNTIF('Open Questions'!$A$2:$A$1001,"YH")+COUNTIF('Multiple Choice Questions'!$A$2:$A$1001,"YH")+COUNTIF('Hybrid Questions'!$A$2:$A$1001,"YH")+COUNTIF('Hybrid Questions'!$D$2:$D$1001,"YH")+COUNTIF('Demographics'!$A$2:$A$1001,"YH"))=0),"Responses column YH ("""&amp;Responses!$YH$1&amp;""") has data, but no question or demographic is set up to use it — so it won't appear in your results.","")</f>
        <v>0</v>
      </c>
      <c r="F3165" s="4" t="s">
        <v>2474</v>
      </c>
    </row>
    <row r="3166" spans="1:6" ht="75" customHeight="1">
      <c r="A3166" t="s">
        <v>334</v>
      </c>
      <c r="B3166" t="s">
        <v>1652</v>
      </c>
      <c r="C3166" t="s">
        <v>1816</v>
      </c>
      <c r="D3166" t="s">
        <v>1808</v>
      </c>
      <c r="E3166" s="4">
        <f>IF(AND(Responses!$YI$1&lt;&gt;"",ISERROR(SEARCH("response id",LOWER(Responses!$YI$1))),(COUNTIF('Open Questions'!$A$2:$A$1001,"YI")+COUNTIF('Multiple Choice Questions'!$A$2:$A$1001,"YI")+COUNTIF('Hybrid Questions'!$A$2:$A$1001,"YI")+COUNTIF('Hybrid Questions'!$D$2:$D$1001,"YI")+COUNTIF('Demographics'!$A$2:$A$1001,"YI"))=0),"Responses column YI ("""&amp;Responses!$YI$1&amp;""") has data, but no question or demographic is set up to use it — so it won't appear in your results.","")</f>
        <v>0</v>
      </c>
      <c r="F3166" s="4" t="s">
        <v>2475</v>
      </c>
    </row>
    <row r="3167" spans="1:6" ht="75" customHeight="1">
      <c r="A3167" t="s">
        <v>334</v>
      </c>
      <c r="B3167" t="s">
        <v>1654</v>
      </c>
      <c r="C3167" t="s">
        <v>1816</v>
      </c>
      <c r="D3167" t="s">
        <v>1808</v>
      </c>
      <c r="E3167" s="4">
        <f>IF(AND(Responses!$YJ$1&lt;&gt;"",ISERROR(SEARCH("response id",LOWER(Responses!$YJ$1))),(COUNTIF('Open Questions'!$A$2:$A$1001,"YJ")+COUNTIF('Multiple Choice Questions'!$A$2:$A$1001,"YJ")+COUNTIF('Hybrid Questions'!$A$2:$A$1001,"YJ")+COUNTIF('Hybrid Questions'!$D$2:$D$1001,"YJ")+COUNTIF('Demographics'!$A$2:$A$1001,"YJ"))=0),"Responses column YJ ("""&amp;Responses!$YJ$1&amp;""") has data, but no question or demographic is set up to use it — so it won't appear in your results.","")</f>
        <v>0</v>
      </c>
      <c r="F3167" s="4" t="s">
        <v>2476</v>
      </c>
    </row>
    <row r="3168" spans="1:6" ht="75" customHeight="1">
      <c r="A3168" t="s">
        <v>334</v>
      </c>
      <c r="B3168" t="s">
        <v>1656</v>
      </c>
      <c r="C3168" t="s">
        <v>1816</v>
      </c>
      <c r="D3168" t="s">
        <v>1808</v>
      </c>
      <c r="E3168" s="4">
        <f>IF(AND(Responses!$YK$1&lt;&gt;"",ISERROR(SEARCH("response id",LOWER(Responses!$YK$1))),(COUNTIF('Open Questions'!$A$2:$A$1001,"YK")+COUNTIF('Multiple Choice Questions'!$A$2:$A$1001,"YK")+COUNTIF('Hybrid Questions'!$A$2:$A$1001,"YK")+COUNTIF('Hybrid Questions'!$D$2:$D$1001,"YK")+COUNTIF('Demographics'!$A$2:$A$1001,"YK"))=0),"Responses column YK ("""&amp;Responses!$YK$1&amp;""") has data, but no question or demographic is set up to use it — so it won't appear in your results.","")</f>
        <v>0</v>
      </c>
      <c r="F3168" s="4" t="s">
        <v>2477</v>
      </c>
    </row>
    <row r="3169" spans="1:6" ht="75" customHeight="1">
      <c r="A3169" t="s">
        <v>334</v>
      </c>
      <c r="B3169" t="s">
        <v>1658</v>
      </c>
      <c r="C3169" t="s">
        <v>1816</v>
      </c>
      <c r="D3169" t="s">
        <v>1808</v>
      </c>
      <c r="E3169" s="4">
        <f>IF(AND(Responses!$YL$1&lt;&gt;"",ISERROR(SEARCH("response id",LOWER(Responses!$YL$1))),(COUNTIF('Open Questions'!$A$2:$A$1001,"YL")+COUNTIF('Multiple Choice Questions'!$A$2:$A$1001,"YL")+COUNTIF('Hybrid Questions'!$A$2:$A$1001,"YL")+COUNTIF('Hybrid Questions'!$D$2:$D$1001,"YL")+COUNTIF('Demographics'!$A$2:$A$1001,"YL"))=0),"Responses column YL ("""&amp;Responses!$YL$1&amp;""") has data, but no question or demographic is set up to use it — so it won't appear in your results.","")</f>
        <v>0</v>
      </c>
      <c r="F3169" s="4" t="s">
        <v>2478</v>
      </c>
    </row>
    <row r="3170" spans="1:6" ht="75" customHeight="1">
      <c r="A3170" t="s">
        <v>334</v>
      </c>
      <c r="B3170" t="s">
        <v>1660</v>
      </c>
      <c r="C3170" t="s">
        <v>1816</v>
      </c>
      <c r="D3170" t="s">
        <v>1808</v>
      </c>
      <c r="E3170" s="4">
        <f>IF(AND(Responses!$YM$1&lt;&gt;"",ISERROR(SEARCH("response id",LOWER(Responses!$YM$1))),(COUNTIF('Open Questions'!$A$2:$A$1001,"YM")+COUNTIF('Multiple Choice Questions'!$A$2:$A$1001,"YM")+COUNTIF('Hybrid Questions'!$A$2:$A$1001,"YM")+COUNTIF('Hybrid Questions'!$D$2:$D$1001,"YM")+COUNTIF('Demographics'!$A$2:$A$1001,"YM"))=0),"Responses column YM ("""&amp;Responses!$YM$1&amp;""") has data, but no question or demographic is set up to use it — so it won't appear in your results.","")</f>
        <v>0</v>
      </c>
      <c r="F3170" s="4" t="s">
        <v>2479</v>
      </c>
    </row>
    <row r="3171" spans="1:6" ht="75" customHeight="1">
      <c r="A3171" t="s">
        <v>334</v>
      </c>
      <c r="B3171" t="s">
        <v>1662</v>
      </c>
      <c r="C3171" t="s">
        <v>1816</v>
      </c>
      <c r="D3171" t="s">
        <v>1808</v>
      </c>
      <c r="E3171" s="4">
        <f>IF(AND(Responses!$YN$1&lt;&gt;"",ISERROR(SEARCH("response id",LOWER(Responses!$YN$1))),(COUNTIF('Open Questions'!$A$2:$A$1001,"YN")+COUNTIF('Multiple Choice Questions'!$A$2:$A$1001,"YN")+COUNTIF('Hybrid Questions'!$A$2:$A$1001,"YN")+COUNTIF('Hybrid Questions'!$D$2:$D$1001,"YN")+COUNTIF('Demographics'!$A$2:$A$1001,"YN"))=0),"Responses column YN ("""&amp;Responses!$YN$1&amp;""") has data, but no question or demographic is set up to use it — so it won't appear in your results.","")</f>
        <v>0</v>
      </c>
      <c r="F3171" s="4" t="s">
        <v>2480</v>
      </c>
    </row>
    <row r="3172" spans="1:6" ht="75" customHeight="1">
      <c r="A3172" t="s">
        <v>334</v>
      </c>
      <c r="B3172" t="s">
        <v>1664</v>
      </c>
      <c r="C3172" t="s">
        <v>1816</v>
      </c>
      <c r="D3172" t="s">
        <v>1808</v>
      </c>
      <c r="E3172" s="4">
        <f>IF(AND(Responses!$YO$1&lt;&gt;"",ISERROR(SEARCH("response id",LOWER(Responses!$YO$1))),(COUNTIF('Open Questions'!$A$2:$A$1001,"YO")+COUNTIF('Multiple Choice Questions'!$A$2:$A$1001,"YO")+COUNTIF('Hybrid Questions'!$A$2:$A$1001,"YO")+COUNTIF('Hybrid Questions'!$D$2:$D$1001,"YO")+COUNTIF('Demographics'!$A$2:$A$1001,"YO"))=0),"Responses column YO ("""&amp;Responses!$YO$1&amp;""") has data, but no question or demographic is set up to use it — so it won't appear in your results.","")</f>
        <v>0</v>
      </c>
      <c r="F3172" s="4" t="s">
        <v>2481</v>
      </c>
    </row>
    <row r="3173" spans="1:6" ht="75" customHeight="1">
      <c r="A3173" t="s">
        <v>334</v>
      </c>
      <c r="B3173" t="s">
        <v>1666</v>
      </c>
      <c r="C3173" t="s">
        <v>1816</v>
      </c>
      <c r="D3173" t="s">
        <v>1808</v>
      </c>
      <c r="E3173" s="4">
        <f>IF(AND(Responses!$YP$1&lt;&gt;"",ISERROR(SEARCH("response id",LOWER(Responses!$YP$1))),(COUNTIF('Open Questions'!$A$2:$A$1001,"YP")+COUNTIF('Multiple Choice Questions'!$A$2:$A$1001,"YP")+COUNTIF('Hybrid Questions'!$A$2:$A$1001,"YP")+COUNTIF('Hybrid Questions'!$D$2:$D$1001,"YP")+COUNTIF('Demographics'!$A$2:$A$1001,"YP"))=0),"Responses column YP ("""&amp;Responses!$YP$1&amp;""") has data, but no question or demographic is set up to use it — so it won't appear in your results.","")</f>
        <v>0</v>
      </c>
      <c r="F3173" s="4" t="s">
        <v>2482</v>
      </c>
    </row>
    <row r="3174" spans="1:6" ht="75" customHeight="1">
      <c r="A3174" t="s">
        <v>334</v>
      </c>
      <c r="B3174" t="s">
        <v>1668</v>
      </c>
      <c r="C3174" t="s">
        <v>1816</v>
      </c>
      <c r="D3174" t="s">
        <v>1808</v>
      </c>
      <c r="E3174" s="4">
        <f>IF(AND(Responses!$YQ$1&lt;&gt;"",ISERROR(SEARCH("response id",LOWER(Responses!$YQ$1))),(COUNTIF('Open Questions'!$A$2:$A$1001,"YQ")+COUNTIF('Multiple Choice Questions'!$A$2:$A$1001,"YQ")+COUNTIF('Hybrid Questions'!$A$2:$A$1001,"YQ")+COUNTIF('Hybrid Questions'!$D$2:$D$1001,"YQ")+COUNTIF('Demographics'!$A$2:$A$1001,"YQ"))=0),"Responses column YQ ("""&amp;Responses!$YQ$1&amp;""") has data, but no question or demographic is set up to use it — so it won't appear in your results.","")</f>
        <v>0</v>
      </c>
      <c r="F3174" s="4" t="s">
        <v>2483</v>
      </c>
    </row>
    <row r="3175" spans="1:6" ht="75" customHeight="1">
      <c r="A3175" t="s">
        <v>334</v>
      </c>
      <c r="B3175" t="s">
        <v>1670</v>
      </c>
      <c r="C3175" t="s">
        <v>1816</v>
      </c>
      <c r="D3175" t="s">
        <v>1808</v>
      </c>
      <c r="E3175" s="4">
        <f>IF(AND(Responses!$YR$1&lt;&gt;"",ISERROR(SEARCH("response id",LOWER(Responses!$YR$1))),(COUNTIF('Open Questions'!$A$2:$A$1001,"YR")+COUNTIF('Multiple Choice Questions'!$A$2:$A$1001,"YR")+COUNTIF('Hybrid Questions'!$A$2:$A$1001,"YR")+COUNTIF('Hybrid Questions'!$D$2:$D$1001,"YR")+COUNTIF('Demographics'!$A$2:$A$1001,"YR"))=0),"Responses column YR ("""&amp;Responses!$YR$1&amp;""") has data, but no question or demographic is set up to use it — so it won't appear in your results.","")</f>
        <v>0</v>
      </c>
      <c r="F3175" s="4" t="s">
        <v>2484</v>
      </c>
    </row>
    <row r="3176" spans="1:6" ht="75" customHeight="1">
      <c r="A3176" t="s">
        <v>334</v>
      </c>
      <c r="B3176" t="s">
        <v>1672</v>
      </c>
      <c r="C3176" t="s">
        <v>1816</v>
      </c>
      <c r="D3176" t="s">
        <v>1808</v>
      </c>
      <c r="E3176" s="4">
        <f>IF(AND(Responses!$YS$1&lt;&gt;"",ISERROR(SEARCH("response id",LOWER(Responses!$YS$1))),(COUNTIF('Open Questions'!$A$2:$A$1001,"YS")+COUNTIF('Multiple Choice Questions'!$A$2:$A$1001,"YS")+COUNTIF('Hybrid Questions'!$A$2:$A$1001,"YS")+COUNTIF('Hybrid Questions'!$D$2:$D$1001,"YS")+COUNTIF('Demographics'!$A$2:$A$1001,"YS"))=0),"Responses column YS ("""&amp;Responses!$YS$1&amp;""") has data, but no question or demographic is set up to use it — so it won't appear in your results.","")</f>
        <v>0</v>
      </c>
      <c r="F3176" s="4" t="s">
        <v>2485</v>
      </c>
    </row>
    <row r="3177" spans="1:6" ht="75" customHeight="1">
      <c r="A3177" t="s">
        <v>334</v>
      </c>
      <c r="B3177" t="s">
        <v>1674</v>
      </c>
      <c r="C3177" t="s">
        <v>1816</v>
      </c>
      <c r="D3177" t="s">
        <v>1808</v>
      </c>
      <c r="E3177" s="4">
        <f>IF(AND(Responses!$YT$1&lt;&gt;"",ISERROR(SEARCH("response id",LOWER(Responses!$YT$1))),(COUNTIF('Open Questions'!$A$2:$A$1001,"YT")+COUNTIF('Multiple Choice Questions'!$A$2:$A$1001,"YT")+COUNTIF('Hybrid Questions'!$A$2:$A$1001,"YT")+COUNTIF('Hybrid Questions'!$D$2:$D$1001,"YT")+COUNTIF('Demographics'!$A$2:$A$1001,"YT"))=0),"Responses column YT ("""&amp;Responses!$YT$1&amp;""") has data, but no question or demographic is set up to use it — so it won't appear in your results.","")</f>
        <v>0</v>
      </c>
      <c r="F3177" s="4" t="s">
        <v>2486</v>
      </c>
    </row>
    <row r="3178" spans="1:6" ht="75" customHeight="1">
      <c r="A3178" t="s">
        <v>334</v>
      </c>
      <c r="B3178" t="s">
        <v>1676</v>
      </c>
      <c r="C3178" t="s">
        <v>1816</v>
      </c>
      <c r="D3178" t="s">
        <v>1808</v>
      </c>
      <c r="E3178" s="4">
        <f>IF(AND(Responses!$YU$1&lt;&gt;"",ISERROR(SEARCH("response id",LOWER(Responses!$YU$1))),(COUNTIF('Open Questions'!$A$2:$A$1001,"YU")+COUNTIF('Multiple Choice Questions'!$A$2:$A$1001,"YU")+COUNTIF('Hybrid Questions'!$A$2:$A$1001,"YU")+COUNTIF('Hybrid Questions'!$D$2:$D$1001,"YU")+COUNTIF('Demographics'!$A$2:$A$1001,"YU"))=0),"Responses column YU ("""&amp;Responses!$YU$1&amp;""") has data, but no question or demographic is set up to use it — so it won't appear in your results.","")</f>
        <v>0</v>
      </c>
      <c r="F3178" s="4" t="s">
        <v>2487</v>
      </c>
    </row>
    <row r="3179" spans="1:6" ht="75" customHeight="1">
      <c r="A3179" t="s">
        <v>334</v>
      </c>
      <c r="B3179" t="s">
        <v>1678</v>
      </c>
      <c r="C3179" t="s">
        <v>1816</v>
      </c>
      <c r="D3179" t="s">
        <v>1808</v>
      </c>
      <c r="E3179" s="4">
        <f>IF(AND(Responses!$YV$1&lt;&gt;"",ISERROR(SEARCH("response id",LOWER(Responses!$YV$1))),(COUNTIF('Open Questions'!$A$2:$A$1001,"YV")+COUNTIF('Multiple Choice Questions'!$A$2:$A$1001,"YV")+COUNTIF('Hybrid Questions'!$A$2:$A$1001,"YV")+COUNTIF('Hybrid Questions'!$D$2:$D$1001,"YV")+COUNTIF('Demographics'!$A$2:$A$1001,"YV"))=0),"Responses column YV ("""&amp;Responses!$YV$1&amp;""") has data, but no question or demographic is set up to use it — so it won't appear in your results.","")</f>
        <v>0</v>
      </c>
      <c r="F3179" s="4" t="s">
        <v>2488</v>
      </c>
    </row>
    <row r="3180" spans="1:6" ht="75" customHeight="1">
      <c r="A3180" t="s">
        <v>334</v>
      </c>
      <c r="B3180" t="s">
        <v>1680</v>
      </c>
      <c r="C3180" t="s">
        <v>1816</v>
      </c>
      <c r="D3180" t="s">
        <v>1808</v>
      </c>
      <c r="E3180" s="4">
        <f>IF(AND(Responses!$YW$1&lt;&gt;"",ISERROR(SEARCH("response id",LOWER(Responses!$YW$1))),(COUNTIF('Open Questions'!$A$2:$A$1001,"YW")+COUNTIF('Multiple Choice Questions'!$A$2:$A$1001,"YW")+COUNTIF('Hybrid Questions'!$A$2:$A$1001,"YW")+COUNTIF('Hybrid Questions'!$D$2:$D$1001,"YW")+COUNTIF('Demographics'!$A$2:$A$1001,"YW"))=0),"Responses column YW ("""&amp;Responses!$YW$1&amp;""") has data, but no question or demographic is set up to use it — so it won't appear in your results.","")</f>
        <v>0</v>
      </c>
      <c r="F3180" s="4" t="s">
        <v>2489</v>
      </c>
    </row>
    <row r="3181" spans="1:6" ht="75" customHeight="1">
      <c r="A3181" t="s">
        <v>334</v>
      </c>
      <c r="B3181" t="s">
        <v>1682</v>
      </c>
      <c r="C3181" t="s">
        <v>1816</v>
      </c>
      <c r="D3181" t="s">
        <v>1808</v>
      </c>
      <c r="E3181" s="4">
        <f>IF(AND(Responses!$YX$1&lt;&gt;"",ISERROR(SEARCH("response id",LOWER(Responses!$YX$1))),(COUNTIF('Open Questions'!$A$2:$A$1001,"YX")+COUNTIF('Multiple Choice Questions'!$A$2:$A$1001,"YX")+COUNTIF('Hybrid Questions'!$A$2:$A$1001,"YX")+COUNTIF('Hybrid Questions'!$D$2:$D$1001,"YX")+COUNTIF('Demographics'!$A$2:$A$1001,"YX"))=0),"Responses column YX ("""&amp;Responses!$YX$1&amp;""") has data, but no question or demographic is set up to use it — so it won't appear in your results.","")</f>
        <v>0</v>
      </c>
      <c r="F3181" s="4" t="s">
        <v>2490</v>
      </c>
    </row>
    <row r="3182" spans="1:6" ht="75" customHeight="1">
      <c r="A3182" t="s">
        <v>334</v>
      </c>
      <c r="B3182" t="s">
        <v>1684</v>
      </c>
      <c r="C3182" t="s">
        <v>1816</v>
      </c>
      <c r="D3182" t="s">
        <v>1808</v>
      </c>
      <c r="E3182" s="4">
        <f>IF(AND(Responses!$YY$1&lt;&gt;"",ISERROR(SEARCH("response id",LOWER(Responses!$YY$1))),(COUNTIF('Open Questions'!$A$2:$A$1001,"YY")+COUNTIF('Multiple Choice Questions'!$A$2:$A$1001,"YY")+COUNTIF('Hybrid Questions'!$A$2:$A$1001,"YY")+COUNTIF('Hybrid Questions'!$D$2:$D$1001,"YY")+COUNTIF('Demographics'!$A$2:$A$1001,"YY"))=0),"Responses column YY ("""&amp;Responses!$YY$1&amp;""") has data, but no question or demographic is set up to use it — so it won't appear in your results.","")</f>
        <v>0</v>
      </c>
      <c r="F3182" s="4" t="s">
        <v>2491</v>
      </c>
    </row>
    <row r="3183" spans="1:6" ht="75" customHeight="1">
      <c r="A3183" t="s">
        <v>334</v>
      </c>
      <c r="B3183" t="s">
        <v>1686</v>
      </c>
      <c r="C3183" t="s">
        <v>1816</v>
      </c>
      <c r="D3183" t="s">
        <v>1808</v>
      </c>
      <c r="E3183" s="4">
        <f>IF(AND(Responses!$YZ$1&lt;&gt;"",ISERROR(SEARCH("response id",LOWER(Responses!$YZ$1))),(COUNTIF('Open Questions'!$A$2:$A$1001,"YZ")+COUNTIF('Multiple Choice Questions'!$A$2:$A$1001,"YZ")+COUNTIF('Hybrid Questions'!$A$2:$A$1001,"YZ")+COUNTIF('Hybrid Questions'!$D$2:$D$1001,"YZ")+COUNTIF('Demographics'!$A$2:$A$1001,"YZ"))=0),"Responses column YZ ("""&amp;Responses!$YZ$1&amp;""") has data, but no question or demographic is set up to use it — so it won't appear in your results.","")</f>
        <v>0</v>
      </c>
      <c r="F3183" s="4" t="s">
        <v>2492</v>
      </c>
    </row>
    <row r="3184" spans="1:6" ht="75" customHeight="1">
      <c r="A3184" t="s">
        <v>334</v>
      </c>
      <c r="B3184" t="s">
        <v>1688</v>
      </c>
      <c r="C3184" t="s">
        <v>1816</v>
      </c>
      <c r="D3184" t="s">
        <v>1808</v>
      </c>
      <c r="E3184" s="4">
        <f>IF(AND(Responses!$ZA$1&lt;&gt;"",ISERROR(SEARCH("response id",LOWER(Responses!$ZA$1))),(COUNTIF('Open Questions'!$A$2:$A$1001,"ZA")+COUNTIF('Multiple Choice Questions'!$A$2:$A$1001,"ZA")+COUNTIF('Hybrid Questions'!$A$2:$A$1001,"ZA")+COUNTIF('Hybrid Questions'!$D$2:$D$1001,"ZA")+COUNTIF('Demographics'!$A$2:$A$1001,"ZA"))=0),"Responses column ZA ("""&amp;Responses!$ZA$1&amp;""") has data, but no question or demographic is set up to use it — so it won't appear in your results.","")</f>
        <v>0</v>
      </c>
      <c r="F3184" s="4" t="s">
        <v>2493</v>
      </c>
    </row>
    <row r="3185" spans="1:6" ht="75" customHeight="1">
      <c r="A3185" t="s">
        <v>334</v>
      </c>
      <c r="B3185" t="s">
        <v>1690</v>
      </c>
      <c r="C3185" t="s">
        <v>1816</v>
      </c>
      <c r="D3185" t="s">
        <v>1808</v>
      </c>
      <c r="E3185" s="4">
        <f>IF(AND(Responses!$ZB$1&lt;&gt;"",ISERROR(SEARCH("response id",LOWER(Responses!$ZB$1))),(COUNTIF('Open Questions'!$A$2:$A$1001,"ZB")+COUNTIF('Multiple Choice Questions'!$A$2:$A$1001,"ZB")+COUNTIF('Hybrid Questions'!$A$2:$A$1001,"ZB")+COUNTIF('Hybrid Questions'!$D$2:$D$1001,"ZB")+COUNTIF('Demographics'!$A$2:$A$1001,"ZB"))=0),"Responses column ZB ("""&amp;Responses!$ZB$1&amp;""") has data, but no question or demographic is set up to use it — so it won't appear in your results.","")</f>
        <v>0</v>
      </c>
      <c r="F3185" s="4" t="s">
        <v>2494</v>
      </c>
    </row>
    <row r="3186" spans="1:6" ht="75" customHeight="1">
      <c r="A3186" t="s">
        <v>334</v>
      </c>
      <c r="B3186" t="s">
        <v>1692</v>
      </c>
      <c r="C3186" t="s">
        <v>1816</v>
      </c>
      <c r="D3186" t="s">
        <v>1808</v>
      </c>
      <c r="E3186" s="4">
        <f>IF(AND(Responses!$ZC$1&lt;&gt;"",ISERROR(SEARCH("response id",LOWER(Responses!$ZC$1))),(COUNTIF('Open Questions'!$A$2:$A$1001,"ZC")+COUNTIF('Multiple Choice Questions'!$A$2:$A$1001,"ZC")+COUNTIF('Hybrid Questions'!$A$2:$A$1001,"ZC")+COUNTIF('Hybrid Questions'!$D$2:$D$1001,"ZC")+COUNTIF('Demographics'!$A$2:$A$1001,"ZC"))=0),"Responses column ZC ("""&amp;Responses!$ZC$1&amp;""") has data, but no question or demographic is set up to use it — so it won't appear in your results.","")</f>
        <v>0</v>
      </c>
      <c r="F3186" s="4" t="s">
        <v>2495</v>
      </c>
    </row>
    <row r="3187" spans="1:6" ht="75" customHeight="1">
      <c r="A3187" t="s">
        <v>334</v>
      </c>
      <c r="B3187" t="s">
        <v>1694</v>
      </c>
      <c r="C3187" t="s">
        <v>1816</v>
      </c>
      <c r="D3187" t="s">
        <v>1808</v>
      </c>
      <c r="E3187" s="4">
        <f>IF(AND(Responses!$ZD$1&lt;&gt;"",ISERROR(SEARCH("response id",LOWER(Responses!$ZD$1))),(COUNTIF('Open Questions'!$A$2:$A$1001,"ZD")+COUNTIF('Multiple Choice Questions'!$A$2:$A$1001,"ZD")+COUNTIF('Hybrid Questions'!$A$2:$A$1001,"ZD")+COUNTIF('Hybrid Questions'!$D$2:$D$1001,"ZD")+COUNTIF('Demographics'!$A$2:$A$1001,"ZD"))=0),"Responses column ZD ("""&amp;Responses!$ZD$1&amp;""") has data, but no question or demographic is set up to use it — so it won't appear in your results.","")</f>
        <v>0</v>
      </c>
      <c r="F3187" s="4" t="s">
        <v>2496</v>
      </c>
    </row>
    <row r="3188" spans="1:6" ht="75" customHeight="1">
      <c r="A3188" t="s">
        <v>334</v>
      </c>
      <c r="B3188" t="s">
        <v>1696</v>
      </c>
      <c r="C3188" t="s">
        <v>1816</v>
      </c>
      <c r="D3188" t="s">
        <v>1808</v>
      </c>
      <c r="E3188" s="4">
        <f>IF(AND(Responses!$ZE$1&lt;&gt;"",ISERROR(SEARCH("response id",LOWER(Responses!$ZE$1))),(COUNTIF('Open Questions'!$A$2:$A$1001,"ZE")+COUNTIF('Multiple Choice Questions'!$A$2:$A$1001,"ZE")+COUNTIF('Hybrid Questions'!$A$2:$A$1001,"ZE")+COUNTIF('Hybrid Questions'!$D$2:$D$1001,"ZE")+COUNTIF('Demographics'!$A$2:$A$1001,"ZE"))=0),"Responses column ZE ("""&amp;Responses!$ZE$1&amp;""") has data, but no question or demographic is set up to use it — so it won't appear in your results.","")</f>
        <v>0</v>
      </c>
      <c r="F3188" s="4" t="s">
        <v>2497</v>
      </c>
    </row>
    <row r="3189" spans="1:6" ht="75" customHeight="1">
      <c r="A3189" t="s">
        <v>334</v>
      </c>
      <c r="B3189" t="s">
        <v>1698</v>
      </c>
      <c r="C3189" t="s">
        <v>1816</v>
      </c>
      <c r="D3189" t="s">
        <v>1808</v>
      </c>
      <c r="E3189" s="4">
        <f>IF(AND(Responses!$ZF$1&lt;&gt;"",ISERROR(SEARCH("response id",LOWER(Responses!$ZF$1))),(COUNTIF('Open Questions'!$A$2:$A$1001,"ZF")+COUNTIF('Multiple Choice Questions'!$A$2:$A$1001,"ZF")+COUNTIF('Hybrid Questions'!$A$2:$A$1001,"ZF")+COUNTIF('Hybrid Questions'!$D$2:$D$1001,"ZF")+COUNTIF('Demographics'!$A$2:$A$1001,"ZF"))=0),"Responses column ZF ("""&amp;Responses!$ZF$1&amp;""") has data, but no question or demographic is set up to use it — so it won't appear in your results.","")</f>
        <v>0</v>
      </c>
      <c r="F3189" s="4" t="s">
        <v>2498</v>
      </c>
    </row>
    <row r="3190" spans="1:6" ht="75" customHeight="1">
      <c r="A3190" t="s">
        <v>334</v>
      </c>
      <c r="B3190" t="s">
        <v>1700</v>
      </c>
      <c r="C3190" t="s">
        <v>1816</v>
      </c>
      <c r="D3190" t="s">
        <v>1808</v>
      </c>
      <c r="E3190" s="4">
        <f>IF(AND(Responses!$ZG$1&lt;&gt;"",ISERROR(SEARCH("response id",LOWER(Responses!$ZG$1))),(COUNTIF('Open Questions'!$A$2:$A$1001,"ZG")+COUNTIF('Multiple Choice Questions'!$A$2:$A$1001,"ZG")+COUNTIF('Hybrid Questions'!$A$2:$A$1001,"ZG")+COUNTIF('Hybrid Questions'!$D$2:$D$1001,"ZG")+COUNTIF('Demographics'!$A$2:$A$1001,"ZG"))=0),"Responses column ZG ("""&amp;Responses!$ZG$1&amp;""") has data, but no question or demographic is set up to use it — so it won't appear in your results.","")</f>
        <v>0</v>
      </c>
      <c r="F3190" s="4" t="s">
        <v>2499</v>
      </c>
    </row>
    <row r="3191" spans="1:6" ht="75" customHeight="1">
      <c r="A3191" t="s">
        <v>334</v>
      </c>
      <c r="B3191" t="s">
        <v>1702</v>
      </c>
      <c r="C3191" t="s">
        <v>1816</v>
      </c>
      <c r="D3191" t="s">
        <v>1808</v>
      </c>
      <c r="E3191" s="4">
        <f>IF(AND(Responses!$ZH$1&lt;&gt;"",ISERROR(SEARCH("response id",LOWER(Responses!$ZH$1))),(COUNTIF('Open Questions'!$A$2:$A$1001,"ZH")+COUNTIF('Multiple Choice Questions'!$A$2:$A$1001,"ZH")+COUNTIF('Hybrid Questions'!$A$2:$A$1001,"ZH")+COUNTIF('Hybrid Questions'!$D$2:$D$1001,"ZH")+COUNTIF('Demographics'!$A$2:$A$1001,"ZH"))=0),"Responses column ZH ("""&amp;Responses!$ZH$1&amp;""") has data, but no question or demographic is set up to use it — so it won't appear in your results.","")</f>
        <v>0</v>
      </c>
      <c r="F3191" s="4" t="s">
        <v>2500</v>
      </c>
    </row>
    <row r="3192" spans="1:6" ht="75" customHeight="1">
      <c r="A3192" t="s">
        <v>334</v>
      </c>
      <c r="B3192" t="s">
        <v>1704</v>
      </c>
      <c r="C3192" t="s">
        <v>1816</v>
      </c>
      <c r="D3192" t="s">
        <v>1808</v>
      </c>
      <c r="E3192" s="4">
        <f>IF(AND(Responses!$ZI$1&lt;&gt;"",ISERROR(SEARCH("response id",LOWER(Responses!$ZI$1))),(COUNTIF('Open Questions'!$A$2:$A$1001,"ZI")+COUNTIF('Multiple Choice Questions'!$A$2:$A$1001,"ZI")+COUNTIF('Hybrid Questions'!$A$2:$A$1001,"ZI")+COUNTIF('Hybrid Questions'!$D$2:$D$1001,"ZI")+COUNTIF('Demographics'!$A$2:$A$1001,"ZI"))=0),"Responses column ZI ("""&amp;Responses!$ZI$1&amp;""") has data, but no question or demographic is set up to use it — so it won't appear in your results.","")</f>
        <v>0</v>
      </c>
      <c r="F3192" s="4" t="s">
        <v>2501</v>
      </c>
    </row>
    <row r="3193" spans="1:6" ht="75" customHeight="1">
      <c r="A3193" t="s">
        <v>334</v>
      </c>
      <c r="B3193" t="s">
        <v>1706</v>
      </c>
      <c r="C3193" t="s">
        <v>1816</v>
      </c>
      <c r="D3193" t="s">
        <v>1808</v>
      </c>
      <c r="E3193" s="4">
        <f>IF(AND(Responses!$ZJ$1&lt;&gt;"",ISERROR(SEARCH("response id",LOWER(Responses!$ZJ$1))),(COUNTIF('Open Questions'!$A$2:$A$1001,"ZJ")+COUNTIF('Multiple Choice Questions'!$A$2:$A$1001,"ZJ")+COUNTIF('Hybrid Questions'!$A$2:$A$1001,"ZJ")+COUNTIF('Hybrid Questions'!$D$2:$D$1001,"ZJ")+COUNTIF('Demographics'!$A$2:$A$1001,"ZJ"))=0),"Responses column ZJ ("""&amp;Responses!$ZJ$1&amp;""") has data, but no question or demographic is set up to use it — so it won't appear in your results.","")</f>
        <v>0</v>
      </c>
      <c r="F3193" s="4" t="s">
        <v>2502</v>
      </c>
    </row>
    <row r="3194" spans="1:6" ht="75" customHeight="1">
      <c r="A3194" t="s">
        <v>334</v>
      </c>
      <c r="B3194" t="s">
        <v>1708</v>
      </c>
      <c r="C3194" t="s">
        <v>1816</v>
      </c>
      <c r="D3194" t="s">
        <v>1808</v>
      </c>
      <c r="E3194" s="4">
        <f>IF(AND(Responses!$ZK$1&lt;&gt;"",ISERROR(SEARCH("response id",LOWER(Responses!$ZK$1))),(COUNTIF('Open Questions'!$A$2:$A$1001,"ZK")+COUNTIF('Multiple Choice Questions'!$A$2:$A$1001,"ZK")+COUNTIF('Hybrid Questions'!$A$2:$A$1001,"ZK")+COUNTIF('Hybrid Questions'!$D$2:$D$1001,"ZK")+COUNTIF('Demographics'!$A$2:$A$1001,"ZK"))=0),"Responses column ZK ("""&amp;Responses!$ZK$1&amp;""") has data, but no question or demographic is set up to use it — so it won't appear in your results.","")</f>
        <v>0</v>
      </c>
      <c r="F3194" s="4" t="s">
        <v>2503</v>
      </c>
    </row>
    <row r="3195" spans="1:6" ht="75" customHeight="1">
      <c r="A3195" t="s">
        <v>334</v>
      </c>
      <c r="B3195" t="s">
        <v>1710</v>
      </c>
      <c r="C3195" t="s">
        <v>1816</v>
      </c>
      <c r="D3195" t="s">
        <v>1808</v>
      </c>
      <c r="E3195" s="4">
        <f>IF(AND(Responses!$ZL$1&lt;&gt;"",ISERROR(SEARCH("response id",LOWER(Responses!$ZL$1))),(COUNTIF('Open Questions'!$A$2:$A$1001,"ZL")+COUNTIF('Multiple Choice Questions'!$A$2:$A$1001,"ZL")+COUNTIF('Hybrid Questions'!$A$2:$A$1001,"ZL")+COUNTIF('Hybrid Questions'!$D$2:$D$1001,"ZL")+COUNTIF('Demographics'!$A$2:$A$1001,"ZL"))=0),"Responses column ZL ("""&amp;Responses!$ZL$1&amp;""") has data, but no question or demographic is set up to use it — so it won't appear in your results.","")</f>
        <v>0</v>
      </c>
      <c r="F3195" s="4" t="s">
        <v>2504</v>
      </c>
    </row>
    <row r="3196" spans="1:6" ht="75" customHeight="1">
      <c r="A3196" t="s">
        <v>334</v>
      </c>
      <c r="B3196" t="s">
        <v>1712</v>
      </c>
      <c r="C3196" t="s">
        <v>1816</v>
      </c>
      <c r="D3196" t="s">
        <v>1808</v>
      </c>
      <c r="E3196" s="4">
        <f>IF(AND(Responses!$ZM$1&lt;&gt;"",ISERROR(SEARCH("response id",LOWER(Responses!$ZM$1))),(COUNTIF('Open Questions'!$A$2:$A$1001,"ZM")+COUNTIF('Multiple Choice Questions'!$A$2:$A$1001,"ZM")+COUNTIF('Hybrid Questions'!$A$2:$A$1001,"ZM")+COUNTIF('Hybrid Questions'!$D$2:$D$1001,"ZM")+COUNTIF('Demographics'!$A$2:$A$1001,"ZM"))=0),"Responses column ZM ("""&amp;Responses!$ZM$1&amp;""") has data, but no question or demographic is set up to use it — so it won't appear in your results.","")</f>
        <v>0</v>
      </c>
      <c r="F3196" s="4" t="s">
        <v>2505</v>
      </c>
    </row>
    <row r="3197" spans="1:6" ht="75" customHeight="1">
      <c r="A3197" t="s">
        <v>334</v>
      </c>
      <c r="B3197" t="s">
        <v>1714</v>
      </c>
      <c r="C3197" t="s">
        <v>1816</v>
      </c>
      <c r="D3197" t="s">
        <v>1808</v>
      </c>
      <c r="E3197" s="4">
        <f>IF(AND(Responses!$ZN$1&lt;&gt;"",ISERROR(SEARCH("response id",LOWER(Responses!$ZN$1))),(COUNTIF('Open Questions'!$A$2:$A$1001,"ZN")+COUNTIF('Multiple Choice Questions'!$A$2:$A$1001,"ZN")+COUNTIF('Hybrid Questions'!$A$2:$A$1001,"ZN")+COUNTIF('Hybrid Questions'!$D$2:$D$1001,"ZN")+COUNTIF('Demographics'!$A$2:$A$1001,"ZN"))=0),"Responses column ZN ("""&amp;Responses!$ZN$1&amp;""") has data, but no question or demographic is set up to use it — so it won't appear in your results.","")</f>
        <v>0</v>
      </c>
      <c r="F3197" s="4" t="s">
        <v>2506</v>
      </c>
    </row>
    <row r="3198" spans="1:6" ht="75" customHeight="1">
      <c r="A3198" t="s">
        <v>334</v>
      </c>
      <c r="B3198" t="s">
        <v>1716</v>
      </c>
      <c r="C3198" t="s">
        <v>1816</v>
      </c>
      <c r="D3198" t="s">
        <v>1808</v>
      </c>
      <c r="E3198" s="4">
        <f>IF(AND(Responses!$ZO$1&lt;&gt;"",ISERROR(SEARCH("response id",LOWER(Responses!$ZO$1))),(COUNTIF('Open Questions'!$A$2:$A$1001,"ZO")+COUNTIF('Multiple Choice Questions'!$A$2:$A$1001,"ZO")+COUNTIF('Hybrid Questions'!$A$2:$A$1001,"ZO")+COUNTIF('Hybrid Questions'!$D$2:$D$1001,"ZO")+COUNTIF('Demographics'!$A$2:$A$1001,"ZO"))=0),"Responses column ZO ("""&amp;Responses!$ZO$1&amp;""") has data, but no question or demographic is set up to use it — so it won't appear in your results.","")</f>
        <v>0</v>
      </c>
      <c r="F3198" s="4" t="s">
        <v>2507</v>
      </c>
    </row>
    <row r="3199" spans="1:6" ht="75" customHeight="1">
      <c r="A3199" t="s">
        <v>334</v>
      </c>
      <c r="B3199" t="s">
        <v>1718</v>
      </c>
      <c r="C3199" t="s">
        <v>1816</v>
      </c>
      <c r="D3199" t="s">
        <v>1808</v>
      </c>
      <c r="E3199" s="4">
        <f>IF(AND(Responses!$ZP$1&lt;&gt;"",ISERROR(SEARCH("response id",LOWER(Responses!$ZP$1))),(COUNTIF('Open Questions'!$A$2:$A$1001,"ZP")+COUNTIF('Multiple Choice Questions'!$A$2:$A$1001,"ZP")+COUNTIF('Hybrid Questions'!$A$2:$A$1001,"ZP")+COUNTIF('Hybrid Questions'!$D$2:$D$1001,"ZP")+COUNTIF('Demographics'!$A$2:$A$1001,"ZP"))=0),"Responses column ZP ("""&amp;Responses!$ZP$1&amp;""") has data, but no question or demographic is set up to use it — so it won't appear in your results.","")</f>
        <v>0</v>
      </c>
      <c r="F3199" s="4" t="s">
        <v>2508</v>
      </c>
    </row>
    <row r="3200" spans="1:6" ht="75" customHeight="1">
      <c r="A3200" t="s">
        <v>334</v>
      </c>
      <c r="B3200" t="s">
        <v>1720</v>
      </c>
      <c r="C3200" t="s">
        <v>1816</v>
      </c>
      <c r="D3200" t="s">
        <v>1808</v>
      </c>
      <c r="E3200" s="4">
        <f>IF(AND(Responses!$ZQ$1&lt;&gt;"",ISERROR(SEARCH("response id",LOWER(Responses!$ZQ$1))),(COUNTIF('Open Questions'!$A$2:$A$1001,"ZQ")+COUNTIF('Multiple Choice Questions'!$A$2:$A$1001,"ZQ")+COUNTIF('Hybrid Questions'!$A$2:$A$1001,"ZQ")+COUNTIF('Hybrid Questions'!$D$2:$D$1001,"ZQ")+COUNTIF('Demographics'!$A$2:$A$1001,"ZQ"))=0),"Responses column ZQ ("""&amp;Responses!$ZQ$1&amp;""") has data, but no question or demographic is set up to use it — so it won't appear in your results.","")</f>
        <v>0</v>
      </c>
      <c r="F3200" s="4" t="s">
        <v>2509</v>
      </c>
    </row>
    <row r="3201" spans="1:6" ht="75" customHeight="1">
      <c r="A3201" t="s">
        <v>334</v>
      </c>
      <c r="B3201" t="s">
        <v>1722</v>
      </c>
      <c r="C3201" t="s">
        <v>1816</v>
      </c>
      <c r="D3201" t="s">
        <v>1808</v>
      </c>
      <c r="E3201" s="4">
        <f>IF(AND(Responses!$ZR$1&lt;&gt;"",ISERROR(SEARCH("response id",LOWER(Responses!$ZR$1))),(COUNTIF('Open Questions'!$A$2:$A$1001,"ZR")+COUNTIF('Multiple Choice Questions'!$A$2:$A$1001,"ZR")+COUNTIF('Hybrid Questions'!$A$2:$A$1001,"ZR")+COUNTIF('Hybrid Questions'!$D$2:$D$1001,"ZR")+COUNTIF('Demographics'!$A$2:$A$1001,"ZR"))=0),"Responses column ZR ("""&amp;Responses!$ZR$1&amp;""") has data, but no question or demographic is set up to use it — so it won't appear in your results.","")</f>
        <v>0</v>
      </c>
      <c r="F3201" s="4" t="s">
        <v>2510</v>
      </c>
    </row>
    <row r="3202" spans="1:6" ht="75" customHeight="1">
      <c r="A3202" t="s">
        <v>334</v>
      </c>
      <c r="B3202" t="s">
        <v>1724</v>
      </c>
      <c r="C3202" t="s">
        <v>1816</v>
      </c>
      <c r="D3202" t="s">
        <v>1808</v>
      </c>
      <c r="E3202" s="4">
        <f>IF(AND(Responses!$ZS$1&lt;&gt;"",ISERROR(SEARCH("response id",LOWER(Responses!$ZS$1))),(COUNTIF('Open Questions'!$A$2:$A$1001,"ZS")+COUNTIF('Multiple Choice Questions'!$A$2:$A$1001,"ZS")+COUNTIF('Hybrid Questions'!$A$2:$A$1001,"ZS")+COUNTIF('Hybrid Questions'!$D$2:$D$1001,"ZS")+COUNTIF('Demographics'!$A$2:$A$1001,"ZS"))=0),"Responses column ZS ("""&amp;Responses!$ZS$1&amp;""") has data, but no question or demographic is set up to use it — so it won't appear in your results.","")</f>
        <v>0</v>
      </c>
      <c r="F3202" s="4" t="s">
        <v>2511</v>
      </c>
    </row>
    <row r="3203" spans="1:6" ht="75" customHeight="1">
      <c r="A3203" t="s">
        <v>334</v>
      </c>
      <c r="B3203" t="s">
        <v>1726</v>
      </c>
      <c r="C3203" t="s">
        <v>1816</v>
      </c>
      <c r="D3203" t="s">
        <v>1808</v>
      </c>
      <c r="E3203" s="4">
        <f>IF(AND(Responses!$ZT$1&lt;&gt;"",ISERROR(SEARCH("response id",LOWER(Responses!$ZT$1))),(COUNTIF('Open Questions'!$A$2:$A$1001,"ZT")+COUNTIF('Multiple Choice Questions'!$A$2:$A$1001,"ZT")+COUNTIF('Hybrid Questions'!$A$2:$A$1001,"ZT")+COUNTIF('Hybrid Questions'!$D$2:$D$1001,"ZT")+COUNTIF('Demographics'!$A$2:$A$1001,"ZT"))=0),"Responses column ZT ("""&amp;Responses!$ZT$1&amp;""") has data, but no question or demographic is set up to use it — so it won't appear in your results.","")</f>
        <v>0</v>
      </c>
      <c r="F3203" s="4" t="s">
        <v>2512</v>
      </c>
    </row>
    <row r="3204" spans="1:6" ht="75" customHeight="1">
      <c r="A3204" t="s">
        <v>334</v>
      </c>
      <c r="B3204" t="s">
        <v>1728</v>
      </c>
      <c r="C3204" t="s">
        <v>1816</v>
      </c>
      <c r="D3204" t="s">
        <v>1808</v>
      </c>
      <c r="E3204" s="4">
        <f>IF(AND(Responses!$ZU$1&lt;&gt;"",ISERROR(SEARCH("response id",LOWER(Responses!$ZU$1))),(COUNTIF('Open Questions'!$A$2:$A$1001,"ZU")+COUNTIF('Multiple Choice Questions'!$A$2:$A$1001,"ZU")+COUNTIF('Hybrid Questions'!$A$2:$A$1001,"ZU")+COUNTIF('Hybrid Questions'!$D$2:$D$1001,"ZU")+COUNTIF('Demographics'!$A$2:$A$1001,"ZU"))=0),"Responses column ZU ("""&amp;Responses!$ZU$1&amp;""") has data, but no question or demographic is set up to use it — so it won't appear in your results.","")</f>
        <v>0</v>
      </c>
      <c r="F3204" s="4" t="s">
        <v>2513</v>
      </c>
    </row>
    <row r="3205" spans="1:6" ht="75" customHeight="1">
      <c r="A3205" t="s">
        <v>334</v>
      </c>
      <c r="B3205" t="s">
        <v>1730</v>
      </c>
      <c r="C3205" t="s">
        <v>1816</v>
      </c>
      <c r="D3205" t="s">
        <v>1808</v>
      </c>
      <c r="E3205" s="4">
        <f>IF(AND(Responses!$ZV$1&lt;&gt;"",ISERROR(SEARCH("response id",LOWER(Responses!$ZV$1))),(COUNTIF('Open Questions'!$A$2:$A$1001,"ZV")+COUNTIF('Multiple Choice Questions'!$A$2:$A$1001,"ZV")+COUNTIF('Hybrid Questions'!$A$2:$A$1001,"ZV")+COUNTIF('Hybrid Questions'!$D$2:$D$1001,"ZV")+COUNTIF('Demographics'!$A$2:$A$1001,"ZV"))=0),"Responses column ZV ("""&amp;Responses!$ZV$1&amp;""") has data, but no question or demographic is set up to use it — so it won't appear in your results.","")</f>
        <v>0</v>
      </c>
      <c r="F3205" s="4" t="s">
        <v>2514</v>
      </c>
    </row>
    <row r="3206" spans="1:6" ht="75" customHeight="1">
      <c r="A3206" t="s">
        <v>334</v>
      </c>
      <c r="B3206" t="s">
        <v>1732</v>
      </c>
      <c r="C3206" t="s">
        <v>1816</v>
      </c>
      <c r="D3206" t="s">
        <v>1808</v>
      </c>
      <c r="E3206" s="4">
        <f>IF(AND(Responses!$ZW$1&lt;&gt;"",ISERROR(SEARCH("response id",LOWER(Responses!$ZW$1))),(COUNTIF('Open Questions'!$A$2:$A$1001,"ZW")+COUNTIF('Multiple Choice Questions'!$A$2:$A$1001,"ZW")+COUNTIF('Hybrid Questions'!$A$2:$A$1001,"ZW")+COUNTIF('Hybrid Questions'!$D$2:$D$1001,"ZW")+COUNTIF('Demographics'!$A$2:$A$1001,"ZW"))=0),"Responses column ZW ("""&amp;Responses!$ZW$1&amp;""") has data, but no question or demographic is set up to use it — so it won't appear in your results.","")</f>
        <v>0</v>
      </c>
      <c r="F3206" s="4" t="s">
        <v>2515</v>
      </c>
    </row>
    <row r="3207" spans="1:6" ht="75" customHeight="1">
      <c r="A3207" t="s">
        <v>334</v>
      </c>
      <c r="B3207" t="s">
        <v>1734</v>
      </c>
      <c r="C3207" t="s">
        <v>1816</v>
      </c>
      <c r="D3207" t="s">
        <v>1808</v>
      </c>
      <c r="E3207" s="4">
        <f>IF(AND(Responses!$ZX$1&lt;&gt;"",ISERROR(SEARCH("response id",LOWER(Responses!$ZX$1))),(COUNTIF('Open Questions'!$A$2:$A$1001,"ZX")+COUNTIF('Multiple Choice Questions'!$A$2:$A$1001,"ZX")+COUNTIF('Hybrid Questions'!$A$2:$A$1001,"ZX")+COUNTIF('Hybrid Questions'!$D$2:$D$1001,"ZX")+COUNTIF('Demographics'!$A$2:$A$1001,"ZX"))=0),"Responses column ZX ("""&amp;Responses!$ZX$1&amp;""") has data, but no question or demographic is set up to use it — so it won't appear in your results.","")</f>
        <v>0</v>
      </c>
      <c r="F3207" s="4" t="s">
        <v>2516</v>
      </c>
    </row>
    <row r="3208" spans="1:6" ht="75" customHeight="1">
      <c r="A3208" t="s">
        <v>334</v>
      </c>
      <c r="B3208" t="s">
        <v>1736</v>
      </c>
      <c r="C3208" t="s">
        <v>1816</v>
      </c>
      <c r="D3208" t="s">
        <v>1808</v>
      </c>
      <c r="E3208" s="4">
        <f>IF(AND(Responses!$ZY$1&lt;&gt;"",ISERROR(SEARCH("response id",LOWER(Responses!$ZY$1))),(COUNTIF('Open Questions'!$A$2:$A$1001,"ZY")+COUNTIF('Multiple Choice Questions'!$A$2:$A$1001,"ZY")+COUNTIF('Hybrid Questions'!$A$2:$A$1001,"ZY")+COUNTIF('Hybrid Questions'!$D$2:$D$1001,"ZY")+COUNTIF('Demographics'!$A$2:$A$1001,"ZY"))=0),"Responses column ZY ("""&amp;Responses!$ZY$1&amp;""") has data, but no question or demographic is set up to use it — so it won't appear in your results.","")</f>
        <v>0</v>
      </c>
      <c r="F3208" s="4" t="s">
        <v>2517</v>
      </c>
    </row>
    <row r="3209" spans="1:6" ht="75" customHeight="1">
      <c r="A3209" t="s">
        <v>334</v>
      </c>
      <c r="B3209" t="s">
        <v>1738</v>
      </c>
      <c r="C3209" t="s">
        <v>1816</v>
      </c>
      <c r="D3209" t="s">
        <v>1808</v>
      </c>
      <c r="E3209" s="4">
        <f>IF(AND(Responses!$ZZ$1&lt;&gt;"",ISERROR(SEARCH("response id",LOWER(Responses!$ZZ$1))),(COUNTIF('Open Questions'!$A$2:$A$1001,"ZZ")+COUNTIF('Multiple Choice Questions'!$A$2:$A$1001,"ZZ")+COUNTIF('Hybrid Questions'!$A$2:$A$1001,"ZZ")+COUNTIF('Hybrid Questions'!$D$2:$D$1001,"ZZ")+COUNTIF('Demographics'!$A$2:$A$1001,"ZZ"))=0),"Responses column ZZ ("""&amp;Responses!$ZZ$1&amp;""") has data, but no question or demographic is set up to use it — so it won't appear in your results.","")</f>
        <v>0</v>
      </c>
      <c r="F3209" s="4" t="s">
        <v>2518</v>
      </c>
    </row>
    <row r="3210" spans="1:6" ht="120" customHeight="1">
      <c r="A3210" t="s">
        <v>216</v>
      </c>
      <c r="B3210" t="s">
        <v>163</v>
      </c>
      <c r="C3210" t="s">
        <v>2519</v>
      </c>
      <c r="D3210" t="s">
        <v>1808</v>
      </c>
      <c r="E3210" s="4">
        <f>IF(AND(ISNUMBER(_helpers!$H$5),_helpers!$H$5&lt;0.33),"The question wording below doesn't closely match the Responses header for column "&amp;'Open Questions'!$A$2&amp;"."&amp;CHAR(10)&amp;CHAR(10)&amp;"Question text:"&amp;CHAR(10)&amp;'Open Questions'!$C$2&amp;CHAR(10)&amp;CHAR(10)&amp;"Responses header for column "&amp;'Open Questions'!$A$2&amp;":"&amp;CHAR(10)&amp;INDIRECT("Responses!"&amp;'Open Questions'!$A$2&amp;"1"),"")</f>
        <v>0</v>
      </c>
      <c r="F3210" s="4" t="s">
        <v>2520</v>
      </c>
    </row>
    <row r="3211" spans="1:6" ht="120" customHeight="1">
      <c r="A3211" t="s">
        <v>216</v>
      </c>
      <c r="B3211" t="s">
        <v>167</v>
      </c>
      <c r="C3211" t="s">
        <v>2519</v>
      </c>
      <c r="D3211" t="s">
        <v>1808</v>
      </c>
      <c r="E3211" s="4">
        <f>IF(AND(ISNUMBER(_helpers!$H$6),_helpers!$H$6&lt;0.33),"The question wording below doesn't closely match the Responses header for column "&amp;'Open Questions'!$A$3&amp;"."&amp;CHAR(10)&amp;CHAR(10)&amp;"Question text:"&amp;CHAR(10)&amp;'Open Questions'!$C$3&amp;CHAR(10)&amp;CHAR(10)&amp;"Responses header for column "&amp;'Open Questions'!$A$3&amp;":"&amp;CHAR(10)&amp;INDIRECT("Responses!"&amp;'Open Questions'!$A$3&amp;"1"),"")</f>
        <v>0</v>
      </c>
      <c r="F3211" s="4" t="s">
        <v>2520</v>
      </c>
    </row>
    <row r="3212" spans="1:6" ht="120" customHeight="1">
      <c r="A3212" t="s">
        <v>216</v>
      </c>
      <c r="B3212" t="s">
        <v>168</v>
      </c>
      <c r="C3212" t="s">
        <v>2519</v>
      </c>
      <c r="D3212" t="s">
        <v>1808</v>
      </c>
      <c r="E3212" s="4">
        <f>IF(AND(ISNUMBER(_helpers!$H$7),_helpers!$H$7&lt;0.33),"The question wording below doesn't closely match the Responses header for column "&amp;'Open Questions'!$A$4&amp;"."&amp;CHAR(10)&amp;CHAR(10)&amp;"Question text:"&amp;CHAR(10)&amp;'Open Questions'!$C$4&amp;CHAR(10)&amp;CHAR(10)&amp;"Responses header for column "&amp;'Open Questions'!$A$4&amp;":"&amp;CHAR(10)&amp;INDIRECT("Responses!"&amp;'Open Questions'!$A$4&amp;"1"),"")</f>
        <v>0</v>
      </c>
      <c r="F3212" s="4" t="s">
        <v>2520</v>
      </c>
    </row>
    <row r="3213" spans="1:6" ht="120" customHeight="1">
      <c r="A3213" t="s">
        <v>216</v>
      </c>
      <c r="B3213" t="s">
        <v>169</v>
      </c>
      <c r="C3213" t="s">
        <v>2519</v>
      </c>
      <c r="D3213" t="s">
        <v>1808</v>
      </c>
      <c r="E3213" s="4">
        <f>IF(AND(ISNUMBER(_helpers!$H$8),_helpers!$H$8&lt;0.33),"The question wording below doesn't closely match the Responses header for column "&amp;'Open Questions'!$A$5&amp;"."&amp;CHAR(10)&amp;CHAR(10)&amp;"Question text:"&amp;CHAR(10)&amp;'Open Questions'!$C$5&amp;CHAR(10)&amp;CHAR(10)&amp;"Responses header for column "&amp;'Open Questions'!$A$5&amp;":"&amp;CHAR(10)&amp;INDIRECT("Responses!"&amp;'Open Questions'!$A$5&amp;"1"),"")</f>
        <v>0</v>
      </c>
      <c r="F3213" s="4" t="s">
        <v>2520</v>
      </c>
    </row>
    <row r="3214" spans="1:6" ht="120" customHeight="1">
      <c r="A3214" t="s">
        <v>216</v>
      </c>
      <c r="B3214" t="s">
        <v>170</v>
      </c>
      <c r="C3214" t="s">
        <v>2519</v>
      </c>
      <c r="D3214" t="s">
        <v>1808</v>
      </c>
      <c r="E3214" s="4">
        <f>IF(AND(ISNUMBER(_helpers!$H$9),_helpers!$H$9&lt;0.33),"The question wording below doesn't closely match the Responses header for column "&amp;'Open Questions'!$A$6&amp;"."&amp;CHAR(10)&amp;CHAR(10)&amp;"Question text:"&amp;CHAR(10)&amp;'Open Questions'!$C$6&amp;CHAR(10)&amp;CHAR(10)&amp;"Responses header for column "&amp;'Open Questions'!$A$6&amp;":"&amp;CHAR(10)&amp;INDIRECT("Responses!"&amp;'Open Questions'!$A$6&amp;"1"),"")</f>
        <v>0</v>
      </c>
      <c r="F3214" s="4" t="s">
        <v>2520</v>
      </c>
    </row>
    <row r="3215" spans="1:6" ht="120" customHeight="1">
      <c r="A3215" t="s">
        <v>216</v>
      </c>
      <c r="B3215" t="s">
        <v>171</v>
      </c>
      <c r="C3215" t="s">
        <v>2519</v>
      </c>
      <c r="D3215" t="s">
        <v>1808</v>
      </c>
      <c r="E3215" s="4">
        <f>IF(AND(ISNUMBER(_helpers!$H$10),_helpers!$H$10&lt;0.33),"The question wording below doesn't closely match the Responses header for column "&amp;'Open Questions'!$A$7&amp;"."&amp;CHAR(10)&amp;CHAR(10)&amp;"Question text:"&amp;CHAR(10)&amp;'Open Questions'!$C$7&amp;CHAR(10)&amp;CHAR(10)&amp;"Responses header for column "&amp;'Open Questions'!$A$7&amp;":"&amp;CHAR(10)&amp;INDIRECT("Responses!"&amp;'Open Questions'!$A$7&amp;"1"),"")</f>
        <v>0</v>
      </c>
      <c r="F3215" s="4" t="s">
        <v>2520</v>
      </c>
    </row>
    <row r="3216" spans="1:6" ht="120" customHeight="1">
      <c r="A3216" t="s">
        <v>216</v>
      </c>
      <c r="B3216" t="s">
        <v>172</v>
      </c>
      <c r="C3216" t="s">
        <v>2519</v>
      </c>
      <c r="D3216" t="s">
        <v>1808</v>
      </c>
      <c r="E3216" s="4">
        <f>IF(AND(ISNUMBER(_helpers!$H$11),_helpers!$H$11&lt;0.33),"The question wording below doesn't closely match the Responses header for column "&amp;'Open Questions'!$A$8&amp;"."&amp;CHAR(10)&amp;CHAR(10)&amp;"Question text:"&amp;CHAR(10)&amp;'Open Questions'!$C$8&amp;CHAR(10)&amp;CHAR(10)&amp;"Responses header for column "&amp;'Open Questions'!$A$8&amp;":"&amp;CHAR(10)&amp;INDIRECT("Responses!"&amp;'Open Questions'!$A$8&amp;"1"),"")</f>
        <v>0</v>
      </c>
      <c r="F3216" s="4" t="s">
        <v>2520</v>
      </c>
    </row>
    <row r="3217" spans="1:6" ht="120" customHeight="1">
      <c r="A3217" t="s">
        <v>216</v>
      </c>
      <c r="B3217" t="s">
        <v>173</v>
      </c>
      <c r="C3217" t="s">
        <v>2519</v>
      </c>
      <c r="D3217" t="s">
        <v>1808</v>
      </c>
      <c r="E3217" s="4">
        <f>IF(AND(ISNUMBER(_helpers!$H$12),_helpers!$H$12&lt;0.33),"The question wording below doesn't closely match the Responses header for column "&amp;'Open Questions'!$A$9&amp;"."&amp;CHAR(10)&amp;CHAR(10)&amp;"Question text:"&amp;CHAR(10)&amp;'Open Questions'!$C$9&amp;CHAR(10)&amp;CHAR(10)&amp;"Responses header for column "&amp;'Open Questions'!$A$9&amp;":"&amp;CHAR(10)&amp;INDIRECT("Responses!"&amp;'Open Questions'!$A$9&amp;"1"),"")</f>
        <v>0</v>
      </c>
      <c r="F3217" s="4" t="s">
        <v>2520</v>
      </c>
    </row>
    <row r="3218" spans="1:6" ht="120" customHeight="1">
      <c r="A3218" t="s">
        <v>216</v>
      </c>
      <c r="B3218" t="s">
        <v>174</v>
      </c>
      <c r="C3218" t="s">
        <v>2519</v>
      </c>
      <c r="D3218" t="s">
        <v>1808</v>
      </c>
      <c r="E3218" s="4">
        <f>IF(AND(ISNUMBER(_helpers!$H$13),_helpers!$H$13&lt;0.33),"The question wording below doesn't closely match the Responses header for column "&amp;'Open Questions'!$A$10&amp;"."&amp;CHAR(10)&amp;CHAR(10)&amp;"Question text:"&amp;CHAR(10)&amp;'Open Questions'!$C$10&amp;CHAR(10)&amp;CHAR(10)&amp;"Responses header for column "&amp;'Open Questions'!$A$10&amp;":"&amp;CHAR(10)&amp;INDIRECT("Responses!"&amp;'Open Questions'!$A$10&amp;"1"),"")</f>
        <v>0</v>
      </c>
      <c r="F3218" s="4" t="s">
        <v>2520</v>
      </c>
    </row>
    <row r="3219" spans="1:6" ht="120" customHeight="1">
      <c r="A3219" t="s">
        <v>216</v>
      </c>
      <c r="B3219" t="s">
        <v>175</v>
      </c>
      <c r="C3219" t="s">
        <v>2519</v>
      </c>
      <c r="D3219" t="s">
        <v>1808</v>
      </c>
      <c r="E3219" s="4">
        <f>IF(AND(ISNUMBER(_helpers!$H$14),_helpers!$H$14&lt;0.33),"The question wording below doesn't closely match the Responses header for column "&amp;'Open Questions'!$A$11&amp;"."&amp;CHAR(10)&amp;CHAR(10)&amp;"Question text:"&amp;CHAR(10)&amp;'Open Questions'!$C$11&amp;CHAR(10)&amp;CHAR(10)&amp;"Responses header for column "&amp;'Open Questions'!$A$11&amp;":"&amp;CHAR(10)&amp;INDIRECT("Responses!"&amp;'Open Questions'!$A$11&amp;"1"),"")</f>
        <v>0</v>
      </c>
      <c r="F3219" s="4" t="s">
        <v>2520</v>
      </c>
    </row>
    <row r="3220" spans="1:6" ht="120" customHeight="1">
      <c r="A3220" t="s">
        <v>216</v>
      </c>
      <c r="B3220" t="s">
        <v>176</v>
      </c>
      <c r="C3220" t="s">
        <v>2519</v>
      </c>
      <c r="D3220" t="s">
        <v>1808</v>
      </c>
      <c r="E3220" s="4">
        <f>IF(AND(ISNUMBER(_helpers!$H$15),_helpers!$H$15&lt;0.33),"The question wording below doesn't closely match the Responses header for column "&amp;'Open Questions'!$A$12&amp;"."&amp;CHAR(10)&amp;CHAR(10)&amp;"Question text:"&amp;CHAR(10)&amp;'Open Questions'!$C$12&amp;CHAR(10)&amp;CHAR(10)&amp;"Responses header for column "&amp;'Open Questions'!$A$12&amp;":"&amp;CHAR(10)&amp;INDIRECT("Responses!"&amp;'Open Questions'!$A$12&amp;"1"),"")</f>
        <v>0</v>
      </c>
      <c r="F3220" s="4" t="s">
        <v>2520</v>
      </c>
    </row>
    <row r="3221" spans="1:6" ht="120" customHeight="1">
      <c r="A3221" t="s">
        <v>216</v>
      </c>
      <c r="B3221" t="s">
        <v>177</v>
      </c>
      <c r="C3221" t="s">
        <v>2519</v>
      </c>
      <c r="D3221" t="s">
        <v>1808</v>
      </c>
      <c r="E3221" s="4">
        <f>IF(AND(ISNUMBER(_helpers!$H$16),_helpers!$H$16&lt;0.33),"The question wording below doesn't closely match the Responses header for column "&amp;'Open Questions'!$A$13&amp;"."&amp;CHAR(10)&amp;CHAR(10)&amp;"Question text:"&amp;CHAR(10)&amp;'Open Questions'!$C$13&amp;CHAR(10)&amp;CHAR(10)&amp;"Responses header for column "&amp;'Open Questions'!$A$13&amp;":"&amp;CHAR(10)&amp;INDIRECT("Responses!"&amp;'Open Questions'!$A$13&amp;"1"),"")</f>
        <v>0</v>
      </c>
      <c r="F3221" s="4" t="s">
        <v>2520</v>
      </c>
    </row>
    <row r="3222" spans="1:6" ht="120" customHeight="1">
      <c r="A3222" t="s">
        <v>216</v>
      </c>
      <c r="B3222" t="s">
        <v>178</v>
      </c>
      <c r="C3222" t="s">
        <v>2519</v>
      </c>
      <c r="D3222" t="s">
        <v>1808</v>
      </c>
      <c r="E3222" s="4">
        <f>IF(AND(ISNUMBER(_helpers!$H$17),_helpers!$H$17&lt;0.33),"The question wording below doesn't closely match the Responses header for column "&amp;'Open Questions'!$A$14&amp;"."&amp;CHAR(10)&amp;CHAR(10)&amp;"Question text:"&amp;CHAR(10)&amp;'Open Questions'!$C$14&amp;CHAR(10)&amp;CHAR(10)&amp;"Responses header for column "&amp;'Open Questions'!$A$14&amp;":"&amp;CHAR(10)&amp;INDIRECT("Responses!"&amp;'Open Questions'!$A$14&amp;"1"),"")</f>
        <v>0</v>
      </c>
      <c r="F3222" s="4" t="s">
        <v>2520</v>
      </c>
    </row>
    <row r="3223" spans="1:6" ht="120" customHeight="1">
      <c r="A3223" t="s">
        <v>216</v>
      </c>
      <c r="B3223" t="s">
        <v>179</v>
      </c>
      <c r="C3223" t="s">
        <v>2519</v>
      </c>
      <c r="D3223" t="s">
        <v>1808</v>
      </c>
      <c r="E3223" s="4">
        <f>IF(AND(ISNUMBER(_helpers!$H$18),_helpers!$H$18&lt;0.33),"The question wording below doesn't closely match the Responses header for column "&amp;'Open Questions'!$A$15&amp;"."&amp;CHAR(10)&amp;CHAR(10)&amp;"Question text:"&amp;CHAR(10)&amp;'Open Questions'!$C$15&amp;CHAR(10)&amp;CHAR(10)&amp;"Responses header for column "&amp;'Open Questions'!$A$15&amp;":"&amp;CHAR(10)&amp;INDIRECT("Responses!"&amp;'Open Questions'!$A$15&amp;"1"),"")</f>
        <v>0</v>
      </c>
      <c r="F3223" s="4" t="s">
        <v>2520</v>
      </c>
    </row>
    <row r="3224" spans="1:6" ht="120" customHeight="1">
      <c r="A3224" t="s">
        <v>216</v>
      </c>
      <c r="B3224" t="s">
        <v>180</v>
      </c>
      <c r="C3224" t="s">
        <v>2519</v>
      </c>
      <c r="D3224" t="s">
        <v>1808</v>
      </c>
      <c r="E3224" s="4">
        <f>IF(AND(ISNUMBER(_helpers!$H$19),_helpers!$H$19&lt;0.33),"The question wording below doesn't closely match the Responses header for column "&amp;'Open Questions'!$A$16&amp;"."&amp;CHAR(10)&amp;CHAR(10)&amp;"Question text:"&amp;CHAR(10)&amp;'Open Questions'!$C$16&amp;CHAR(10)&amp;CHAR(10)&amp;"Responses header for column "&amp;'Open Questions'!$A$16&amp;":"&amp;CHAR(10)&amp;INDIRECT("Responses!"&amp;'Open Questions'!$A$16&amp;"1"),"")</f>
        <v>0</v>
      </c>
      <c r="F3224" s="4" t="s">
        <v>2520</v>
      </c>
    </row>
    <row r="3225" spans="1:6" ht="120" customHeight="1">
      <c r="A3225" t="s">
        <v>216</v>
      </c>
      <c r="B3225" t="s">
        <v>181</v>
      </c>
      <c r="C3225" t="s">
        <v>2519</v>
      </c>
      <c r="D3225" t="s">
        <v>1808</v>
      </c>
      <c r="E3225" s="4">
        <f>IF(AND(ISNUMBER(_helpers!$H$20),_helpers!$H$20&lt;0.33),"The question wording below doesn't closely match the Responses header for column "&amp;'Open Questions'!$A$17&amp;"."&amp;CHAR(10)&amp;CHAR(10)&amp;"Question text:"&amp;CHAR(10)&amp;'Open Questions'!$C$17&amp;CHAR(10)&amp;CHAR(10)&amp;"Responses header for column "&amp;'Open Questions'!$A$17&amp;":"&amp;CHAR(10)&amp;INDIRECT("Responses!"&amp;'Open Questions'!$A$17&amp;"1"),"")</f>
        <v>0</v>
      </c>
      <c r="F3225" s="4" t="s">
        <v>2520</v>
      </c>
    </row>
    <row r="3226" spans="1:6" ht="120" customHeight="1">
      <c r="A3226" t="s">
        <v>216</v>
      </c>
      <c r="B3226" t="s">
        <v>182</v>
      </c>
      <c r="C3226" t="s">
        <v>2519</v>
      </c>
      <c r="D3226" t="s">
        <v>1808</v>
      </c>
      <c r="E3226" s="4">
        <f>IF(AND(ISNUMBER(_helpers!$H$21),_helpers!$H$21&lt;0.33),"The question wording below doesn't closely match the Responses header for column "&amp;'Open Questions'!$A$18&amp;"."&amp;CHAR(10)&amp;CHAR(10)&amp;"Question text:"&amp;CHAR(10)&amp;'Open Questions'!$C$18&amp;CHAR(10)&amp;CHAR(10)&amp;"Responses header for column "&amp;'Open Questions'!$A$18&amp;":"&amp;CHAR(10)&amp;INDIRECT("Responses!"&amp;'Open Questions'!$A$18&amp;"1"),"")</f>
        <v>0</v>
      </c>
      <c r="F3226" s="4" t="s">
        <v>2520</v>
      </c>
    </row>
    <row r="3227" spans="1:6" ht="120" customHeight="1">
      <c r="A3227" t="s">
        <v>216</v>
      </c>
      <c r="B3227" t="s">
        <v>183</v>
      </c>
      <c r="C3227" t="s">
        <v>2519</v>
      </c>
      <c r="D3227" t="s">
        <v>1808</v>
      </c>
      <c r="E3227" s="4">
        <f>IF(AND(ISNUMBER(_helpers!$H$22),_helpers!$H$22&lt;0.33),"The question wording below doesn't closely match the Responses header for column "&amp;'Open Questions'!$A$19&amp;"."&amp;CHAR(10)&amp;CHAR(10)&amp;"Question text:"&amp;CHAR(10)&amp;'Open Questions'!$C$19&amp;CHAR(10)&amp;CHAR(10)&amp;"Responses header for column "&amp;'Open Questions'!$A$19&amp;":"&amp;CHAR(10)&amp;INDIRECT("Responses!"&amp;'Open Questions'!$A$19&amp;"1"),"")</f>
        <v>0</v>
      </c>
      <c r="F3227" s="4" t="s">
        <v>2520</v>
      </c>
    </row>
    <row r="3228" spans="1:6" ht="120" customHeight="1">
      <c r="A3228" t="s">
        <v>216</v>
      </c>
      <c r="B3228" t="s">
        <v>184</v>
      </c>
      <c r="C3228" t="s">
        <v>2519</v>
      </c>
      <c r="D3228" t="s">
        <v>1808</v>
      </c>
      <c r="E3228" s="4">
        <f>IF(AND(ISNUMBER(_helpers!$H$23),_helpers!$H$23&lt;0.33),"The question wording below doesn't closely match the Responses header for column "&amp;'Open Questions'!$A$20&amp;"."&amp;CHAR(10)&amp;CHAR(10)&amp;"Question text:"&amp;CHAR(10)&amp;'Open Questions'!$C$20&amp;CHAR(10)&amp;CHAR(10)&amp;"Responses header for column "&amp;'Open Questions'!$A$20&amp;":"&amp;CHAR(10)&amp;INDIRECT("Responses!"&amp;'Open Questions'!$A$20&amp;"1"),"")</f>
        <v>0</v>
      </c>
      <c r="F3228" s="4" t="s">
        <v>2520</v>
      </c>
    </row>
    <row r="3229" spans="1:6" ht="120" customHeight="1">
      <c r="A3229" t="s">
        <v>216</v>
      </c>
      <c r="B3229" t="s">
        <v>185</v>
      </c>
      <c r="C3229" t="s">
        <v>2519</v>
      </c>
      <c r="D3229" t="s">
        <v>1808</v>
      </c>
      <c r="E3229" s="4">
        <f>IF(AND(ISNUMBER(_helpers!$H$24),_helpers!$H$24&lt;0.33),"The question wording below doesn't closely match the Responses header for column "&amp;'Open Questions'!$A$21&amp;"."&amp;CHAR(10)&amp;CHAR(10)&amp;"Question text:"&amp;CHAR(10)&amp;'Open Questions'!$C$21&amp;CHAR(10)&amp;CHAR(10)&amp;"Responses header for column "&amp;'Open Questions'!$A$21&amp;":"&amp;CHAR(10)&amp;INDIRECT("Responses!"&amp;'Open Questions'!$A$21&amp;"1"),"")</f>
        <v>0</v>
      </c>
      <c r="F3229" s="4" t="s">
        <v>2520</v>
      </c>
    </row>
    <row r="3230" spans="1:6" ht="120" customHeight="1">
      <c r="A3230" t="s">
        <v>216</v>
      </c>
      <c r="B3230" t="s">
        <v>186</v>
      </c>
      <c r="C3230" t="s">
        <v>2519</v>
      </c>
      <c r="D3230" t="s">
        <v>1808</v>
      </c>
      <c r="E3230" s="4">
        <f>IF(AND(ISNUMBER(_helpers!$H$25),_helpers!$H$25&lt;0.33),"The question wording below doesn't closely match the Responses header for column "&amp;'Open Questions'!$A$22&amp;"."&amp;CHAR(10)&amp;CHAR(10)&amp;"Question text:"&amp;CHAR(10)&amp;'Open Questions'!$C$22&amp;CHAR(10)&amp;CHAR(10)&amp;"Responses header for column "&amp;'Open Questions'!$A$22&amp;":"&amp;CHAR(10)&amp;INDIRECT("Responses!"&amp;'Open Questions'!$A$22&amp;"1"),"")</f>
        <v>0</v>
      </c>
      <c r="F3230" s="4" t="s">
        <v>2520</v>
      </c>
    </row>
    <row r="3231" spans="1:6" ht="120" customHeight="1">
      <c r="A3231" t="s">
        <v>216</v>
      </c>
      <c r="B3231" t="s">
        <v>187</v>
      </c>
      <c r="C3231" t="s">
        <v>2519</v>
      </c>
      <c r="D3231" t="s">
        <v>1808</v>
      </c>
      <c r="E3231" s="4">
        <f>IF(AND(ISNUMBER(_helpers!$H$26),_helpers!$H$26&lt;0.33),"The question wording below doesn't closely match the Responses header for column "&amp;'Open Questions'!$A$23&amp;"."&amp;CHAR(10)&amp;CHAR(10)&amp;"Question text:"&amp;CHAR(10)&amp;'Open Questions'!$C$23&amp;CHAR(10)&amp;CHAR(10)&amp;"Responses header for column "&amp;'Open Questions'!$A$23&amp;":"&amp;CHAR(10)&amp;INDIRECT("Responses!"&amp;'Open Questions'!$A$23&amp;"1"),"")</f>
        <v>0</v>
      </c>
      <c r="F3231" s="4" t="s">
        <v>2520</v>
      </c>
    </row>
    <row r="3232" spans="1:6" ht="120" customHeight="1">
      <c r="A3232" t="s">
        <v>216</v>
      </c>
      <c r="B3232" t="s">
        <v>188</v>
      </c>
      <c r="C3232" t="s">
        <v>2519</v>
      </c>
      <c r="D3232" t="s">
        <v>1808</v>
      </c>
      <c r="E3232" s="4">
        <f>IF(AND(ISNUMBER(_helpers!$H$27),_helpers!$H$27&lt;0.33),"The question wording below doesn't closely match the Responses header for column "&amp;'Open Questions'!$A$24&amp;"."&amp;CHAR(10)&amp;CHAR(10)&amp;"Question text:"&amp;CHAR(10)&amp;'Open Questions'!$C$24&amp;CHAR(10)&amp;CHAR(10)&amp;"Responses header for column "&amp;'Open Questions'!$A$24&amp;":"&amp;CHAR(10)&amp;INDIRECT("Responses!"&amp;'Open Questions'!$A$24&amp;"1"),"")</f>
        <v>0</v>
      </c>
      <c r="F3232" s="4" t="s">
        <v>2520</v>
      </c>
    </row>
    <row r="3233" spans="1:6" ht="120" customHeight="1">
      <c r="A3233" t="s">
        <v>216</v>
      </c>
      <c r="B3233" t="s">
        <v>189</v>
      </c>
      <c r="C3233" t="s">
        <v>2519</v>
      </c>
      <c r="D3233" t="s">
        <v>1808</v>
      </c>
      <c r="E3233" s="4">
        <f>IF(AND(ISNUMBER(_helpers!$H$28),_helpers!$H$28&lt;0.33),"The question wording below doesn't closely match the Responses header for column "&amp;'Open Questions'!$A$25&amp;"."&amp;CHAR(10)&amp;CHAR(10)&amp;"Question text:"&amp;CHAR(10)&amp;'Open Questions'!$C$25&amp;CHAR(10)&amp;CHAR(10)&amp;"Responses header for column "&amp;'Open Questions'!$A$25&amp;":"&amp;CHAR(10)&amp;INDIRECT("Responses!"&amp;'Open Questions'!$A$25&amp;"1"),"")</f>
        <v>0</v>
      </c>
      <c r="F3233" s="4" t="s">
        <v>2520</v>
      </c>
    </row>
    <row r="3234" spans="1:6" ht="120" customHeight="1">
      <c r="A3234" t="s">
        <v>216</v>
      </c>
      <c r="B3234" t="s">
        <v>190</v>
      </c>
      <c r="C3234" t="s">
        <v>2519</v>
      </c>
      <c r="D3234" t="s">
        <v>1808</v>
      </c>
      <c r="E3234" s="4">
        <f>IF(AND(ISNUMBER(_helpers!$H$29),_helpers!$H$29&lt;0.33),"The question wording below doesn't closely match the Responses header for column "&amp;'Open Questions'!$A$26&amp;"."&amp;CHAR(10)&amp;CHAR(10)&amp;"Question text:"&amp;CHAR(10)&amp;'Open Questions'!$C$26&amp;CHAR(10)&amp;CHAR(10)&amp;"Responses header for column "&amp;'Open Questions'!$A$26&amp;":"&amp;CHAR(10)&amp;INDIRECT("Responses!"&amp;'Open Questions'!$A$26&amp;"1"),"")</f>
        <v>0</v>
      </c>
      <c r="F3234" s="4" t="s">
        <v>2520</v>
      </c>
    </row>
    <row r="3235" spans="1:6" ht="120" customHeight="1">
      <c r="A3235" t="s">
        <v>216</v>
      </c>
      <c r="B3235" t="s">
        <v>191</v>
      </c>
      <c r="C3235" t="s">
        <v>2519</v>
      </c>
      <c r="D3235" t="s">
        <v>1808</v>
      </c>
      <c r="E3235" s="4">
        <f>IF(AND(ISNUMBER(_helpers!$H$30),_helpers!$H$30&lt;0.33),"The question wording below doesn't closely match the Responses header for column "&amp;'Open Questions'!$A$27&amp;"."&amp;CHAR(10)&amp;CHAR(10)&amp;"Question text:"&amp;CHAR(10)&amp;'Open Questions'!$C$27&amp;CHAR(10)&amp;CHAR(10)&amp;"Responses header for column "&amp;'Open Questions'!$A$27&amp;":"&amp;CHAR(10)&amp;INDIRECT("Responses!"&amp;'Open Questions'!$A$27&amp;"1"),"")</f>
        <v>0</v>
      </c>
      <c r="F3235" s="4" t="s">
        <v>2520</v>
      </c>
    </row>
    <row r="3236" spans="1:6" ht="120" customHeight="1">
      <c r="A3236" t="s">
        <v>216</v>
      </c>
      <c r="B3236" t="s">
        <v>192</v>
      </c>
      <c r="C3236" t="s">
        <v>2519</v>
      </c>
      <c r="D3236" t="s">
        <v>1808</v>
      </c>
      <c r="E3236" s="4">
        <f>IF(AND(ISNUMBER(_helpers!$H$31),_helpers!$H$31&lt;0.33),"The question wording below doesn't closely match the Responses header for column "&amp;'Open Questions'!$A$28&amp;"."&amp;CHAR(10)&amp;CHAR(10)&amp;"Question text:"&amp;CHAR(10)&amp;'Open Questions'!$C$28&amp;CHAR(10)&amp;CHAR(10)&amp;"Responses header for column "&amp;'Open Questions'!$A$28&amp;":"&amp;CHAR(10)&amp;INDIRECT("Responses!"&amp;'Open Questions'!$A$28&amp;"1"),"")</f>
        <v>0</v>
      </c>
      <c r="F3236" s="4" t="s">
        <v>2520</v>
      </c>
    </row>
    <row r="3237" spans="1:6" ht="120" customHeight="1">
      <c r="A3237" t="s">
        <v>216</v>
      </c>
      <c r="B3237" t="s">
        <v>193</v>
      </c>
      <c r="C3237" t="s">
        <v>2519</v>
      </c>
      <c r="D3237" t="s">
        <v>1808</v>
      </c>
      <c r="E3237" s="4">
        <f>IF(AND(ISNUMBER(_helpers!$H$32),_helpers!$H$32&lt;0.33),"The question wording below doesn't closely match the Responses header for column "&amp;'Open Questions'!$A$29&amp;"."&amp;CHAR(10)&amp;CHAR(10)&amp;"Question text:"&amp;CHAR(10)&amp;'Open Questions'!$C$29&amp;CHAR(10)&amp;CHAR(10)&amp;"Responses header for column "&amp;'Open Questions'!$A$29&amp;":"&amp;CHAR(10)&amp;INDIRECT("Responses!"&amp;'Open Questions'!$A$29&amp;"1"),"")</f>
        <v>0</v>
      </c>
      <c r="F3237" s="4" t="s">
        <v>2520</v>
      </c>
    </row>
    <row r="3238" spans="1:6" ht="120" customHeight="1">
      <c r="A3238" t="s">
        <v>216</v>
      </c>
      <c r="B3238" t="s">
        <v>194</v>
      </c>
      <c r="C3238" t="s">
        <v>2519</v>
      </c>
      <c r="D3238" t="s">
        <v>1808</v>
      </c>
      <c r="E3238" s="4">
        <f>IF(AND(ISNUMBER(_helpers!$H$33),_helpers!$H$33&lt;0.33),"The question wording below doesn't closely match the Responses header for column "&amp;'Open Questions'!$A$30&amp;"."&amp;CHAR(10)&amp;CHAR(10)&amp;"Question text:"&amp;CHAR(10)&amp;'Open Questions'!$C$30&amp;CHAR(10)&amp;CHAR(10)&amp;"Responses header for column "&amp;'Open Questions'!$A$30&amp;":"&amp;CHAR(10)&amp;INDIRECT("Responses!"&amp;'Open Questions'!$A$30&amp;"1"),"")</f>
        <v>0</v>
      </c>
      <c r="F3238" s="4" t="s">
        <v>2520</v>
      </c>
    </row>
    <row r="3239" spans="1:6" ht="120" customHeight="1">
      <c r="A3239" t="s">
        <v>216</v>
      </c>
      <c r="B3239" t="s">
        <v>195</v>
      </c>
      <c r="C3239" t="s">
        <v>2519</v>
      </c>
      <c r="D3239" t="s">
        <v>1808</v>
      </c>
      <c r="E3239" s="4">
        <f>IF(AND(ISNUMBER(_helpers!$H$34),_helpers!$H$34&lt;0.33),"The question wording below doesn't closely match the Responses header for column "&amp;'Open Questions'!$A$31&amp;"."&amp;CHAR(10)&amp;CHAR(10)&amp;"Question text:"&amp;CHAR(10)&amp;'Open Questions'!$C$31&amp;CHAR(10)&amp;CHAR(10)&amp;"Responses header for column "&amp;'Open Questions'!$A$31&amp;":"&amp;CHAR(10)&amp;INDIRECT("Responses!"&amp;'Open Questions'!$A$31&amp;"1"),"")</f>
        <v>0</v>
      </c>
      <c r="F3239" s="4" t="s">
        <v>2520</v>
      </c>
    </row>
    <row r="3240" spans="1:6" ht="120" customHeight="1">
      <c r="A3240" t="s">
        <v>216</v>
      </c>
      <c r="B3240" t="s">
        <v>196</v>
      </c>
      <c r="C3240" t="s">
        <v>2519</v>
      </c>
      <c r="D3240" t="s">
        <v>1808</v>
      </c>
      <c r="E3240" s="4">
        <f>IF(AND(ISNUMBER(_helpers!$H$35),_helpers!$H$35&lt;0.33),"The question wording below doesn't closely match the Responses header for column "&amp;'Open Questions'!$A$32&amp;"."&amp;CHAR(10)&amp;CHAR(10)&amp;"Question text:"&amp;CHAR(10)&amp;'Open Questions'!$C$32&amp;CHAR(10)&amp;CHAR(10)&amp;"Responses header for column "&amp;'Open Questions'!$A$32&amp;":"&amp;CHAR(10)&amp;INDIRECT("Responses!"&amp;'Open Questions'!$A$32&amp;"1"),"")</f>
        <v>0</v>
      </c>
      <c r="F3240" s="4" t="s">
        <v>2520</v>
      </c>
    </row>
    <row r="3241" spans="1:6" ht="120" customHeight="1">
      <c r="A3241" t="s">
        <v>216</v>
      </c>
      <c r="B3241" t="s">
        <v>197</v>
      </c>
      <c r="C3241" t="s">
        <v>2519</v>
      </c>
      <c r="D3241" t="s">
        <v>1808</v>
      </c>
      <c r="E3241" s="4">
        <f>IF(AND(ISNUMBER(_helpers!$H$36),_helpers!$H$36&lt;0.33),"The question wording below doesn't closely match the Responses header for column "&amp;'Open Questions'!$A$33&amp;"."&amp;CHAR(10)&amp;CHAR(10)&amp;"Question text:"&amp;CHAR(10)&amp;'Open Questions'!$C$33&amp;CHAR(10)&amp;CHAR(10)&amp;"Responses header for column "&amp;'Open Questions'!$A$33&amp;":"&amp;CHAR(10)&amp;INDIRECT("Responses!"&amp;'Open Questions'!$A$33&amp;"1"),"")</f>
        <v>0</v>
      </c>
      <c r="F3241" s="4" t="s">
        <v>2520</v>
      </c>
    </row>
    <row r="3242" spans="1:6" ht="120" customHeight="1">
      <c r="A3242" t="s">
        <v>216</v>
      </c>
      <c r="B3242" t="s">
        <v>198</v>
      </c>
      <c r="C3242" t="s">
        <v>2519</v>
      </c>
      <c r="D3242" t="s">
        <v>1808</v>
      </c>
      <c r="E3242" s="4">
        <f>IF(AND(ISNUMBER(_helpers!$H$37),_helpers!$H$37&lt;0.33),"The question wording below doesn't closely match the Responses header for column "&amp;'Open Questions'!$A$34&amp;"."&amp;CHAR(10)&amp;CHAR(10)&amp;"Question text:"&amp;CHAR(10)&amp;'Open Questions'!$C$34&amp;CHAR(10)&amp;CHAR(10)&amp;"Responses header for column "&amp;'Open Questions'!$A$34&amp;":"&amp;CHAR(10)&amp;INDIRECT("Responses!"&amp;'Open Questions'!$A$34&amp;"1"),"")</f>
        <v>0</v>
      </c>
      <c r="F3242" s="4" t="s">
        <v>2520</v>
      </c>
    </row>
    <row r="3243" spans="1:6" ht="120" customHeight="1">
      <c r="A3243" t="s">
        <v>216</v>
      </c>
      <c r="B3243" t="s">
        <v>199</v>
      </c>
      <c r="C3243" t="s">
        <v>2519</v>
      </c>
      <c r="D3243" t="s">
        <v>1808</v>
      </c>
      <c r="E3243" s="4">
        <f>IF(AND(ISNUMBER(_helpers!$H$38),_helpers!$H$38&lt;0.33),"The question wording below doesn't closely match the Responses header for column "&amp;'Open Questions'!$A$35&amp;"."&amp;CHAR(10)&amp;CHAR(10)&amp;"Question text:"&amp;CHAR(10)&amp;'Open Questions'!$C$35&amp;CHAR(10)&amp;CHAR(10)&amp;"Responses header for column "&amp;'Open Questions'!$A$35&amp;":"&amp;CHAR(10)&amp;INDIRECT("Responses!"&amp;'Open Questions'!$A$35&amp;"1"),"")</f>
        <v>0</v>
      </c>
      <c r="F3243" s="4" t="s">
        <v>2520</v>
      </c>
    </row>
    <row r="3244" spans="1:6" ht="120" customHeight="1">
      <c r="A3244" t="s">
        <v>216</v>
      </c>
      <c r="B3244" t="s">
        <v>200</v>
      </c>
      <c r="C3244" t="s">
        <v>2519</v>
      </c>
      <c r="D3244" t="s">
        <v>1808</v>
      </c>
      <c r="E3244" s="4">
        <f>IF(AND(ISNUMBER(_helpers!$H$39),_helpers!$H$39&lt;0.33),"The question wording below doesn't closely match the Responses header for column "&amp;'Open Questions'!$A$36&amp;"."&amp;CHAR(10)&amp;CHAR(10)&amp;"Question text:"&amp;CHAR(10)&amp;'Open Questions'!$C$36&amp;CHAR(10)&amp;CHAR(10)&amp;"Responses header for column "&amp;'Open Questions'!$A$36&amp;":"&amp;CHAR(10)&amp;INDIRECT("Responses!"&amp;'Open Questions'!$A$36&amp;"1"),"")</f>
        <v>0</v>
      </c>
      <c r="F3244" s="4" t="s">
        <v>2520</v>
      </c>
    </row>
    <row r="3245" spans="1:6" ht="120" customHeight="1">
      <c r="A3245" t="s">
        <v>216</v>
      </c>
      <c r="B3245" t="s">
        <v>201</v>
      </c>
      <c r="C3245" t="s">
        <v>2519</v>
      </c>
      <c r="D3245" t="s">
        <v>1808</v>
      </c>
      <c r="E3245" s="4">
        <f>IF(AND(ISNUMBER(_helpers!$H$40),_helpers!$H$40&lt;0.33),"The question wording below doesn't closely match the Responses header for column "&amp;'Open Questions'!$A$37&amp;"."&amp;CHAR(10)&amp;CHAR(10)&amp;"Question text:"&amp;CHAR(10)&amp;'Open Questions'!$C$37&amp;CHAR(10)&amp;CHAR(10)&amp;"Responses header for column "&amp;'Open Questions'!$A$37&amp;":"&amp;CHAR(10)&amp;INDIRECT("Responses!"&amp;'Open Questions'!$A$37&amp;"1"),"")</f>
        <v>0</v>
      </c>
      <c r="F3245" s="4" t="s">
        <v>2520</v>
      </c>
    </row>
    <row r="3246" spans="1:6" ht="120" customHeight="1">
      <c r="A3246" t="s">
        <v>216</v>
      </c>
      <c r="B3246" t="s">
        <v>202</v>
      </c>
      <c r="C3246" t="s">
        <v>2519</v>
      </c>
      <c r="D3246" t="s">
        <v>1808</v>
      </c>
      <c r="E3246" s="4">
        <f>IF(AND(ISNUMBER(_helpers!$H$41),_helpers!$H$41&lt;0.33),"The question wording below doesn't closely match the Responses header for column "&amp;'Open Questions'!$A$38&amp;"."&amp;CHAR(10)&amp;CHAR(10)&amp;"Question text:"&amp;CHAR(10)&amp;'Open Questions'!$C$38&amp;CHAR(10)&amp;CHAR(10)&amp;"Responses header for column "&amp;'Open Questions'!$A$38&amp;":"&amp;CHAR(10)&amp;INDIRECT("Responses!"&amp;'Open Questions'!$A$38&amp;"1"),"")</f>
        <v>0</v>
      </c>
      <c r="F3246" s="4" t="s">
        <v>2520</v>
      </c>
    </row>
    <row r="3247" spans="1:6" ht="120" customHeight="1">
      <c r="A3247" t="s">
        <v>216</v>
      </c>
      <c r="B3247" t="s">
        <v>203</v>
      </c>
      <c r="C3247" t="s">
        <v>2519</v>
      </c>
      <c r="D3247" t="s">
        <v>1808</v>
      </c>
      <c r="E3247" s="4">
        <f>IF(AND(ISNUMBER(_helpers!$H$42),_helpers!$H$42&lt;0.33),"The question wording below doesn't closely match the Responses header for column "&amp;'Open Questions'!$A$39&amp;"."&amp;CHAR(10)&amp;CHAR(10)&amp;"Question text:"&amp;CHAR(10)&amp;'Open Questions'!$C$39&amp;CHAR(10)&amp;CHAR(10)&amp;"Responses header for column "&amp;'Open Questions'!$A$39&amp;":"&amp;CHAR(10)&amp;INDIRECT("Responses!"&amp;'Open Questions'!$A$39&amp;"1"),"")</f>
        <v>0</v>
      </c>
      <c r="F3247" s="4" t="s">
        <v>2520</v>
      </c>
    </row>
    <row r="3248" spans="1:6" ht="120" customHeight="1">
      <c r="A3248" t="s">
        <v>216</v>
      </c>
      <c r="B3248" t="s">
        <v>204</v>
      </c>
      <c r="C3248" t="s">
        <v>2519</v>
      </c>
      <c r="D3248" t="s">
        <v>1808</v>
      </c>
      <c r="E3248" s="4">
        <f>IF(AND(ISNUMBER(_helpers!$H$43),_helpers!$H$43&lt;0.33),"The question wording below doesn't closely match the Responses header for column "&amp;'Open Questions'!$A$40&amp;"."&amp;CHAR(10)&amp;CHAR(10)&amp;"Question text:"&amp;CHAR(10)&amp;'Open Questions'!$C$40&amp;CHAR(10)&amp;CHAR(10)&amp;"Responses header for column "&amp;'Open Questions'!$A$40&amp;":"&amp;CHAR(10)&amp;INDIRECT("Responses!"&amp;'Open Questions'!$A$40&amp;"1"),"")</f>
        <v>0</v>
      </c>
      <c r="F3248" s="4" t="s">
        <v>2520</v>
      </c>
    </row>
    <row r="3249" spans="1:6" ht="120" customHeight="1">
      <c r="A3249" t="s">
        <v>216</v>
      </c>
      <c r="B3249" t="s">
        <v>205</v>
      </c>
      <c r="C3249" t="s">
        <v>2519</v>
      </c>
      <c r="D3249" t="s">
        <v>1808</v>
      </c>
      <c r="E3249" s="4">
        <f>IF(AND(ISNUMBER(_helpers!$H$44),_helpers!$H$44&lt;0.33),"The question wording below doesn't closely match the Responses header for column "&amp;'Open Questions'!$A$41&amp;"."&amp;CHAR(10)&amp;CHAR(10)&amp;"Question text:"&amp;CHAR(10)&amp;'Open Questions'!$C$41&amp;CHAR(10)&amp;CHAR(10)&amp;"Responses header for column "&amp;'Open Questions'!$A$41&amp;":"&amp;CHAR(10)&amp;INDIRECT("Responses!"&amp;'Open Questions'!$A$41&amp;"1"),"")</f>
        <v>0</v>
      </c>
      <c r="F3249" s="4" t="s">
        <v>2520</v>
      </c>
    </row>
    <row r="3250" spans="1:6" ht="120" customHeight="1">
      <c r="A3250" t="s">
        <v>216</v>
      </c>
      <c r="B3250" t="s">
        <v>206</v>
      </c>
      <c r="C3250" t="s">
        <v>2519</v>
      </c>
      <c r="D3250" t="s">
        <v>1808</v>
      </c>
      <c r="E3250" s="4">
        <f>IF(AND(ISNUMBER(_helpers!$H$45),_helpers!$H$45&lt;0.33),"The question wording below doesn't closely match the Responses header for column "&amp;'Open Questions'!$A$42&amp;"."&amp;CHAR(10)&amp;CHAR(10)&amp;"Question text:"&amp;CHAR(10)&amp;'Open Questions'!$C$42&amp;CHAR(10)&amp;CHAR(10)&amp;"Responses header for column "&amp;'Open Questions'!$A$42&amp;":"&amp;CHAR(10)&amp;INDIRECT("Responses!"&amp;'Open Questions'!$A$42&amp;"1"),"")</f>
        <v>0</v>
      </c>
      <c r="F3250" s="4" t="s">
        <v>2520</v>
      </c>
    </row>
    <row r="3251" spans="1:6" ht="120" customHeight="1">
      <c r="A3251" t="s">
        <v>216</v>
      </c>
      <c r="B3251" t="s">
        <v>207</v>
      </c>
      <c r="C3251" t="s">
        <v>2519</v>
      </c>
      <c r="D3251" t="s">
        <v>1808</v>
      </c>
      <c r="E3251" s="4">
        <f>IF(AND(ISNUMBER(_helpers!$H$46),_helpers!$H$46&lt;0.33),"The question wording below doesn't closely match the Responses header for column "&amp;'Open Questions'!$A$43&amp;"."&amp;CHAR(10)&amp;CHAR(10)&amp;"Question text:"&amp;CHAR(10)&amp;'Open Questions'!$C$43&amp;CHAR(10)&amp;CHAR(10)&amp;"Responses header for column "&amp;'Open Questions'!$A$43&amp;":"&amp;CHAR(10)&amp;INDIRECT("Responses!"&amp;'Open Questions'!$A$43&amp;"1"),"")</f>
        <v>0</v>
      </c>
      <c r="F3251" s="4" t="s">
        <v>2520</v>
      </c>
    </row>
    <row r="3252" spans="1:6" ht="120" customHeight="1">
      <c r="A3252" t="s">
        <v>216</v>
      </c>
      <c r="B3252" t="s">
        <v>208</v>
      </c>
      <c r="C3252" t="s">
        <v>2519</v>
      </c>
      <c r="D3252" t="s">
        <v>1808</v>
      </c>
      <c r="E3252" s="4">
        <f>IF(AND(ISNUMBER(_helpers!$H$47),_helpers!$H$47&lt;0.33),"The question wording below doesn't closely match the Responses header for column "&amp;'Open Questions'!$A$44&amp;"."&amp;CHAR(10)&amp;CHAR(10)&amp;"Question text:"&amp;CHAR(10)&amp;'Open Questions'!$C$44&amp;CHAR(10)&amp;CHAR(10)&amp;"Responses header for column "&amp;'Open Questions'!$A$44&amp;":"&amp;CHAR(10)&amp;INDIRECT("Responses!"&amp;'Open Questions'!$A$44&amp;"1"),"")</f>
        <v>0</v>
      </c>
      <c r="F3252" s="4" t="s">
        <v>2520</v>
      </c>
    </row>
    <row r="3253" spans="1:6" ht="120" customHeight="1">
      <c r="A3253" t="s">
        <v>216</v>
      </c>
      <c r="B3253" t="s">
        <v>209</v>
      </c>
      <c r="C3253" t="s">
        <v>2519</v>
      </c>
      <c r="D3253" t="s">
        <v>1808</v>
      </c>
      <c r="E3253" s="4">
        <f>IF(AND(ISNUMBER(_helpers!$H$48),_helpers!$H$48&lt;0.33),"The question wording below doesn't closely match the Responses header for column "&amp;'Open Questions'!$A$45&amp;"."&amp;CHAR(10)&amp;CHAR(10)&amp;"Question text:"&amp;CHAR(10)&amp;'Open Questions'!$C$45&amp;CHAR(10)&amp;CHAR(10)&amp;"Responses header for column "&amp;'Open Questions'!$A$45&amp;":"&amp;CHAR(10)&amp;INDIRECT("Responses!"&amp;'Open Questions'!$A$45&amp;"1"),"")</f>
        <v>0</v>
      </c>
      <c r="F3253" s="4" t="s">
        <v>2520</v>
      </c>
    </row>
    <row r="3254" spans="1:6" ht="120" customHeight="1">
      <c r="A3254" t="s">
        <v>216</v>
      </c>
      <c r="B3254" t="s">
        <v>210</v>
      </c>
      <c r="C3254" t="s">
        <v>2519</v>
      </c>
      <c r="D3254" t="s">
        <v>1808</v>
      </c>
      <c r="E3254" s="4">
        <f>IF(AND(ISNUMBER(_helpers!$H$49),_helpers!$H$49&lt;0.33),"The question wording below doesn't closely match the Responses header for column "&amp;'Open Questions'!$A$46&amp;"."&amp;CHAR(10)&amp;CHAR(10)&amp;"Question text:"&amp;CHAR(10)&amp;'Open Questions'!$C$46&amp;CHAR(10)&amp;CHAR(10)&amp;"Responses header for column "&amp;'Open Questions'!$A$46&amp;":"&amp;CHAR(10)&amp;INDIRECT("Responses!"&amp;'Open Questions'!$A$46&amp;"1"),"")</f>
        <v>0</v>
      </c>
      <c r="F3254" s="4" t="s">
        <v>2520</v>
      </c>
    </row>
    <row r="3255" spans="1:6" ht="120" customHeight="1">
      <c r="A3255" t="s">
        <v>216</v>
      </c>
      <c r="B3255" t="s">
        <v>211</v>
      </c>
      <c r="C3255" t="s">
        <v>2519</v>
      </c>
      <c r="D3255" t="s">
        <v>1808</v>
      </c>
      <c r="E3255" s="4">
        <f>IF(AND(ISNUMBER(_helpers!$H$50),_helpers!$H$50&lt;0.33),"The question wording below doesn't closely match the Responses header for column "&amp;'Open Questions'!$A$47&amp;"."&amp;CHAR(10)&amp;CHAR(10)&amp;"Question text:"&amp;CHAR(10)&amp;'Open Questions'!$C$47&amp;CHAR(10)&amp;CHAR(10)&amp;"Responses header for column "&amp;'Open Questions'!$A$47&amp;":"&amp;CHAR(10)&amp;INDIRECT("Responses!"&amp;'Open Questions'!$A$47&amp;"1"),"")</f>
        <v>0</v>
      </c>
      <c r="F3255" s="4" t="s">
        <v>2520</v>
      </c>
    </row>
    <row r="3256" spans="1:6" ht="120" customHeight="1">
      <c r="A3256" t="s">
        <v>216</v>
      </c>
      <c r="B3256" t="s">
        <v>212</v>
      </c>
      <c r="C3256" t="s">
        <v>2519</v>
      </c>
      <c r="D3256" t="s">
        <v>1808</v>
      </c>
      <c r="E3256" s="4">
        <f>IF(AND(ISNUMBER(_helpers!$H$51),_helpers!$H$51&lt;0.33),"The question wording below doesn't closely match the Responses header for column "&amp;'Open Questions'!$A$48&amp;"."&amp;CHAR(10)&amp;CHAR(10)&amp;"Question text:"&amp;CHAR(10)&amp;'Open Questions'!$C$48&amp;CHAR(10)&amp;CHAR(10)&amp;"Responses header for column "&amp;'Open Questions'!$A$48&amp;":"&amp;CHAR(10)&amp;INDIRECT("Responses!"&amp;'Open Questions'!$A$48&amp;"1"),"")</f>
        <v>0</v>
      </c>
      <c r="F3256" s="4" t="s">
        <v>2520</v>
      </c>
    </row>
    <row r="3257" spans="1:6" ht="120" customHeight="1">
      <c r="A3257" t="s">
        <v>216</v>
      </c>
      <c r="B3257" t="s">
        <v>213</v>
      </c>
      <c r="C3257" t="s">
        <v>2519</v>
      </c>
      <c r="D3257" t="s">
        <v>1808</v>
      </c>
      <c r="E3257" s="4">
        <f>IF(AND(ISNUMBER(_helpers!$H$52),_helpers!$H$52&lt;0.33),"The question wording below doesn't closely match the Responses header for column "&amp;'Open Questions'!$A$49&amp;"."&amp;CHAR(10)&amp;CHAR(10)&amp;"Question text:"&amp;CHAR(10)&amp;'Open Questions'!$C$49&amp;CHAR(10)&amp;CHAR(10)&amp;"Responses header for column "&amp;'Open Questions'!$A$49&amp;":"&amp;CHAR(10)&amp;INDIRECT("Responses!"&amp;'Open Questions'!$A$49&amp;"1"),"")</f>
        <v>0</v>
      </c>
      <c r="F3257" s="4" t="s">
        <v>2520</v>
      </c>
    </row>
    <row r="3258" spans="1:6" ht="120" customHeight="1">
      <c r="A3258" t="s">
        <v>216</v>
      </c>
      <c r="B3258" t="s">
        <v>214</v>
      </c>
      <c r="C3258" t="s">
        <v>2519</v>
      </c>
      <c r="D3258" t="s">
        <v>1808</v>
      </c>
      <c r="E3258" s="4">
        <f>IF(AND(ISNUMBER(_helpers!$H$53),_helpers!$H$53&lt;0.33),"The question wording below doesn't closely match the Responses header for column "&amp;'Open Questions'!$A$50&amp;"."&amp;CHAR(10)&amp;CHAR(10)&amp;"Question text:"&amp;CHAR(10)&amp;'Open Questions'!$C$50&amp;CHAR(10)&amp;CHAR(10)&amp;"Responses header for column "&amp;'Open Questions'!$A$50&amp;":"&amp;CHAR(10)&amp;INDIRECT("Responses!"&amp;'Open Questions'!$A$50&amp;"1"),"")</f>
        <v>0</v>
      </c>
      <c r="F3258" s="4" t="s">
        <v>2520</v>
      </c>
    </row>
    <row r="3259" spans="1:6" ht="120" customHeight="1">
      <c r="A3259" t="s">
        <v>216</v>
      </c>
      <c r="B3259" t="s">
        <v>215</v>
      </c>
      <c r="C3259" t="s">
        <v>2519</v>
      </c>
      <c r="D3259" t="s">
        <v>1808</v>
      </c>
      <c r="E3259" s="4">
        <f>IF(AND(ISNUMBER(_helpers!$H$54),_helpers!$H$54&lt;0.33),"The question wording below doesn't closely match the Responses header for column "&amp;'Open Questions'!$A$51&amp;"."&amp;CHAR(10)&amp;CHAR(10)&amp;"Question text:"&amp;CHAR(10)&amp;'Open Questions'!$C$51&amp;CHAR(10)&amp;CHAR(10)&amp;"Responses header for column "&amp;'Open Questions'!$A$51&amp;":"&amp;CHAR(10)&amp;INDIRECT("Responses!"&amp;'Open Questions'!$A$51&amp;"1"),"")</f>
        <v>0</v>
      </c>
      <c r="F3259" s="4" t="s">
        <v>2520</v>
      </c>
    </row>
    <row r="3260" spans="1:6" ht="120" customHeight="1">
      <c r="A3260" t="s">
        <v>218</v>
      </c>
      <c r="B3260" t="s">
        <v>163</v>
      </c>
      <c r="C3260" t="s">
        <v>2519</v>
      </c>
      <c r="D3260" t="s">
        <v>1808</v>
      </c>
      <c r="E3260" s="4">
        <f>IF(AND(ISNUMBER(_helpers!$P$5),_helpers!$P$5&lt;0.33),"The question wording below doesn't closely match the Responses header for column "&amp;'Multiple Choice Questions'!$A$2&amp;"."&amp;CHAR(10)&amp;CHAR(10)&amp;"Question text:"&amp;CHAR(10)&amp;'Multiple Choice Questions'!$C$2&amp;CHAR(10)&amp;CHAR(10)&amp;"Responses header for column "&amp;'Multiple Choice Questions'!$A$2&amp;":"&amp;CHAR(10)&amp;INDIRECT("Responses!"&amp;'Multiple Choice Questions'!$A$2&amp;"1"),"")</f>
        <v>0</v>
      </c>
      <c r="F3260" s="4" t="s">
        <v>2520</v>
      </c>
    </row>
    <row r="3261" spans="1:6" ht="120" customHeight="1">
      <c r="A3261" t="s">
        <v>218</v>
      </c>
      <c r="B3261" t="s">
        <v>167</v>
      </c>
      <c r="C3261" t="s">
        <v>2519</v>
      </c>
      <c r="D3261" t="s">
        <v>1808</v>
      </c>
      <c r="E3261" s="4">
        <f>IF(AND(ISNUMBER(_helpers!$P$6),_helpers!$P$6&lt;0.33),"The question wording below doesn't closely match the Responses header for column "&amp;'Multiple Choice Questions'!$A$3&amp;"."&amp;CHAR(10)&amp;CHAR(10)&amp;"Question text:"&amp;CHAR(10)&amp;'Multiple Choice Questions'!$C$3&amp;CHAR(10)&amp;CHAR(10)&amp;"Responses header for column "&amp;'Multiple Choice Questions'!$A$3&amp;":"&amp;CHAR(10)&amp;INDIRECT("Responses!"&amp;'Multiple Choice Questions'!$A$3&amp;"1"),"")</f>
        <v>0</v>
      </c>
      <c r="F3261" s="4" t="s">
        <v>2520</v>
      </c>
    </row>
    <row r="3262" spans="1:6" ht="120" customHeight="1">
      <c r="A3262" t="s">
        <v>218</v>
      </c>
      <c r="B3262" t="s">
        <v>168</v>
      </c>
      <c r="C3262" t="s">
        <v>2519</v>
      </c>
      <c r="D3262" t="s">
        <v>1808</v>
      </c>
      <c r="E3262" s="4">
        <f>IF(AND(ISNUMBER(_helpers!$P$7),_helpers!$P$7&lt;0.33),"The question wording below doesn't closely match the Responses header for column "&amp;'Multiple Choice Questions'!$A$4&amp;"."&amp;CHAR(10)&amp;CHAR(10)&amp;"Question text:"&amp;CHAR(10)&amp;'Multiple Choice Questions'!$C$4&amp;CHAR(10)&amp;CHAR(10)&amp;"Responses header for column "&amp;'Multiple Choice Questions'!$A$4&amp;":"&amp;CHAR(10)&amp;INDIRECT("Responses!"&amp;'Multiple Choice Questions'!$A$4&amp;"1"),"")</f>
        <v>0</v>
      </c>
      <c r="F3262" s="4" t="s">
        <v>2520</v>
      </c>
    </row>
    <row r="3263" spans="1:6" ht="120" customHeight="1">
      <c r="A3263" t="s">
        <v>218</v>
      </c>
      <c r="B3263" t="s">
        <v>169</v>
      </c>
      <c r="C3263" t="s">
        <v>2519</v>
      </c>
      <c r="D3263" t="s">
        <v>1808</v>
      </c>
      <c r="E3263" s="4">
        <f>IF(AND(ISNUMBER(_helpers!$P$8),_helpers!$P$8&lt;0.33),"The question wording below doesn't closely match the Responses header for column "&amp;'Multiple Choice Questions'!$A$5&amp;"."&amp;CHAR(10)&amp;CHAR(10)&amp;"Question text:"&amp;CHAR(10)&amp;'Multiple Choice Questions'!$C$5&amp;CHAR(10)&amp;CHAR(10)&amp;"Responses header for column "&amp;'Multiple Choice Questions'!$A$5&amp;":"&amp;CHAR(10)&amp;INDIRECT("Responses!"&amp;'Multiple Choice Questions'!$A$5&amp;"1"),"")</f>
        <v>0</v>
      </c>
      <c r="F3263" s="4" t="s">
        <v>2520</v>
      </c>
    </row>
    <row r="3264" spans="1:6" ht="120" customHeight="1">
      <c r="A3264" t="s">
        <v>218</v>
      </c>
      <c r="B3264" t="s">
        <v>170</v>
      </c>
      <c r="C3264" t="s">
        <v>2519</v>
      </c>
      <c r="D3264" t="s">
        <v>1808</v>
      </c>
      <c r="E3264" s="4">
        <f>IF(AND(ISNUMBER(_helpers!$P$9),_helpers!$P$9&lt;0.33),"The question wording below doesn't closely match the Responses header for column "&amp;'Multiple Choice Questions'!$A$6&amp;"."&amp;CHAR(10)&amp;CHAR(10)&amp;"Question text:"&amp;CHAR(10)&amp;'Multiple Choice Questions'!$C$6&amp;CHAR(10)&amp;CHAR(10)&amp;"Responses header for column "&amp;'Multiple Choice Questions'!$A$6&amp;":"&amp;CHAR(10)&amp;INDIRECT("Responses!"&amp;'Multiple Choice Questions'!$A$6&amp;"1"),"")</f>
        <v>0</v>
      </c>
      <c r="F3264" s="4" t="s">
        <v>2520</v>
      </c>
    </row>
    <row r="3265" spans="1:6" ht="120" customHeight="1">
      <c r="A3265" t="s">
        <v>218</v>
      </c>
      <c r="B3265" t="s">
        <v>171</v>
      </c>
      <c r="C3265" t="s">
        <v>2519</v>
      </c>
      <c r="D3265" t="s">
        <v>1808</v>
      </c>
      <c r="E3265" s="4">
        <f>IF(AND(ISNUMBER(_helpers!$P$10),_helpers!$P$10&lt;0.33),"The question wording below doesn't closely match the Responses header for column "&amp;'Multiple Choice Questions'!$A$7&amp;"."&amp;CHAR(10)&amp;CHAR(10)&amp;"Question text:"&amp;CHAR(10)&amp;'Multiple Choice Questions'!$C$7&amp;CHAR(10)&amp;CHAR(10)&amp;"Responses header for column "&amp;'Multiple Choice Questions'!$A$7&amp;":"&amp;CHAR(10)&amp;INDIRECT("Responses!"&amp;'Multiple Choice Questions'!$A$7&amp;"1"),"")</f>
        <v>0</v>
      </c>
      <c r="F3265" s="4" t="s">
        <v>2520</v>
      </c>
    </row>
    <row r="3266" spans="1:6" ht="120" customHeight="1">
      <c r="A3266" t="s">
        <v>218</v>
      </c>
      <c r="B3266" t="s">
        <v>172</v>
      </c>
      <c r="C3266" t="s">
        <v>2519</v>
      </c>
      <c r="D3266" t="s">
        <v>1808</v>
      </c>
      <c r="E3266" s="4">
        <f>IF(AND(ISNUMBER(_helpers!$P$11),_helpers!$P$11&lt;0.33),"The question wording below doesn't closely match the Responses header for column "&amp;'Multiple Choice Questions'!$A$8&amp;"."&amp;CHAR(10)&amp;CHAR(10)&amp;"Question text:"&amp;CHAR(10)&amp;'Multiple Choice Questions'!$C$8&amp;CHAR(10)&amp;CHAR(10)&amp;"Responses header for column "&amp;'Multiple Choice Questions'!$A$8&amp;":"&amp;CHAR(10)&amp;INDIRECT("Responses!"&amp;'Multiple Choice Questions'!$A$8&amp;"1"),"")</f>
        <v>0</v>
      </c>
      <c r="F3266" s="4" t="s">
        <v>2520</v>
      </c>
    </row>
    <row r="3267" spans="1:6" ht="120" customHeight="1">
      <c r="A3267" t="s">
        <v>218</v>
      </c>
      <c r="B3267" t="s">
        <v>173</v>
      </c>
      <c r="C3267" t="s">
        <v>2519</v>
      </c>
      <c r="D3267" t="s">
        <v>1808</v>
      </c>
      <c r="E3267" s="4">
        <f>IF(AND(ISNUMBER(_helpers!$P$12),_helpers!$P$12&lt;0.33),"The question wording below doesn't closely match the Responses header for column "&amp;'Multiple Choice Questions'!$A$9&amp;"."&amp;CHAR(10)&amp;CHAR(10)&amp;"Question text:"&amp;CHAR(10)&amp;'Multiple Choice Questions'!$C$9&amp;CHAR(10)&amp;CHAR(10)&amp;"Responses header for column "&amp;'Multiple Choice Questions'!$A$9&amp;":"&amp;CHAR(10)&amp;INDIRECT("Responses!"&amp;'Multiple Choice Questions'!$A$9&amp;"1"),"")</f>
        <v>0</v>
      </c>
      <c r="F3267" s="4" t="s">
        <v>2520</v>
      </c>
    </row>
    <row r="3268" spans="1:6" ht="120" customHeight="1">
      <c r="A3268" t="s">
        <v>218</v>
      </c>
      <c r="B3268" t="s">
        <v>174</v>
      </c>
      <c r="C3268" t="s">
        <v>2519</v>
      </c>
      <c r="D3268" t="s">
        <v>1808</v>
      </c>
      <c r="E3268" s="4">
        <f>IF(AND(ISNUMBER(_helpers!$P$13),_helpers!$P$13&lt;0.33),"The question wording below doesn't closely match the Responses header for column "&amp;'Multiple Choice Questions'!$A$10&amp;"."&amp;CHAR(10)&amp;CHAR(10)&amp;"Question text:"&amp;CHAR(10)&amp;'Multiple Choice Questions'!$C$10&amp;CHAR(10)&amp;CHAR(10)&amp;"Responses header for column "&amp;'Multiple Choice Questions'!$A$10&amp;":"&amp;CHAR(10)&amp;INDIRECT("Responses!"&amp;'Multiple Choice Questions'!$A$10&amp;"1"),"")</f>
        <v>0</v>
      </c>
      <c r="F3268" s="4" t="s">
        <v>2520</v>
      </c>
    </row>
    <row r="3269" spans="1:6" ht="120" customHeight="1">
      <c r="A3269" t="s">
        <v>218</v>
      </c>
      <c r="B3269" t="s">
        <v>175</v>
      </c>
      <c r="C3269" t="s">
        <v>2519</v>
      </c>
      <c r="D3269" t="s">
        <v>1808</v>
      </c>
      <c r="E3269" s="4">
        <f>IF(AND(ISNUMBER(_helpers!$P$14),_helpers!$P$14&lt;0.33),"The question wording below doesn't closely match the Responses header for column "&amp;'Multiple Choice Questions'!$A$11&amp;"."&amp;CHAR(10)&amp;CHAR(10)&amp;"Question text:"&amp;CHAR(10)&amp;'Multiple Choice Questions'!$C$11&amp;CHAR(10)&amp;CHAR(10)&amp;"Responses header for column "&amp;'Multiple Choice Questions'!$A$11&amp;":"&amp;CHAR(10)&amp;INDIRECT("Responses!"&amp;'Multiple Choice Questions'!$A$11&amp;"1"),"")</f>
        <v>0</v>
      </c>
      <c r="F3269" s="4" t="s">
        <v>2520</v>
      </c>
    </row>
    <row r="3270" spans="1:6" ht="120" customHeight="1">
      <c r="A3270" t="s">
        <v>218</v>
      </c>
      <c r="B3270" t="s">
        <v>176</v>
      </c>
      <c r="C3270" t="s">
        <v>2519</v>
      </c>
      <c r="D3270" t="s">
        <v>1808</v>
      </c>
      <c r="E3270" s="4">
        <f>IF(AND(ISNUMBER(_helpers!$P$15),_helpers!$P$15&lt;0.33),"The question wording below doesn't closely match the Responses header for column "&amp;'Multiple Choice Questions'!$A$12&amp;"."&amp;CHAR(10)&amp;CHAR(10)&amp;"Question text:"&amp;CHAR(10)&amp;'Multiple Choice Questions'!$C$12&amp;CHAR(10)&amp;CHAR(10)&amp;"Responses header for column "&amp;'Multiple Choice Questions'!$A$12&amp;":"&amp;CHAR(10)&amp;INDIRECT("Responses!"&amp;'Multiple Choice Questions'!$A$12&amp;"1"),"")</f>
        <v>0</v>
      </c>
      <c r="F3270" s="4" t="s">
        <v>2520</v>
      </c>
    </row>
    <row r="3271" spans="1:6" ht="120" customHeight="1">
      <c r="A3271" t="s">
        <v>218</v>
      </c>
      <c r="B3271" t="s">
        <v>177</v>
      </c>
      <c r="C3271" t="s">
        <v>2519</v>
      </c>
      <c r="D3271" t="s">
        <v>1808</v>
      </c>
      <c r="E3271" s="4">
        <f>IF(AND(ISNUMBER(_helpers!$P$16),_helpers!$P$16&lt;0.33),"The question wording below doesn't closely match the Responses header for column "&amp;'Multiple Choice Questions'!$A$13&amp;"."&amp;CHAR(10)&amp;CHAR(10)&amp;"Question text:"&amp;CHAR(10)&amp;'Multiple Choice Questions'!$C$13&amp;CHAR(10)&amp;CHAR(10)&amp;"Responses header for column "&amp;'Multiple Choice Questions'!$A$13&amp;":"&amp;CHAR(10)&amp;INDIRECT("Responses!"&amp;'Multiple Choice Questions'!$A$13&amp;"1"),"")</f>
        <v>0</v>
      </c>
      <c r="F3271" s="4" t="s">
        <v>2520</v>
      </c>
    </row>
    <row r="3272" spans="1:6" ht="120" customHeight="1">
      <c r="A3272" t="s">
        <v>218</v>
      </c>
      <c r="B3272" t="s">
        <v>178</v>
      </c>
      <c r="C3272" t="s">
        <v>2519</v>
      </c>
      <c r="D3272" t="s">
        <v>1808</v>
      </c>
      <c r="E3272" s="4">
        <f>IF(AND(ISNUMBER(_helpers!$P$17),_helpers!$P$17&lt;0.33),"The question wording below doesn't closely match the Responses header for column "&amp;'Multiple Choice Questions'!$A$14&amp;"."&amp;CHAR(10)&amp;CHAR(10)&amp;"Question text:"&amp;CHAR(10)&amp;'Multiple Choice Questions'!$C$14&amp;CHAR(10)&amp;CHAR(10)&amp;"Responses header for column "&amp;'Multiple Choice Questions'!$A$14&amp;":"&amp;CHAR(10)&amp;INDIRECT("Responses!"&amp;'Multiple Choice Questions'!$A$14&amp;"1"),"")</f>
        <v>0</v>
      </c>
      <c r="F3272" s="4" t="s">
        <v>2520</v>
      </c>
    </row>
    <row r="3273" spans="1:6" ht="120" customHeight="1">
      <c r="A3273" t="s">
        <v>218</v>
      </c>
      <c r="B3273" t="s">
        <v>179</v>
      </c>
      <c r="C3273" t="s">
        <v>2519</v>
      </c>
      <c r="D3273" t="s">
        <v>1808</v>
      </c>
      <c r="E3273" s="4">
        <f>IF(AND(ISNUMBER(_helpers!$P$18),_helpers!$P$18&lt;0.33),"The question wording below doesn't closely match the Responses header for column "&amp;'Multiple Choice Questions'!$A$15&amp;"."&amp;CHAR(10)&amp;CHAR(10)&amp;"Question text:"&amp;CHAR(10)&amp;'Multiple Choice Questions'!$C$15&amp;CHAR(10)&amp;CHAR(10)&amp;"Responses header for column "&amp;'Multiple Choice Questions'!$A$15&amp;":"&amp;CHAR(10)&amp;INDIRECT("Responses!"&amp;'Multiple Choice Questions'!$A$15&amp;"1"),"")</f>
        <v>0</v>
      </c>
      <c r="F3273" s="4" t="s">
        <v>2520</v>
      </c>
    </row>
    <row r="3274" spans="1:6" ht="120" customHeight="1">
      <c r="A3274" t="s">
        <v>218</v>
      </c>
      <c r="B3274" t="s">
        <v>180</v>
      </c>
      <c r="C3274" t="s">
        <v>2519</v>
      </c>
      <c r="D3274" t="s">
        <v>1808</v>
      </c>
      <c r="E3274" s="4">
        <f>IF(AND(ISNUMBER(_helpers!$P$19),_helpers!$P$19&lt;0.33),"The question wording below doesn't closely match the Responses header for column "&amp;'Multiple Choice Questions'!$A$16&amp;"."&amp;CHAR(10)&amp;CHAR(10)&amp;"Question text:"&amp;CHAR(10)&amp;'Multiple Choice Questions'!$C$16&amp;CHAR(10)&amp;CHAR(10)&amp;"Responses header for column "&amp;'Multiple Choice Questions'!$A$16&amp;":"&amp;CHAR(10)&amp;INDIRECT("Responses!"&amp;'Multiple Choice Questions'!$A$16&amp;"1"),"")</f>
        <v>0</v>
      </c>
      <c r="F3274" s="4" t="s">
        <v>2520</v>
      </c>
    </row>
    <row r="3275" spans="1:6" ht="120" customHeight="1">
      <c r="A3275" t="s">
        <v>218</v>
      </c>
      <c r="B3275" t="s">
        <v>181</v>
      </c>
      <c r="C3275" t="s">
        <v>2519</v>
      </c>
      <c r="D3275" t="s">
        <v>1808</v>
      </c>
      <c r="E3275" s="4">
        <f>IF(AND(ISNUMBER(_helpers!$P$20),_helpers!$P$20&lt;0.33),"The question wording below doesn't closely match the Responses header for column "&amp;'Multiple Choice Questions'!$A$17&amp;"."&amp;CHAR(10)&amp;CHAR(10)&amp;"Question text:"&amp;CHAR(10)&amp;'Multiple Choice Questions'!$C$17&amp;CHAR(10)&amp;CHAR(10)&amp;"Responses header for column "&amp;'Multiple Choice Questions'!$A$17&amp;":"&amp;CHAR(10)&amp;INDIRECT("Responses!"&amp;'Multiple Choice Questions'!$A$17&amp;"1"),"")</f>
        <v>0</v>
      </c>
      <c r="F3275" s="4" t="s">
        <v>2520</v>
      </c>
    </row>
    <row r="3276" spans="1:6" ht="120" customHeight="1">
      <c r="A3276" t="s">
        <v>218</v>
      </c>
      <c r="B3276" t="s">
        <v>182</v>
      </c>
      <c r="C3276" t="s">
        <v>2519</v>
      </c>
      <c r="D3276" t="s">
        <v>1808</v>
      </c>
      <c r="E3276" s="4">
        <f>IF(AND(ISNUMBER(_helpers!$P$21),_helpers!$P$21&lt;0.33),"The question wording below doesn't closely match the Responses header for column "&amp;'Multiple Choice Questions'!$A$18&amp;"."&amp;CHAR(10)&amp;CHAR(10)&amp;"Question text:"&amp;CHAR(10)&amp;'Multiple Choice Questions'!$C$18&amp;CHAR(10)&amp;CHAR(10)&amp;"Responses header for column "&amp;'Multiple Choice Questions'!$A$18&amp;":"&amp;CHAR(10)&amp;INDIRECT("Responses!"&amp;'Multiple Choice Questions'!$A$18&amp;"1"),"")</f>
        <v>0</v>
      </c>
      <c r="F3276" s="4" t="s">
        <v>2520</v>
      </c>
    </row>
    <row r="3277" spans="1:6" ht="120" customHeight="1">
      <c r="A3277" t="s">
        <v>218</v>
      </c>
      <c r="B3277" t="s">
        <v>183</v>
      </c>
      <c r="C3277" t="s">
        <v>2519</v>
      </c>
      <c r="D3277" t="s">
        <v>1808</v>
      </c>
      <c r="E3277" s="4">
        <f>IF(AND(ISNUMBER(_helpers!$P$22),_helpers!$P$22&lt;0.33),"The question wording below doesn't closely match the Responses header for column "&amp;'Multiple Choice Questions'!$A$19&amp;"."&amp;CHAR(10)&amp;CHAR(10)&amp;"Question text:"&amp;CHAR(10)&amp;'Multiple Choice Questions'!$C$19&amp;CHAR(10)&amp;CHAR(10)&amp;"Responses header for column "&amp;'Multiple Choice Questions'!$A$19&amp;":"&amp;CHAR(10)&amp;INDIRECT("Responses!"&amp;'Multiple Choice Questions'!$A$19&amp;"1"),"")</f>
        <v>0</v>
      </c>
      <c r="F3277" s="4" t="s">
        <v>2520</v>
      </c>
    </row>
    <row r="3278" spans="1:6" ht="120" customHeight="1">
      <c r="A3278" t="s">
        <v>218</v>
      </c>
      <c r="B3278" t="s">
        <v>184</v>
      </c>
      <c r="C3278" t="s">
        <v>2519</v>
      </c>
      <c r="D3278" t="s">
        <v>1808</v>
      </c>
      <c r="E3278" s="4">
        <f>IF(AND(ISNUMBER(_helpers!$P$23),_helpers!$P$23&lt;0.33),"The question wording below doesn't closely match the Responses header for column "&amp;'Multiple Choice Questions'!$A$20&amp;"."&amp;CHAR(10)&amp;CHAR(10)&amp;"Question text:"&amp;CHAR(10)&amp;'Multiple Choice Questions'!$C$20&amp;CHAR(10)&amp;CHAR(10)&amp;"Responses header for column "&amp;'Multiple Choice Questions'!$A$20&amp;":"&amp;CHAR(10)&amp;INDIRECT("Responses!"&amp;'Multiple Choice Questions'!$A$20&amp;"1"),"")</f>
        <v>0</v>
      </c>
      <c r="F3278" s="4" t="s">
        <v>2520</v>
      </c>
    </row>
    <row r="3279" spans="1:6" ht="120" customHeight="1">
      <c r="A3279" t="s">
        <v>218</v>
      </c>
      <c r="B3279" t="s">
        <v>185</v>
      </c>
      <c r="C3279" t="s">
        <v>2519</v>
      </c>
      <c r="D3279" t="s">
        <v>1808</v>
      </c>
      <c r="E3279" s="4">
        <f>IF(AND(ISNUMBER(_helpers!$P$24),_helpers!$P$24&lt;0.33),"The question wording below doesn't closely match the Responses header for column "&amp;'Multiple Choice Questions'!$A$21&amp;"."&amp;CHAR(10)&amp;CHAR(10)&amp;"Question text:"&amp;CHAR(10)&amp;'Multiple Choice Questions'!$C$21&amp;CHAR(10)&amp;CHAR(10)&amp;"Responses header for column "&amp;'Multiple Choice Questions'!$A$21&amp;":"&amp;CHAR(10)&amp;INDIRECT("Responses!"&amp;'Multiple Choice Questions'!$A$21&amp;"1"),"")</f>
        <v>0</v>
      </c>
      <c r="F3279" s="4" t="s">
        <v>2520</v>
      </c>
    </row>
    <row r="3280" spans="1:6" ht="120" customHeight="1">
      <c r="A3280" t="s">
        <v>218</v>
      </c>
      <c r="B3280" t="s">
        <v>186</v>
      </c>
      <c r="C3280" t="s">
        <v>2519</v>
      </c>
      <c r="D3280" t="s">
        <v>1808</v>
      </c>
      <c r="E3280" s="4">
        <f>IF(AND(ISNUMBER(_helpers!$P$25),_helpers!$P$25&lt;0.33),"The question wording below doesn't closely match the Responses header for column "&amp;'Multiple Choice Questions'!$A$22&amp;"."&amp;CHAR(10)&amp;CHAR(10)&amp;"Question text:"&amp;CHAR(10)&amp;'Multiple Choice Questions'!$C$22&amp;CHAR(10)&amp;CHAR(10)&amp;"Responses header for column "&amp;'Multiple Choice Questions'!$A$22&amp;":"&amp;CHAR(10)&amp;INDIRECT("Responses!"&amp;'Multiple Choice Questions'!$A$22&amp;"1"),"")</f>
        <v>0</v>
      </c>
      <c r="F3280" s="4" t="s">
        <v>2520</v>
      </c>
    </row>
    <row r="3281" spans="1:6" ht="120" customHeight="1">
      <c r="A3281" t="s">
        <v>218</v>
      </c>
      <c r="B3281" t="s">
        <v>187</v>
      </c>
      <c r="C3281" t="s">
        <v>2519</v>
      </c>
      <c r="D3281" t="s">
        <v>1808</v>
      </c>
      <c r="E3281" s="4">
        <f>IF(AND(ISNUMBER(_helpers!$P$26),_helpers!$P$26&lt;0.33),"The question wording below doesn't closely match the Responses header for column "&amp;'Multiple Choice Questions'!$A$23&amp;"."&amp;CHAR(10)&amp;CHAR(10)&amp;"Question text:"&amp;CHAR(10)&amp;'Multiple Choice Questions'!$C$23&amp;CHAR(10)&amp;CHAR(10)&amp;"Responses header for column "&amp;'Multiple Choice Questions'!$A$23&amp;":"&amp;CHAR(10)&amp;INDIRECT("Responses!"&amp;'Multiple Choice Questions'!$A$23&amp;"1"),"")</f>
        <v>0</v>
      </c>
      <c r="F3281" s="4" t="s">
        <v>2520</v>
      </c>
    </row>
    <row r="3282" spans="1:6" ht="120" customHeight="1">
      <c r="A3282" t="s">
        <v>218</v>
      </c>
      <c r="B3282" t="s">
        <v>188</v>
      </c>
      <c r="C3282" t="s">
        <v>2519</v>
      </c>
      <c r="D3282" t="s">
        <v>1808</v>
      </c>
      <c r="E3282" s="4">
        <f>IF(AND(ISNUMBER(_helpers!$P$27),_helpers!$P$27&lt;0.33),"The question wording below doesn't closely match the Responses header for column "&amp;'Multiple Choice Questions'!$A$24&amp;"."&amp;CHAR(10)&amp;CHAR(10)&amp;"Question text:"&amp;CHAR(10)&amp;'Multiple Choice Questions'!$C$24&amp;CHAR(10)&amp;CHAR(10)&amp;"Responses header for column "&amp;'Multiple Choice Questions'!$A$24&amp;":"&amp;CHAR(10)&amp;INDIRECT("Responses!"&amp;'Multiple Choice Questions'!$A$24&amp;"1"),"")</f>
        <v>0</v>
      </c>
      <c r="F3282" s="4" t="s">
        <v>2520</v>
      </c>
    </row>
    <row r="3283" spans="1:6" ht="120" customHeight="1">
      <c r="A3283" t="s">
        <v>218</v>
      </c>
      <c r="B3283" t="s">
        <v>189</v>
      </c>
      <c r="C3283" t="s">
        <v>2519</v>
      </c>
      <c r="D3283" t="s">
        <v>1808</v>
      </c>
      <c r="E3283" s="4">
        <f>IF(AND(ISNUMBER(_helpers!$P$28),_helpers!$P$28&lt;0.33),"The question wording below doesn't closely match the Responses header for column "&amp;'Multiple Choice Questions'!$A$25&amp;"."&amp;CHAR(10)&amp;CHAR(10)&amp;"Question text:"&amp;CHAR(10)&amp;'Multiple Choice Questions'!$C$25&amp;CHAR(10)&amp;CHAR(10)&amp;"Responses header for column "&amp;'Multiple Choice Questions'!$A$25&amp;":"&amp;CHAR(10)&amp;INDIRECT("Responses!"&amp;'Multiple Choice Questions'!$A$25&amp;"1"),"")</f>
        <v>0</v>
      </c>
      <c r="F3283" s="4" t="s">
        <v>2520</v>
      </c>
    </row>
    <row r="3284" spans="1:6" ht="120" customHeight="1">
      <c r="A3284" t="s">
        <v>218</v>
      </c>
      <c r="B3284" t="s">
        <v>190</v>
      </c>
      <c r="C3284" t="s">
        <v>2519</v>
      </c>
      <c r="D3284" t="s">
        <v>1808</v>
      </c>
      <c r="E3284" s="4">
        <f>IF(AND(ISNUMBER(_helpers!$P$29),_helpers!$P$29&lt;0.33),"The question wording below doesn't closely match the Responses header for column "&amp;'Multiple Choice Questions'!$A$26&amp;"."&amp;CHAR(10)&amp;CHAR(10)&amp;"Question text:"&amp;CHAR(10)&amp;'Multiple Choice Questions'!$C$26&amp;CHAR(10)&amp;CHAR(10)&amp;"Responses header for column "&amp;'Multiple Choice Questions'!$A$26&amp;":"&amp;CHAR(10)&amp;INDIRECT("Responses!"&amp;'Multiple Choice Questions'!$A$26&amp;"1"),"")</f>
        <v>0</v>
      </c>
      <c r="F3284" s="4" t="s">
        <v>2520</v>
      </c>
    </row>
    <row r="3285" spans="1:6" ht="120" customHeight="1">
      <c r="A3285" t="s">
        <v>218</v>
      </c>
      <c r="B3285" t="s">
        <v>191</v>
      </c>
      <c r="C3285" t="s">
        <v>2519</v>
      </c>
      <c r="D3285" t="s">
        <v>1808</v>
      </c>
      <c r="E3285" s="4">
        <f>IF(AND(ISNUMBER(_helpers!$P$30),_helpers!$P$30&lt;0.33),"The question wording below doesn't closely match the Responses header for column "&amp;'Multiple Choice Questions'!$A$27&amp;"."&amp;CHAR(10)&amp;CHAR(10)&amp;"Question text:"&amp;CHAR(10)&amp;'Multiple Choice Questions'!$C$27&amp;CHAR(10)&amp;CHAR(10)&amp;"Responses header for column "&amp;'Multiple Choice Questions'!$A$27&amp;":"&amp;CHAR(10)&amp;INDIRECT("Responses!"&amp;'Multiple Choice Questions'!$A$27&amp;"1"),"")</f>
        <v>0</v>
      </c>
      <c r="F3285" s="4" t="s">
        <v>2520</v>
      </c>
    </row>
    <row r="3286" spans="1:6" ht="120" customHeight="1">
      <c r="A3286" t="s">
        <v>218</v>
      </c>
      <c r="B3286" t="s">
        <v>192</v>
      </c>
      <c r="C3286" t="s">
        <v>2519</v>
      </c>
      <c r="D3286" t="s">
        <v>1808</v>
      </c>
      <c r="E3286" s="4">
        <f>IF(AND(ISNUMBER(_helpers!$P$31),_helpers!$P$31&lt;0.33),"The question wording below doesn't closely match the Responses header for column "&amp;'Multiple Choice Questions'!$A$28&amp;"."&amp;CHAR(10)&amp;CHAR(10)&amp;"Question text:"&amp;CHAR(10)&amp;'Multiple Choice Questions'!$C$28&amp;CHAR(10)&amp;CHAR(10)&amp;"Responses header for column "&amp;'Multiple Choice Questions'!$A$28&amp;":"&amp;CHAR(10)&amp;INDIRECT("Responses!"&amp;'Multiple Choice Questions'!$A$28&amp;"1"),"")</f>
        <v>0</v>
      </c>
      <c r="F3286" s="4" t="s">
        <v>2520</v>
      </c>
    </row>
    <row r="3287" spans="1:6" ht="120" customHeight="1">
      <c r="A3287" t="s">
        <v>218</v>
      </c>
      <c r="B3287" t="s">
        <v>193</v>
      </c>
      <c r="C3287" t="s">
        <v>2519</v>
      </c>
      <c r="D3287" t="s">
        <v>1808</v>
      </c>
      <c r="E3287" s="4">
        <f>IF(AND(ISNUMBER(_helpers!$P$32),_helpers!$P$32&lt;0.33),"The question wording below doesn't closely match the Responses header for column "&amp;'Multiple Choice Questions'!$A$29&amp;"."&amp;CHAR(10)&amp;CHAR(10)&amp;"Question text:"&amp;CHAR(10)&amp;'Multiple Choice Questions'!$C$29&amp;CHAR(10)&amp;CHAR(10)&amp;"Responses header for column "&amp;'Multiple Choice Questions'!$A$29&amp;":"&amp;CHAR(10)&amp;INDIRECT("Responses!"&amp;'Multiple Choice Questions'!$A$29&amp;"1"),"")</f>
        <v>0</v>
      </c>
      <c r="F3287" s="4" t="s">
        <v>2520</v>
      </c>
    </row>
    <row r="3288" spans="1:6" ht="120" customHeight="1">
      <c r="A3288" t="s">
        <v>218</v>
      </c>
      <c r="B3288" t="s">
        <v>194</v>
      </c>
      <c r="C3288" t="s">
        <v>2519</v>
      </c>
      <c r="D3288" t="s">
        <v>1808</v>
      </c>
      <c r="E3288" s="4">
        <f>IF(AND(ISNUMBER(_helpers!$P$33),_helpers!$P$33&lt;0.33),"The question wording below doesn't closely match the Responses header for column "&amp;'Multiple Choice Questions'!$A$30&amp;"."&amp;CHAR(10)&amp;CHAR(10)&amp;"Question text:"&amp;CHAR(10)&amp;'Multiple Choice Questions'!$C$30&amp;CHAR(10)&amp;CHAR(10)&amp;"Responses header for column "&amp;'Multiple Choice Questions'!$A$30&amp;":"&amp;CHAR(10)&amp;INDIRECT("Responses!"&amp;'Multiple Choice Questions'!$A$30&amp;"1"),"")</f>
        <v>0</v>
      </c>
      <c r="F3288" s="4" t="s">
        <v>2520</v>
      </c>
    </row>
    <row r="3289" spans="1:6" ht="120" customHeight="1">
      <c r="A3289" t="s">
        <v>218</v>
      </c>
      <c r="B3289" t="s">
        <v>195</v>
      </c>
      <c r="C3289" t="s">
        <v>2519</v>
      </c>
      <c r="D3289" t="s">
        <v>1808</v>
      </c>
      <c r="E3289" s="4">
        <f>IF(AND(ISNUMBER(_helpers!$P$34),_helpers!$P$34&lt;0.33),"The question wording below doesn't closely match the Responses header for column "&amp;'Multiple Choice Questions'!$A$31&amp;"."&amp;CHAR(10)&amp;CHAR(10)&amp;"Question text:"&amp;CHAR(10)&amp;'Multiple Choice Questions'!$C$31&amp;CHAR(10)&amp;CHAR(10)&amp;"Responses header for column "&amp;'Multiple Choice Questions'!$A$31&amp;":"&amp;CHAR(10)&amp;INDIRECT("Responses!"&amp;'Multiple Choice Questions'!$A$31&amp;"1"),"")</f>
        <v>0</v>
      </c>
      <c r="F3289" s="4" t="s">
        <v>2520</v>
      </c>
    </row>
    <row r="3290" spans="1:6" ht="120" customHeight="1">
      <c r="A3290" t="s">
        <v>218</v>
      </c>
      <c r="B3290" t="s">
        <v>196</v>
      </c>
      <c r="C3290" t="s">
        <v>2519</v>
      </c>
      <c r="D3290" t="s">
        <v>1808</v>
      </c>
      <c r="E3290" s="4">
        <f>IF(AND(ISNUMBER(_helpers!$P$35),_helpers!$P$35&lt;0.33),"The question wording below doesn't closely match the Responses header for column "&amp;'Multiple Choice Questions'!$A$32&amp;"."&amp;CHAR(10)&amp;CHAR(10)&amp;"Question text:"&amp;CHAR(10)&amp;'Multiple Choice Questions'!$C$32&amp;CHAR(10)&amp;CHAR(10)&amp;"Responses header for column "&amp;'Multiple Choice Questions'!$A$32&amp;":"&amp;CHAR(10)&amp;INDIRECT("Responses!"&amp;'Multiple Choice Questions'!$A$32&amp;"1"),"")</f>
        <v>0</v>
      </c>
      <c r="F3290" s="4" t="s">
        <v>2520</v>
      </c>
    </row>
    <row r="3291" spans="1:6" ht="120" customHeight="1">
      <c r="A3291" t="s">
        <v>218</v>
      </c>
      <c r="B3291" t="s">
        <v>197</v>
      </c>
      <c r="C3291" t="s">
        <v>2519</v>
      </c>
      <c r="D3291" t="s">
        <v>1808</v>
      </c>
      <c r="E3291" s="4">
        <f>IF(AND(ISNUMBER(_helpers!$P$36),_helpers!$P$36&lt;0.33),"The question wording below doesn't closely match the Responses header for column "&amp;'Multiple Choice Questions'!$A$33&amp;"."&amp;CHAR(10)&amp;CHAR(10)&amp;"Question text:"&amp;CHAR(10)&amp;'Multiple Choice Questions'!$C$33&amp;CHAR(10)&amp;CHAR(10)&amp;"Responses header for column "&amp;'Multiple Choice Questions'!$A$33&amp;":"&amp;CHAR(10)&amp;INDIRECT("Responses!"&amp;'Multiple Choice Questions'!$A$33&amp;"1"),"")</f>
        <v>0</v>
      </c>
      <c r="F3291" s="4" t="s">
        <v>2520</v>
      </c>
    </row>
    <row r="3292" spans="1:6" ht="120" customHeight="1">
      <c r="A3292" t="s">
        <v>218</v>
      </c>
      <c r="B3292" t="s">
        <v>198</v>
      </c>
      <c r="C3292" t="s">
        <v>2519</v>
      </c>
      <c r="D3292" t="s">
        <v>1808</v>
      </c>
      <c r="E3292" s="4">
        <f>IF(AND(ISNUMBER(_helpers!$P$37),_helpers!$P$37&lt;0.33),"The question wording below doesn't closely match the Responses header for column "&amp;'Multiple Choice Questions'!$A$34&amp;"."&amp;CHAR(10)&amp;CHAR(10)&amp;"Question text:"&amp;CHAR(10)&amp;'Multiple Choice Questions'!$C$34&amp;CHAR(10)&amp;CHAR(10)&amp;"Responses header for column "&amp;'Multiple Choice Questions'!$A$34&amp;":"&amp;CHAR(10)&amp;INDIRECT("Responses!"&amp;'Multiple Choice Questions'!$A$34&amp;"1"),"")</f>
        <v>0</v>
      </c>
      <c r="F3292" s="4" t="s">
        <v>2520</v>
      </c>
    </row>
    <row r="3293" spans="1:6" ht="120" customHeight="1">
      <c r="A3293" t="s">
        <v>218</v>
      </c>
      <c r="B3293" t="s">
        <v>199</v>
      </c>
      <c r="C3293" t="s">
        <v>2519</v>
      </c>
      <c r="D3293" t="s">
        <v>1808</v>
      </c>
      <c r="E3293" s="4">
        <f>IF(AND(ISNUMBER(_helpers!$P$38),_helpers!$P$38&lt;0.33),"The question wording below doesn't closely match the Responses header for column "&amp;'Multiple Choice Questions'!$A$35&amp;"."&amp;CHAR(10)&amp;CHAR(10)&amp;"Question text:"&amp;CHAR(10)&amp;'Multiple Choice Questions'!$C$35&amp;CHAR(10)&amp;CHAR(10)&amp;"Responses header for column "&amp;'Multiple Choice Questions'!$A$35&amp;":"&amp;CHAR(10)&amp;INDIRECT("Responses!"&amp;'Multiple Choice Questions'!$A$35&amp;"1"),"")</f>
        <v>0</v>
      </c>
      <c r="F3293" s="4" t="s">
        <v>2520</v>
      </c>
    </row>
    <row r="3294" spans="1:6" ht="120" customHeight="1">
      <c r="A3294" t="s">
        <v>218</v>
      </c>
      <c r="B3294" t="s">
        <v>200</v>
      </c>
      <c r="C3294" t="s">
        <v>2519</v>
      </c>
      <c r="D3294" t="s">
        <v>1808</v>
      </c>
      <c r="E3294" s="4">
        <f>IF(AND(ISNUMBER(_helpers!$P$39),_helpers!$P$39&lt;0.33),"The question wording below doesn't closely match the Responses header for column "&amp;'Multiple Choice Questions'!$A$36&amp;"."&amp;CHAR(10)&amp;CHAR(10)&amp;"Question text:"&amp;CHAR(10)&amp;'Multiple Choice Questions'!$C$36&amp;CHAR(10)&amp;CHAR(10)&amp;"Responses header for column "&amp;'Multiple Choice Questions'!$A$36&amp;":"&amp;CHAR(10)&amp;INDIRECT("Responses!"&amp;'Multiple Choice Questions'!$A$36&amp;"1"),"")</f>
        <v>0</v>
      </c>
      <c r="F3294" s="4" t="s">
        <v>2520</v>
      </c>
    </row>
    <row r="3295" spans="1:6" ht="120" customHeight="1">
      <c r="A3295" t="s">
        <v>218</v>
      </c>
      <c r="B3295" t="s">
        <v>201</v>
      </c>
      <c r="C3295" t="s">
        <v>2519</v>
      </c>
      <c r="D3295" t="s">
        <v>1808</v>
      </c>
      <c r="E3295" s="4">
        <f>IF(AND(ISNUMBER(_helpers!$P$40),_helpers!$P$40&lt;0.33),"The question wording below doesn't closely match the Responses header for column "&amp;'Multiple Choice Questions'!$A$37&amp;"."&amp;CHAR(10)&amp;CHAR(10)&amp;"Question text:"&amp;CHAR(10)&amp;'Multiple Choice Questions'!$C$37&amp;CHAR(10)&amp;CHAR(10)&amp;"Responses header for column "&amp;'Multiple Choice Questions'!$A$37&amp;":"&amp;CHAR(10)&amp;INDIRECT("Responses!"&amp;'Multiple Choice Questions'!$A$37&amp;"1"),"")</f>
        <v>0</v>
      </c>
      <c r="F3295" s="4" t="s">
        <v>2520</v>
      </c>
    </row>
    <row r="3296" spans="1:6" ht="120" customHeight="1">
      <c r="A3296" t="s">
        <v>218</v>
      </c>
      <c r="B3296" t="s">
        <v>202</v>
      </c>
      <c r="C3296" t="s">
        <v>2519</v>
      </c>
      <c r="D3296" t="s">
        <v>1808</v>
      </c>
      <c r="E3296" s="4">
        <f>IF(AND(ISNUMBER(_helpers!$P$41),_helpers!$P$41&lt;0.33),"The question wording below doesn't closely match the Responses header for column "&amp;'Multiple Choice Questions'!$A$38&amp;"."&amp;CHAR(10)&amp;CHAR(10)&amp;"Question text:"&amp;CHAR(10)&amp;'Multiple Choice Questions'!$C$38&amp;CHAR(10)&amp;CHAR(10)&amp;"Responses header for column "&amp;'Multiple Choice Questions'!$A$38&amp;":"&amp;CHAR(10)&amp;INDIRECT("Responses!"&amp;'Multiple Choice Questions'!$A$38&amp;"1"),"")</f>
        <v>0</v>
      </c>
      <c r="F3296" s="4" t="s">
        <v>2520</v>
      </c>
    </row>
    <row r="3297" spans="1:6" ht="120" customHeight="1">
      <c r="A3297" t="s">
        <v>218</v>
      </c>
      <c r="B3297" t="s">
        <v>203</v>
      </c>
      <c r="C3297" t="s">
        <v>2519</v>
      </c>
      <c r="D3297" t="s">
        <v>1808</v>
      </c>
      <c r="E3297" s="4">
        <f>IF(AND(ISNUMBER(_helpers!$P$42),_helpers!$P$42&lt;0.33),"The question wording below doesn't closely match the Responses header for column "&amp;'Multiple Choice Questions'!$A$39&amp;"."&amp;CHAR(10)&amp;CHAR(10)&amp;"Question text:"&amp;CHAR(10)&amp;'Multiple Choice Questions'!$C$39&amp;CHAR(10)&amp;CHAR(10)&amp;"Responses header for column "&amp;'Multiple Choice Questions'!$A$39&amp;":"&amp;CHAR(10)&amp;INDIRECT("Responses!"&amp;'Multiple Choice Questions'!$A$39&amp;"1"),"")</f>
        <v>0</v>
      </c>
      <c r="F3297" s="4" t="s">
        <v>2520</v>
      </c>
    </row>
    <row r="3298" spans="1:6" ht="120" customHeight="1">
      <c r="A3298" t="s">
        <v>218</v>
      </c>
      <c r="B3298" t="s">
        <v>204</v>
      </c>
      <c r="C3298" t="s">
        <v>2519</v>
      </c>
      <c r="D3298" t="s">
        <v>1808</v>
      </c>
      <c r="E3298" s="4">
        <f>IF(AND(ISNUMBER(_helpers!$P$43),_helpers!$P$43&lt;0.33),"The question wording below doesn't closely match the Responses header for column "&amp;'Multiple Choice Questions'!$A$40&amp;"."&amp;CHAR(10)&amp;CHAR(10)&amp;"Question text:"&amp;CHAR(10)&amp;'Multiple Choice Questions'!$C$40&amp;CHAR(10)&amp;CHAR(10)&amp;"Responses header for column "&amp;'Multiple Choice Questions'!$A$40&amp;":"&amp;CHAR(10)&amp;INDIRECT("Responses!"&amp;'Multiple Choice Questions'!$A$40&amp;"1"),"")</f>
        <v>0</v>
      </c>
      <c r="F3298" s="4" t="s">
        <v>2520</v>
      </c>
    </row>
    <row r="3299" spans="1:6" ht="120" customHeight="1">
      <c r="A3299" t="s">
        <v>218</v>
      </c>
      <c r="B3299" t="s">
        <v>205</v>
      </c>
      <c r="C3299" t="s">
        <v>2519</v>
      </c>
      <c r="D3299" t="s">
        <v>1808</v>
      </c>
      <c r="E3299" s="4">
        <f>IF(AND(ISNUMBER(_helpers!$P$44),_helpers!$P$44&lt;0.33),"The question wording below doesn't closely match the Responses header for column "&amp;'Multiple Choice Questions'!$A$41&amp;"."&amp;CHAR(10)&amp;CHAR(10)&amp;"Question text:"&amp;CHAR(10)&amp;'Multiple Choice Questions'!$C$41&amp;CHAR(10)&amp;CHAR(10)&amp;"Responses header for column "&amp;'Multiple Choice Questions'!$A$41&amp;":"&amp;CHAR(10)&amp;INDIRECT("Responses!"&amp;'Multiple Choice Questions'!$A$41&amp;"1"),"")</f>
        <v>0</v>
      </c>
      <c r="F3299" s="4" t="s">
        <v>2520</v>
      </c>
    </row>
    <row r="3300" spans="1:6" ht="120" customHeight="1">
      <c r="A3300" t="s">
        <v>218</v>
      </c>
      <c r="B3300" t="s">
        <v>206</v>
      </c>
      <c r="C3300" t="s">
        <v>2519</v>
      </c>
      <c r="D3300" t="s">
        <v>1808</v>
      </c>
      <c r="E3300" s="4">
        <f>IF(AND(ISNUMBER(_helpers!$P$45),_helpers!$P$45&lt;0.33),"The question wording below doesn't closely match the Responses header for column "&amp;'Multiple Choice Questions'!$A$42&amp;"."&amp;CHAR(10)&amp;CHAR(10)&amp;"Question text:"&amp;CHAR(10)&amp;'Multiple Choice Questions'!$C$42&amp;CHAR(10)&amp;CHAR(10)&amp;"Responses header for column "&amp;'Multiple Choice Questions'!$A$42&amp;":"&amp;CHAR(10)&amp;INDIRECT("Responses!"&amp;'Multiple Choice Questions'!$A$42&amp;"1"),"")</f>
        <v>0</v>
      </c>
      <c r="F3300" s="4" t="s">
        <v>2520</v>
      </c>
    </row>
    <row r="3301" spans="1:6" ht="120" customHeight="1">
      <c r="A3301" t="s">
        <v>218</v>
      </c>
      <c r="B3301" t="s">
        <v>207</v>
      </c>
      <c r="C3301" t="s">
        <v>2519</v>
      </c>
      <c r="D3301" t="s">
        <v>1808</v>
      </c>
      <c r="E3301" s="4">
        <f>IF(AND(ISNUMBER(_helpers!$P$46),_helpers!$P$46&lt;0.33),"The question wording below doesn't closely match the Responses header for column "&amp;'Multiple Choice Questions'!$A$43&amp;"."&amp;CHAR(10)&amp;CHAR(10)&amp;"Question text:"&amp;CHAR(10)&amp;'Multiple Choice Questions'!$C$43&amp;CHAR(10)&amp;CHAR(10)&amp;"Responses header for column "&amp;'Multiple Choice Questions'!$A$43&amp;":"&amp;CHAR(10)&amp;INDIRECT("Responses!"&amp;'Multiple Choice Questions'!$A$43&amp;"1"),"")</f>
        <v>0</v>
      </c>
      <c r="F3301" s="4" t="s">
        <v>2520</v>
      </c>
    </row>
    <row r="3302" spans="1:6" ht="120" customHeight="1">
      <c r="A3302" t="s">
        <v>218</v>
      </c>
      <c r="B3302" t="s">
        <v>208</v>
      </c>
      <c r="C3302" t="s">
        <v>2519</v>
      </c>
      <c r="D3302" t="s">
        <v>1808</v>
      </c>
      <c r="E3302" s="4">
        <f>IF(AND(ISNUMBER(_helpers!$P$47),_helpers!$P$47&lt;0.33),"The question wording below doesn't closely match the Responses header for column "&amp;'Multiple Choice Questions'!$A$44&amp;"."&amp;CHAR(10)&amp;CHAR(10)&amp;"Question text:"&amp;CHAR(10)&amp;'Multiple Choice Questions'!$C$44&amp;CHAR(10)&amp;CHAR(10)&amp;"Responses header for column "&amp;'Multiple Choice Questions'!$A$44&amp;":"&amp;CHAR(10)&amp;INDIRECT("Responses!"&amp;'Multiple Choice Questions'!$A$44&amp;"1"),"")</f>
        <v>0</v>
      </c>
      <c r="F3302" s="4" t="s">
        <v>2520</v>
      </c>
    </row>
    <row r="3303" spans="1:6" ht="120" customHeight="1">
      <c r="A3303" t="s">
        <v>218</v>
      </c>
      <c r="B3303" t="s">
        <v>209</v>
      </c>
      <c r="C3303" t="s">
        <v>2519</v>
      </c>
      <c r="D3303" t="s">
        <v>1808</v>
      </c>
      <c r="E3303" s="4">
        <f>IF(AND(ISNUMBER(_helpers!$P$48),_helpers!$P$48&lt;0.33),"The question wording below doesn't closely match the Responses header for column "&amp;'Multiple Choice Questions'!$A$45&amp;"."&amp;CHAR(10)&amp;CHAR(10)&amp;"Question text:"&amp;CHAR(10)&amp;'Multiple Choice Questions'!$C$45&amp;CHAR(10)&amp;CHAR(10)&amp;"Responses header for column "&amp;'Multiple Choice Questions'!$A$45&amp;":"&amp;CHAR(10)&amp;INDIRECT("Responses!"&amp;'Multiple Choice Questions'!$A$45&amp;"1"),"")</f>
        <v>0</v>
      </c>
      <c r="F3303" s="4" t="s">
        <v>2520</v>
      </c>
    </row>
    <row r="3304" spans="1:6" ht="120" customHeight="1">
      <c r="A3304" t="s">
        <v>218</v>
      </c>
      <c r="B3304" t="s">
        <v>210</v>
      </c>
      <c r="C3304" t="s">
        <v>2519</v>
      </c>
      <c r="D3304" t="s">
        <v>1808</v>
      </c>
      <c r="E3304" s="4">
        <f>IF(AND(ISNUMBER(_helpers!$P$49),_helpers!$P$49&lt;0.33),"The question wording below doesn't closely match the Responses header for column "&amp;'Multiple Choice Questions'!$A$46&amp;"."&amp;CHAR(10)&amp;CHAR(10)&amp;"Question text:"&amp;CHAR(10)&amp;'Multiple Choice Questions'!$C$46&amp;CHAR(10)&amp;CHAR(10)&amp;"Responses header for column "&amp;'Multiple Choice Questions'!$A$46&amp;":"&amp;CHAR(10)&amp;INDIRECT("Responses!"&amp;'Multiple Choice Questions'!$A$46&amp;"1"),"")</f>
        <v>0</v>
      </c>
      <c r="F3304" s="4" t="s">
        <v>2520</v>
      </c>
    </row>
    <row r="3305" spans="1:6" ht="120" customHeight="1">
      <c r="A3305" t="s">
        <v>218</v>
      </c>
      <c r="B3305" t="s">
        <v>211</v>
      </c>
      <c r="C3305" t="s">
        <v>2519</v>
      </c>
      <c r="D3305" t="s">
        <v>1808</v>
      </c>
      <c r="E3305" s="4">
        <f>IF(AND(ISNUMBER(_helpers!$P$50),_helpers!$P$50&lt;0.33),"The question wording below doesn't closely match the Responses header for column "&amp;'Multiple Choice Questions'!$A$47&amp;"."&amp;CHAR(10)&amp;CHAR(10)&amp;"Question text:"&amp;CHAR(10)&amp;'Multiple Choice Questions'!$C$47&amp;CHAR(10)&amp;CHAR(10)&amp;"Responses header for column "&amp;'Multiple Choice Questions'!$A$47&amp;":"&amp;CHAR(10)&amp;INDIRECT("Responses!"&amp;'Multiple Choice Questions'!$A$47&amp;"1"),"")</f>
        <v>0</v>
      </c>
      <c r="F3305" s="4" t="s">
        <v>2520</v>
      </c>
    </row>
    <row r="3306" spans="1:6" ht="120" customHeight="1">
      <c r="A3306" t="s">
        <v>218</v>
      </c>
      <c r="B3306" t="s">
        <v>212</v>
      </c>
      <c r="C3306" t="s">
        <v>2519</v>
      </c>
      <c r="D3306" t="s">
        <v>1808</v>
      </c>
      <c r="E3306" s="4">
        <f>IF(AND(ISNUMBER(_helpers!$P$51),_helpers!$P$51&lt;0.33),"The question wording below doesn't closely match the Responses header for column "&amp;'Multiple Choice Questions'!$A$48&amp;"."&amp;CHAR(10)&amp;CHAR(10)&amp;"Question text:"&amp;CHAR(10)&amp;'Multiple Choice Questions'!$C$48&amp;CHAR(10)&amp;CHAR(10)&amp;"Responses header for column "&amp;'Multiple Choice Questions'!$A$48&amp;":"&amp;CHAR(10)&amp;INDIRECT("Responses!"&amp;'Multiple Choice Questions'!$A$48&amp;"1"),"")</f>
        <v>0</v>
      </c>
      <c r="F3306" s="4" t="s">
        <v>2520</v>
      </c>
    </row>
    <row r="3307" spans="1:6" ht="120" customHeight="1">
      <c r="A3307" t="s">
        <v>218</v>
      </c>
      <c r="B3307" t="s">
        <v>213</v>
      </c>
      <c r="C3307" t="s">
        <v>2519</v>
      </c>
      <c r="D3307" t="s">
        <v>1808</v>
      </c>
      <c r="E3307" s="4">
        <f>IF(AND(ISNUMBER(_helpers!$P$52),_helpers!$P$52&lt;0.33),"The question wording below doesn't closely match the Responses header for column "&amp;'Multiple Choice Questions'!$A$49&amp;"."&amp;CHAR(10)&amp;CHAR(10)&amp;"Question text:"&amp;CHAR(10)&amp;'Multiple Choice Questions'!$C$49&amp;CHAR(10)&amp;CHAR(10)&amp;"Responses header for column "&amp;'Multiple Choice Questions'!$A$49&amp;":"&amp;CHAR(10)&amp;INDIRECT("Responses!"&amp;'Multiple Choice Questions'!$A$49&amp;"1"),"")</f>
        <v>0</v>
      </c>
      <c r="F3307" s="4" t="s">
        <v>2520</v>
      </c>
    </row>
    <row r="3308" spans="1:6" ht="120" customHeight="1">
      <c r="A3308" t="s">
        <v>218</v>
      </c>
      <c r="B3308" t="s">
        <v>214</v>
      </c>
      <c r="C3308" t="s">
        <v>2519</v>
      </c>
      <c r="D3308" t="s">
        <v>1808</v>
      </c>
      <c r="E3308" s="4">
        <f>IF(AND(ISNUMBER(_helpers!$P$53),_helpers!$P$53&lt;0.33),"The question wording below doesn't closely match the Responses header for column "&amp;'Multiple Choice Questions'!$A$50&amp;"."&amp;CHAR(10)&amp;CHAR(10)&amp;"Question text:"&amp;CHAR(10)&amp;'Multiple Choice Questions'!$C$50&amp;CHAR(10)&amp;CHAR(10)&amp;"Responses header for column "&amp;'Multiple Choice Questions'!$A$50&amp;":"&amp;CHAR(10)&amp;INDIRECT("Responses!"&amp;'Multiple Choice Questions'!$A$50&amp;"1"),"")</f>
        <v>0</v>
      </c>
      <c r="F3308" s="4" t="s">
        <v>2520</v>
      </c>
    </row>
    <row r="3309" spans="1:6" ht="120" customHeight="1">
      <c r="A3309" t="s">
        <v>218</v>
      </c>
      <c r="B3309" t="s">
        <v>215</v>
      </c>
      <c r="C3309" t="s">
        <v>2519</v>
      </c>
      <c r="D3309" t="s">
        <v>1808</v>
      </c>
      <c r="E3309" s="4">
        <f>IF(AND(ISNUMBER(_helpers!$P$54),_helpers!$P$54&lt;0.33),"The question wording below doesn't closely match the Responses header for column "&amp;'Multiple Choice Questions'!$A$51&amp;"."&amp;CHAR(10)&amp;CHAR(10)&amp;"Question text:"&amp;CHAR(10)&amp;'Multiple Choice Questions'!$C$51&amp;CHAR(10)&amp;CHAR(10)&amp;"Responses header for column "&amp;'Multiple Choice Questions'!$A$51&amp;":"&amp;CHAR(10)&amp;INDIRECT("Responses!"&amp;'Multiple Choice Questions'!$A$51&amp;"1"),"")</f>
        <v>0</v>
      </c>
      <c r="F3309" s="4" t="s">
        <v>2520</v>
      </c>
    </row>
    <row r="3310" spans="1:6" ht="120" customHeight="1">
      <c r="A3310" t="s">
        <v>271</v>
      </c>
      <c r="B3310" t="s">
        <v>272</v>
      </c>
      <c r="C3310" t="s">
        <v>2521</v>
      </c>
      <c r="D3310" t="s">
        <v>1808</v>
      </c>
      <c r="E3310" s="4">
        <f>IF(AND(ISNUMBER(_helpers!$AF$5),_helpers!$AF$5&lt;0.33),"The question wording below doesn't closely match the Responses header for column "&amp;'Hybrid Questions'!$D$2&amp;"."&amp;CHAR(10)&amp;CHAR(10)&amp;"Question text:"&amp;CHAR(10)&amp;'Hybrid Questions'!$C$2&amp;CHAR(10)&amp;CHAR(10)&amp;"Responses header for column "&amp;'Hybrid Questions'!$D$2&amp;":"&amp;CHAR(10)&amp;INDIRECT("Responses!"&amp;'Hybrid Questions'!$D$2&amp;"1"),"")</f>
        <v>0</v>
      </c>
      <c r="F3310" s="4" t="s">
        <v>2522</v>
      </c>
    </row>
    <row r="3311" spans="1:6" ht="120" customHeight="1">
      <c r="A3311" t="s">
        <v>271</v>
      </c>
      <c r="B3311" t="s">
        <v>275</v>
      </c>
      <c r="C3311" t="s">
        <v>2521</v>
      </c>
      <c r="D3311" t="s">
        <v>1808</v>
      </c>
      <c r="E3311" s="4">
        <f>IF(AND(ISNUMBER(_helpers!$AF$6),_helpers!$AF$6&lt;0.33),"The question wording below doesn't closely match the Responses header for column "&amp;'Hybrid Questions'!$D$3&amp;"."&amp;CHAR(10)&amp;CHAR(10)&amp;"Question text:"&amp;CHAR(10)&amp;'Hybrid Questions'!$C$3&amp;CHAR(10)&amp;CHAR(10)&amp;"Responses header for column "&amp;'Hybrid Questions'!$D$3&amp;":"&amp;CHAR(10)&amp;INDIRECT("Responses!"&amp;'Hybrid Questions'!$D$3&amp;"1"),"")</f>
        <v>0</v>
      </c>
      <c r="F3311" s="4" t="s">
        <v>2522</v>
      </c>
    </row>
    <row r="3312" spans="1:6" ht="120" customHeight="1">
      <c r="A3312" t="s">
        <v>271</v>
      </c>
      <c r="B3312" t="s">
        <v>276</v>
      </c>
      <c r="C3312" t="s">
        <v>2521</v>
      </c>
      <c r="D3312" t="s">
        <v>1808</v>
      </c>
      <c r="E3312" s="4">
        <f>IF(AND(ISNUMBER(_helpers!$AF$7),_helpers!$AF$7&lt;0.33),"The question wording below doesn't closely match the Responses header for column "&amp;'Hybrid Questions'!$D$4&amp;"."&amp;CHAR(10)&amp;CHAR(10)&amp;"Question text:"&amp;CHAR(10)&amp;'Hybrid Questions'!$C$4&amp;CHAR(10)&amp;CHAR(10)&amp;"Responses header for column "&amp;'Hybrid Questions'!$D$4&amp;":"&amp;CHAR(10)&amp;INDIRECT("Responses!"&amp;'Hybrid Questions'!$D$4&amp;"1"),"")</f>
        <v>0</v>
      </c>
      <c r="F3312" s="4" t="s">
        <v>2522</v>
      </c>
    </row>
    <row r="3313" spans="1:6" ht="120" customHeight="1">
      <c r="A3313" t="s">
        <v>271</v>
      </c>
      <c r="B3313" t="s">
        <v>277</v>
      </c>
      <c r="C3313" t="s">
        <v>2521</v>
      </c>
      <c r="D3313" t="s">
        <v>1808</v>
      </c>
      <c r="E3313" s="4">
        <f>IF(AND(ISNUMBER(_helpers!$AF$8),_helpers!$AF$8&lt;0.33),"The question wording below doesn't closely match the Responses header for column "&amp;'Hybrid Questions'!$D$5&amp;"."&amp;CHAR(10)&amp;CHAR(10)&amp;"Question text:"&amp;CHAR(10)&amp;'Hybrid Questions'!$C$5&amp;CHAR(10)&amp;CHAR(10)&amp;"Responses header for column "&amp;'Hybrid Questions'!$D$5&amp;":"&amp;CHAR(10)&amp;INDIRECT("Responses!"&amp;'Hybrid Questions'!$D$5&amp;"1"),"")</f>
        <v>0</v>
      </c>
      <c r="F3313" s="4" t="s">
        <v>2522</v>
      </c>
    </row>
    <row r="3314" spans="1:6" ht="120" customHeight="1">
      <c r="A3314" t="s">
        <v>271</v>
      </c>
      <c r="B3314" t="s">
        <v>278</v>
      </c>
      <c r="C3314" t="s">
        <v>2521</v>
      </c>
      <c r="D3314" t="s">
        <v>1808</v>
      </c>
      <c r="E3314" s="4">
        <f>IF(AND(ISNUMBER(_helpers!$AF$9),_helpers!$AF$9&lt;0.33),"The question wording below doesn't closely match the Responses header for column "&amp;'Hybrid Questions'!$D$6&amp;"."&amp;CHAR(10)&amp;CHAR(10)&amp;"Question text:"&amp;CHAR(10)&amp;'Hybrid Questions'!$C$6&amp;CHAR(10)&amp;CHAR(10)&amp;"Responses header for column "&amp;'Hybrid Questions'!$D$6&amp;":"&amp;CHAR(10)&amp;INDIRECT("Responses!"&amp;'Hybrid Questions'!$D$6&amp;"1"),"")</f>
        <v>0</v>
      </c>
      <c r="F3314" s="4" t="s">
        <v>2522</v>
      </c>
    </row>
    <row r="3315" spans="1:6" ht="120" customHeight="1">
      <c r="A3315" t="s">
        <v>271</v>
      </c>
      <c r="B3315" t="s">
        <v>279</v>
      </c>
      <c r="C3315" t="s">
        <v>2521</v>
      </c>
      <c r="D3315" t="s">
        <v>1808</v>
      </c>
      <c r="E3315" s="4">
        <f>IF(AND(ISNUMBER(_helpers!$AF$10),_helpers!$AF$10&lt;0.33),"The question wording below doesn't closely match the Responses header for column "&amp;'Hybrid Questions'!$D$7&amp;"."&amp;CHAR(10)&amp;CHAR(10)&amp;"Question text:"&amp;CHAR(10)&amp;'Hybrid Questions'!$C$7&amp;CHAR(10)&amp;CHAR(10)&amp;"Responses header for column "&amp;'Hybrid Questions'!$D$7&amp;":"&amp;CHAR(10)&amp;INDIRECT("Responses!"&amp;'Hybrid Questions'!$D$7&amp;"1"),"")</f>
        <v>0</v>
      </c>
      <c r="F3315" s="4" t="s">
        <v>2522</v>
      </c>
    </row>
    <row r="3316" spans="1:6" ht="120" customHeight="1">
      <c r="A3316" t="s">
        <v>271</v>
      </c>
      <c r="B3316" t="s">
        <v>280</v>
      </c>
      <c r="C3316" t="s">
        <v>2521</v>
      </c>
      <c r="D3316" t="s">
        <v>1808</v>
      </c>
      <c r="E3316" s="4">
        <f>IF(AND(ISNUMBER(_helpers!$AF$11),_helpers!$AF$11&lt;0.33),"The question wording below doesn't closely match the Responses header for column "&amp;'Hybrid Questions'!$D$8&amp;"."&amp;CHAR(10)&amp;CHAR(10)&amp;"Question text:"&amp;CHAR(10)&amp;'Hybrid Questions'!$C$8&amp;CHAR(10)&amp;CHAR(10)&amp;"Responses header for column "&amp;'Hybrid Questions'!$D$8&amp;":"&amp;CHAR(10)&amp;INDIRECT("Responses!"&amp;'Hybrid Questions'!$D$8&amp;"1"),"")</f>
        <v>0</v>
      </c>
      <c r="F3316" s="4" t="s">
        <v>2522</v>
      </c>
    </row>
    <row r="3317" spans="1:6" ht="120" customHeight="1">
      <c r="A3317" t="s">
        <v>271</v>
      </c>
      <c r="B3317" t="s">
        <v>281</v>
      </c>
      <c r="C3317" t="s">
        <v>2521</v>
      </c>
      <c r="D3317" t="s">
        <v>1808</v>
      </c>
      <c r="E3317" s="4">
        <f>IF(AND(ISNUMBER(_helpers!$AF$12),_helpers!$AF$12&lt;0.33),"The question wording below doesn't closely match the Responses header for column "&amp;'Hybrid Questions'!$D$9&amp;"."&amp;CHAR(10)&amp;CHAR(10)&amp;"Question text:"&amp;CHAR(10)&amp;'Hybrid Questions'!$C$9&amp;CHAR(10)&amp;CHAR(10)&amp;"Responses header for column "&amp;'Hybrid Questions'!$D$9&amp;":"&amp;CHAR(10)&amp;INDIRECT("Responses!"&amp;'Hybrid Questions'!$D$9&amp;"1"),"")</f>
        <v>0</v>
      </c>
      <c r="F3317" s="4" t="s">
        <v>2522</v>
      </c>
    </row>
    <row r="3318" spans="1:6" ht="120" customHeight="1">
      <c r="A3318" t="s">
        <v>271</v>
      </c>
      <c r="B3318" t="s">
        <v>282</v>
      </c>
      <c r="C3318" t="s">
        <v>2521</v>
      </c>
      <c r="D3318" t="s">
        <v>1808</v>
      </c>
      <c r="E3318" s="4">
        <f>IF(AND(ISNUMBER(_helpers!$AF$13),_helpers!$AF$13&lt;0.33),"The question wording below doesn't closely match the Responses header for column "&amp;'Hybrid Questions'!$D$10&amp;"."&amp;CHAR(10)&amp;CHAR(10)&amp;"Question text:"&amp;CHAR(10)&amp;'Hybrid Questions'!$C$10&amp;CHAR(10)&amp;CHAR(10)&amp;"Responses header for column "&amp;'Hybrid Questions'!$D$10&amp;":"&amp;CHAR(10)&amp;INDIRECT("Responses!"&amp;'Hybrid Questions'!$D$10&amp;"1"),"")</f>
        <v>0</v>
      </c>
      <c r="F3318" s="4" t="s">
        <v>2522</v>
      </c>
    </row>
    <row r="3319" spans="1:6" ht="120" customHeight="1">
      <c r="A3319" t="s">
        <v>271</v>
      </c>
      <c r="B3319" t="s">
        <v>283</v>
      </c>
      <c r="C3319" t="s">
        <v>2521</v>
      </c>
      <c r="D3319" t="s">
        <v>1808</v>
      </c>
      <c r="E3319" s="4">
        <f>IF(AND(ISNUMBER(_helpers!$AF$14),_helpers!$AF$14&lt;0.33),"The question wording below doesn't closely match the Responses header for column "&amp;'Hybrid Questions'!$D$11&amp;"."&amp;CHAR(10)&amp;CHAR(10)&amp;"Question text:"&amp;CHAR(10)&amp;'Hybrid Questions'!$C$11&amp;CHAR(10)&amp;CHAR(10)&amp;"Responses header for column "&amp;'Hybrid Questions'!$D$11&amp;":"&amp;CHAR(10)&amp;INDIRECT("Responses!"&amp;'Hybrid Questions'!$D$11&amp;"1"),"")</f>
        <v>0</v>
      </c>
      <c r="F3319" s="4" t="s">
        <v>2522</v>
      </c>
    </row>
    <row r="3320" spans="1:6" ht="120" customHeight="1">
      <c r="A3320" t="s">
        <v>271</v>
      </c>
      <c r="B3320" t="s">
        <v>284</v>
      </c>
      <c r="C3320" t="s">
        <v>2521</v>
      </c>
      <c r="D3320" t="s">
        <v>1808</v>
      </c>
      <c r="E3320" s="4">
        <f>IF(AND(ISNUMBER(_helpers!$AF$15),_helpers!$AF$15&lt;0.33),"The question wording below doesn't closely match the Responses header for column "&amp;'Hybrid Questions'!$D$12&amp;"."&amp;CHAR(10)&amp;CHAR(10)&amp;"Question text:"&amp;CHAR(10)&amp;'Hybrid Questions'!$C$12&amp;CHAR(10)&amp;CHAR(10)&amp;"Responses header for column "&amp;'Hybrid Questions'!$D$12&amp;":"&amp;CHAR(10)&amp;INDIRECT("Responses!"&amp;'Hybrid Questions'!$D$12&amp;"1"),"")</f>
        <v>0</v>
      </c>
      <c r="F3320" s="4" t="s">
        <v>2522</v>
      </c>
    </row>
    <row r="3321" spans="1:6" ht="120" customHeight="1">
      <c r="A3321" t="s">
        <v>271</v>
      </c>
      <c r="B3321" t="s">
        <v>285</v>
      </c>
      <c r="C3321" t="s">
        <v>2521</v>
      </c>
      <c r="D3321" t="s">
        <v>1808</v>
      </c>
      <c r="E3321" s="4">
        <f>IF(AND(ISNUMBER(_helpers!$AF$16),_helpers!$AF$16&lt;0.33),"The question wording below doesn't closely match the Responses header for column "&amp;'Hybrid Questions'!$D$13&amp;"."&amp;CHAR(10)&amp;CHAR(10)&amp;"Question text:"&amp;CHAR(10)&amp;'Hybrid Questions'!$C$13&amp;CHAR(10)&amp;CHAR(10)&amp;"Responses header for column "&amp;'Hybrid Questions'!$D$13&amp;":"&amp;CHAR(10)&amp;INDIRECT("Responses!"&amp;'Hybrid Questions'!$D$13&amp;"1"),"")</f>
        <v>0</v>
      </c>
      <c r="F3321" s="4" t="s">
        <v>2522</v>
      </c>
    </row>
    <row r="3322" spans="1:6" ht="120" customHeight="1">
      <c r="A3322" t="s">
        <v>271</v>
      </c>
      <c r="B3322" t="s">
        <v>286</v>
      </c>
      <c r="C3322" t="s">
        <v>2521</v>
      </c>
      <c r="D3322" t="s">
        <v>1808</v>
      </c>
      <c r="E3322" s="4">
        <f>IF(AND(ISNUMBER(_helpers!$AF$17),_helpers!$AF$17&lt;0.33),"The question wording below doesn't closely match the Responses header for column "&amp;'Hybrid Questions'!$D$14&amp;"."&amp;CHAR(10)&amp;CHAR(10)&amp;"Question text:"&amp;CHAR(10)&amp;'Hybrid Questions'!$C$14&amp;CHAR(10)&amp;CHAR(10)&amp;"Responses header for column "&amp;'Hybrid Questions'!$D$14&amp;":"&amp;CHAR(10)&amp;INDIRECT("Responses!"&amp;'Hybrid Questions'!$D$14&amp;"1"),"")</f>
        <v>0</v>
      </c>
      <c r="F3322" s="4" t="s">
        <v>2522</v>
      </c>
    </row>
    <row r="3323" spans="1:6" ht="120" customHeight="1">
      <c r="A3323" t="s">
        <v>271</v>
      </c>
      <c r="B3323" t="s">
        <v>287</v>
      </c>
      <c r="C3323" t="s">
        <v>2521</v>
      </c>
      <c r="D3323" t="s">
        <v>1808</v>
      </c>
      <c r="E3323" s="4">
        <f>IF(AND(ISNUMBER(_helpers!$AF$18),_helpers!$AF$18&lt;0.33),"The question wording below doesn't closely match the Responses header for column "&amp;'Hybrid Questions'!$D$15&amp;"."&amp;CHAR(10)&amp;CHAR(10)&amp;"Question text:"&amp;CHAR(10)&amp;'Hybrid Questions'!$C$15&amp;CHAR(10)&amp;CHAR(10)&amp;"Responses header for column "&amp;'Hybrid Questions'!$D$15&amp;":"&amp;CHAR(10)&amp;INDIRECT("Responses!"&amp;'Hybrid Questions'!$D$15&amp;"1"),"")</f>
        <v>0</v>
      </c>
      <c r="F3323" s="4" t="s">
        <v>2522</v>
      </c>
    </row>
    <row r="3324" spans="1:6" ht="120" customHeight="1">
      <c r="A3324" t="s">
        <v>271</v>
      </c>
      <c r="B3324" t="s">
        <v>288</v>
      </c>
      <c r="C3324" t="s">
        <v>2521</v>
      </c>
      <c r="D3324" t="s">
        <v>1808</v>
      </c>
      <c r="E3324" s="4">
        <f>IF(AND(ISNUMBER(_helpers!$AF$19),_helpers!$AF$19&lt;0.33),"The question wording below doesn't closely match the Responses header for column "&amp;'Hybrid Questions'!$D$16&amp;"."&amp;CHAR(10)&amp;CHAR(10)&amp;"Question text:"&amp;CHAR(10)&amp;'Hybrid Questions'!$C$16&amp;CHAR(10)&amp;CHAR(10)&amp;"Responses header for column "&amp;'Hybrid Questions'!$D$16&amp;":"&amp;CHAR(10)&amp;INDIRECT("Responses!"&amp;'Hybrid Questions'!$D$16&amp;"1"),"")</f>
        <v>0</v>
      </c>
      <c r="F3324" s="4" t="s">
        <v>2522</v>
      </c>
    </row>
    <row r="3325" spans="1:6" ht="120" customHeight="1">
      <c r="A3325" t="s">
        <v>271</v>
      </c>
      <c r="B3325" t="s">
        <v>289</v>
      </c>
      <c r="C3325" t="s">
        <v>2521</v>
      </c>
      <c r="D3325" t="s">
        <v>1808</v>
      </c>
      <c r="E3325" s="4">
        <f>IF(AND(ISNUMBER(_helpers!$AF$20),_helpers!$AF$20&lt;0.33),"The question wording below doesn't closely match the Responses header for column "&amp;'Hybrid Questions'!$D$17&amp;"."&amp;CHAR(10)&amp;CHAR(10)&amp;"Question text:"&amp;CHAR(10)&amp;'Hybrid Questions'!$C$17&amp;CHAR(10)&amp;CHAR(10)&amp;"Responses header for column "&amp;'Hybrid Questions'!$D$17&amp;":"&amp;CHAR(10)&amp;INDIRECT("Responses!"&amp;'Hybrid Questions'!$D$17&amp;"1"),"")</f>
        <v>0</v>
      </c>
      <c r="F3325" s="4" t="s">
        <v>2522</v>
      </c>
    </row>
    <row r="3326" spans="1:6" ht="120" customHeight="1">
      <c r="A3326" t="s">
        <v>271</v>
      </c>
      <c r="B3326" t="s">
        <v>290</v>
      </c>
      <c r="C3326" t="s">
        <v>2521</v>
      </c>
      <c r="D3326" t="s">
        <v>1808</v>
      </c>
      <c r="E3326" s="4">
        <f>IF(AND(ISNUMBER(_helpers!$AF$21),_helpers!$AF$21&lt;0.33),"The question wording below doesn't closely match the Responses header for column "&amp;'Hybrid Questions'!$D$18&amp;"."&amp;CHAR(10)&amp;CHAR(10)&amp;"Question text:"&amp;CHAR(10)&amp;'Hybrid Questions'!$C$18&amp;CHAR(10)&amp;CHAR(10)&amp;"Responses header for column "&amp;'Hybrid Questions'!$D$18&amp;":"&amp;CHAR(10)&amp;INDIRECT("Responses!"&amp;'Hybrid Questions'!$D$18&amp;"1"),"")</f>
        <v>0</v>
      </c>
      <c r="F3326" s="4" t="s">
        <v>2522</v>
      </c>
    </row>
    <row r="3327" spans="1:6" ht="120" customHeight="1">
      <c r="A3327" t="s">
        <v>271</v>
      </c>
      <c r="B3327" t="s">
        <v>291</v>
      </c>
      <c r="C3327" t="s">
        <v>2521</v>
      </c>
      <c r="D3327" t="s">
        <v>1808</v>
      </c>
      <c r="E3327" s="4">
        <f>IF(AND(ISNUMBER(_helpers!$AF$22),_helpers!$AF$22&lt;0.33),"The question wording below doesn't closely match the Responses header for column "&amp;'Hybrid Questions'!$D$19&amp;"."&amp;CHAR(10)&amp;CHAR(10)&amp;"Question text:"&amp;CHAR(10)&amp;'Hybrid Questions'!$C$19&amp;CHAR(10)&amp;CHAR(10)&amp;"Responses header for column "&amp;'Hybrid Questions'!$D$19&amp;":"&amp;CHAR(10)&amp;INDIRECT("Responses!"&amp;'Hybrid Questions'!$D$19&amp;"1"),"")</f>
        <v>0</v>
      </c>
      <c r="F3327" s="4" t="s">
        <v>2522</v>
      </c>
    </row>
    <row r="3328" spans="1:6" ht="120" customHeight="1">
      <c r="A3328" t="s">
        <v>271</v>
      </c>
      <c r="B3328" t="s">
        <v>292</v>
      </c>
      <c r="C3328" t="s">
        <v>2521</v>
      </c>
      <c r="D3328" t="s">
        <v>1808</v>
      </c>
      <c r="E3328" s="4">
        <f>IF(AND(ISNUMBER(_helpers!$AF$23),_helpers!$AF$23&lt;0.33),"The question wording below doesn't closely match the Responses header for column "&amp;'Hybrid Questions'!$D$20&amp;"."&amp;CHAR(10)&amp;CHAR(10)&amp;"Question text:"&amp;CHAR(10)&amp;'Hybrid Questions'!$C$20&amp;CHAR(10)&amp;CHAR(10)&amp;"Responses header for column "&amp;'Hybrid Questions'!$D$20&amp;":"&amp;CHAR(10)&amp;INDIRECT("Responses!"&amp;'Hybrid Questions'!$D$20&amp;"1"),"")</f>
        <v>0</v>
      </c>
      <c r="F3328" s="4" t="s">
        <v>2522</v>
      </c>
    </row>
    <row r="3329" spans="1:6" ht="120" customHeight="1">
      <c r="A3329" t="s">
        <v>271</v>
      </c>
      <c r="B3329" t="s">
        <v>293</v>
      </c>
      <c r="C3329" t="s">
        <v>2521</v>
      </c>
      <c r="D3329" t="s">
        <v>1808</v>
      </c>
      <c r="E3329" s="4">
        <f>IF(AND(ISNUMBER(_helpers!$AF$24),_helpers!$AF$24&lt;0.33),"The question wording below doesn't closely match the Responses header for column "&amp;'Hybrid Questions'!$D$21&amp;"."&amp;CHAR(10)&amp;CHAR(10)&amp;"Question text:"&amp;CHAR(10)&amp;'Hybrid Questions'!$C$21&amp;CHAR(10)&amp;CHAR(10)&amp;"Responses header for column "&amp;'Hybrid Questions'!$D$21&amp;":"&amp;CHAR(10)&amp;INDIRECT("Responses!"&amp;'Hybrid Questions'!$D$21&amp;"1"),"")</f>
        <v>0</v>
      </c>
      <c r="F3329" s="4" t="s">
        <v>2522</v>
      </c>
    </row>
    <row r="3330" spans="1:6" ht="120" customHeight="1">
      <c r="A3330" t="s">
        <v>271</v>
      </c>
      <c r="B3330" t="s">
        <v>294</v>
      </c>
      <c r="C3330" t="s">
        <v>2521</v>
      </c>
      <c r="D3330" t="s">
        <v>1808</v>
      </c>
      <c r="E3330" s="4">
        <f>IF(AND(ISNUMBER(_helpers!$AF$25),_helpers!$AF$25&lt;0.33),"The question wording below doesn't closely match the Responses header for column "&amp;'Hybrid Questions'!$D$22&amp;"."&amp;CHAR(10)&amp;CHAR(10)&amp;"Question text:"&amp;CHAR(10)&amp;'Hybrid Questions'!$C$22&amp;CHAR(10)&amp;CHAR(10)&amp;"Responses header for column "&amp;'Hybrid Questions'!$D$22&amp;":"&amp;CHAR(10)&amp;INDIRECT("Responses!"&amp;'Hybrid Questions'!$D$22&amp;"1"),"")</f>
        <v>0</v>
      </c>
      <c r="F3330" s="4" t="s">
        <v>2522</v>
      </c>
    </row>
    <row r="3331" spans="1:6" ht="120" customHeight="1">
      <c r="A3331" t="s">
        <v>271</v>
      </c>
      <c r="B3331" t="s">
        <v>295</v>
      </c>
      <c r="C3331" t="s">
        <v>2521</v>
      </c>
      <c r="D3331" t="s">
        <v>1808</v>
      </c>
      <c r="E3331" s="4">
        <f>IF(AND(ISNUMBER(_helpers!$AF$26),_helpers!$AF$26&lt;0.33),"The question wording below doesn't closely match the Responses header for column "&amp;'Hybrid Questions'!$D$23&amp;"."&amp;CHAR(10)&amp;CHAR(10)&amp;"Question text:"&amp;CHAR(10)&amp;'Hybrid Questions'!$C$23&amp;CHAR(10)&amp;CHAR(10)&amp;"Responses header for column "&amp;'Hybrid Questions'!$D$23&amp;":"&amp;CHAR(10)&amp;INDIRECT("Responses!"&amp;'Hybrid Questions'!$D$23&amp;"1"),"")</f>
        <v>0</v>
      </c>
      <c r="F3331" s="4" t="s">
        <v>2522</v>
      </c>
    </row>
    <row r="3332" spans="1:6" ht="120" customHeight="1">
      <c r="A3332" t="s">
        <v>271</v>
      </c>
      <c r="B3332" t="s">
        <v>296</v>
      </c>
      <c r="C3332" t="s">
        <v>2521</v>
      </c>
      <c r="D3332" t="s">
        <v>1808</v>
      </c>
      <c r="E3332" s="4">
        <f>IF(AND(ISNUMBER(_helpers!$AF$27),_helpers!$AF$27&lt;0.33),"The question wording below doesn't closely match the Responses header for column "&amp;'Hybrid Questions'!$D$24&amp;"."&amp;CHAR(10)&amp;CHAR(10)&amp;"Question text:"&amp;CHAR(10)&amp;'Hybrid Questions'!$C$24&amp;CHAR(10)&amp;CHAR(10)&amp;"Responses header for column "&amp;'Hybrid Questions'!$D$24&amp;":"&amp;CHAR(10)&amp;INDIRECT("Responses!"&amp;'Hybrid Questions'!$D$24&amp;"1"),"")</f>
        <v>0</v>
      </c>
      <c r="F3332" s="4" t="s">
        <v>2522</v>
      </c>
    </row>
    <row r="3333" spans="1:6" ht="120" customHeight="1">
      <c r="A3333" t="s">
        <v>271</v>
      </c>
      <c r="B3333" t="s">
        <v>297</v>
      </c>
      <c r="C3333" t="s">
        <v>2521</v>
      </c>
      <c r="D3333" t="s">
        <v>1808</v>
      </c>
      <c r="E3333" s="4">
        <f>IF(AND(ISNUMBER(_helpers!$AF$28),_helpers!$AF$28&lt;0.33),"The question wording below doesn't closely match the Responses header for column "&amp;'Hybrid Questions'!$D$25&amp;"."&amp;CHAR(10)&amp;CHAR(10)&amp;"Question text:"&amp;CHAR(10)&amp;'Hybrid Questions'!$C$25&amp;CHAR(10)&amp;CHAR(10)&amp;"Responses header for column "&amp;'Hybrid Questions'!$D$25&amp;":"&amp;CHAR(10)&amp;INDIRECT("Responses!"&amp;'Hybrid Questions'!$D$25&amp;"1"),"")</f>
        <v>0</v>
      </c>
      <c r="F3333" s="4" t="s">
        <v>2522</v>
      </c>
    </row>
    <row r="3334" spans="1:6" ht="120" customHeight="1">
      <c r="A3334" t="s">
        <v>271</v>
      </c>
      <c r="B3334" t="s">
        <v>298</v>
      </c>
      <c r="C3334" t="s">
        <v>2521</v>
      </c>
      <c r="D3334" t="s">
        <v>1808</v>
      </c>
      <c r="E3334" s="4">
        <f>IF(AND(ISNUMBER(_helpers!$AF$29),_helpers!$AF$29&lt;0.33),"The question wording below doesn't closely match the Responses header for column "&amp;'Hybrid Questions'!$D$26&amp;"."&amp;CHAR(10)&amp;CHAR(10)&amp;"Question text:"&amp;CHAR(10)&amp;'Hybrid Questions'!$C$26&amp;CHAR(10)&amp;CHAR(10)&amp;"Responses header for column "&amp;'Hybrid Questions'!$D$26&amp;":"&amp;CHAR(10)&amp;INDIRECT("Responses!"&amp;'Hybrid Questions'!$D$26&amp;"1"),"")</f>
        <v>0</v>
      </c>
      <c r="F3334" s="4" t="s">
        <v>2522</v>
      </c>
    </row>
    <row r="3335" spans="1:6" ht="120" customHeight="1">
      <c r="A3335" t="s">
        <v>271</v>
      </c>
      <c r="B3335" t="s">
        <v>299</v>
      </c>
      <c r="C3335" t="s">
        <v>2521</v>
      </c>
      <c r="D3335" t="s">
        <v>1808</v>
      </c>
      <c r="E3335" s="4">
        <f>IF(AND(ISNUMBER(_helpers!$AF$30),_helpers!$AF$30&lt;0.33),"The question wording below doesn't closely match the Responses header for column "&amp;'Hybrid Questions'!$D$27&amp;"."&amp;CHAR(10)&amp;CHAR(10)&amp;"Question text:"&amp;CHAR(10)&amp;'Hybrid Questions'!$C$27&amp;CHAR(10)&amp;CHAR(10)&amp;"Responses header for column "&amp;'Hybrid Questions'!$D$27&amp;":"&amp;CHAR(10)&amp;INDIRECT("Responses!"&amp;'Hybrid Questions'!$D$27&amp;"1"),"")</f>
        <v>0</v>
      </c>
      <c r="F3335" s="4" t="s">
        <v>2522</v>
      </c>
    </row>
    <row r="3336" spans="1:6" ht="120" customHeight="1">
      <c r="A3336" t="s">
        <v>271</v>
      </c>
      <c r="B3336" t="s">
        <v>300</v>
      </c>
      <c r="C3336" t="s">
        <v>2521</v>
      </c>
      <c r="D3336" t="s">
        <v>1808</v>
      </c>
      <c r="E3336" s="4">
        <f>IF(AND(ISNUMBER(_helpers!$AF$31),_helpers!$AF$31&lt;0.33),"The question wording below doesn't closely match the Responses header for column "&amp;'Hybrid Questions'!$D$28&amp;"."&amp;CHAR(10)&amp;CHAR(10)&amp;"Question text:"&amp;CHAR(10)&amp;'Hybrid Questions'!$C$28&amp;CHAR(10)&amp;CHAR(10)&amp;"Responses header for column "&amp;'Hybrid Questions'!$D$28&amp;":"&amp;CHAR(10)&amp;INDIRECT("Responses!"&amp;'Hybrid Questions'!$D$28&amp;"1"),"")</f>
        <v>0</v>
      </c>
      <c r="F3336" s="4" t="s">
        <v>2522</v>
      </c>
    </row>
    <row r="3337" spans="1:6" ht="120" customHeight="1">
      <c r="A3337" t="s">
        <v>271</v>
      </c>
      <c r="B3337" t="s">
        <v>301</v>
      </c>
      <c r="C3337" t="s">
        <v>2521</v>
      </c>
      <c r="D3337" t="s">
        <v>1808</v>
      </c>
      <c r="E3337" s="4">
        <f>IF(AND(ISNUMBER(_helpers!$AF$32),_helpers!$AF$32&lt;0.33),"The question wording below doesn't closely match the Responses header for column "&amp;'Hybrid Questions'!$D$29&amp;"."&amp;CHAR(10)&amp;CHAR(10)&amp;"Question text:"&amp;CHAR(10)&amp;'Hybrid Questions'!$C$29&amp;CHAR(10)&amp;CHAR(10)&amp;"Responses header for column "&amp;'Hybrid Questions'!$D$29&amp;":"&amp;CHAR(10)&amp;INDIRECT("Responses!"&amp;'Hybrid Questions'!$D$29&amp;"1"),"")</f>
        <v>0</v>
      </c>
      <c r="F3337" s="4" t="s">
        <v>2522</v>
      </c>
    </row>
    <row r="3338" spans="1:6" ht="120" customHeight="1">
      <c r="A3338" t="s">
        <v>271</v>
      </c>
      <c r="B3338" t="s">
        <v>302</v>
      </c>
      <c r="C3338" t="s">
        <v>2521</v>
      </c>
      <c r="D3338" t="s">
        <v>1808</v>
      </c>
      <c r="E3338" s="4">
        <f>IF(AND(ISNUMBER(_helpers!$AF$33),_helpers!$AF$33&lt;0.33),"The question wording below doesn't closely match the Responses header for column "&amp;'Hybrid Questions'!$D$30&amp;"."&amp;CHAR(10)&amp;CHAR(10)&amp;"Question text:"&amp;CHAR(10)&amp;'Hybrid Questions'!$C$30&amp;CHAR(10)&amp;CHAR(10)&amp;"Responses header for column "&amp;'Hybrid Questions'!$D$30&amp;":"&amp;CHAR(10)&amp;INDIRECT("Responses!"&amp;'Hybrid Questions'!$D$30&amp;"1"),"")</f>
        <v>0</v>
      </c>
      <c r="F3338" s="4" t="s">
        <v>2522</v>
      </c>
    </row>
    <row r="3339" spans="1:6" ht="120" customHeight="1">
      <c r="A3339" t="s">
        <v>271</v>
      </c>
      <c r="B3339" t="s">
        <v>303</v>
      </c>
      <c r="C3339" t="s">
        <v>2521</v>
      </c>
      <c r="D3339" t="s">
        <v>1808</v>
      </c>
      <c r="E3339" s="4">
        <f>IF(AND(ISNUMBER(_helpers!$AF$34),_helpers!$AF$34&lt;0.33),"The question wording below doesn't closely match the Responses header for column "&amp;'Hybrid Questions'!$D$31&amp;"."&amp;CHAR(10)&amp;CHAR(10)&amp;"Question text:"&amp;CHAR(10)&amp;'Hybrid Questions'!$C$31&amp;CHAR(10)&amp;CHAR(10)&amp;"Responses header for column "&amp;'Hybrid Questions'!$D$31&amp;":"&amp;CHAR(10)&amp;INDIRECT("Responses!"&amp;'Hybrid Questions'!$D$31&amp;"1"),"")</f>
        <v>0</v>
      </c>
      <c r="F3339" s="4" t="s">
        <v>2522</v>
      </c>
    </row>
    <row r="3340" spans="1:6" ht="120" customHeight="1">
      <c r="A3340" t="s">
        <v>271</v>
      </c>
      <c r="B3340" t="s">
        <v>304</v>
      </c>
      <c r="C3340" t="s">
        <v>2521</v>
      </c>
      <c r="D3340" t="s">
        <v>1808</v>
      </c>
      <c r="E3340" s="4">
        <f>IF(AND(ISNUMBER(_helpers!$AF$35),_helpers!$AF$35&lt;0.33),"The question wording below doesn't closely match the Responses header for column "&amp;'Hybrid Questions'!$D$32&amp;"."&amp;CHAR(10)&amp;CHAR(10)&amp;"Question text:"&amp;CHAR(10)&amp;'Hybrid Questions'!$C$32&amp;CHAR(10)&amp;CHAR(10)&amp;"Responses header for column "&amp;'Hybrid Questions'!$D$32&amp;":"&amp;CHAR(10)&amp;INDIRECT("Responses!"&amp;'Hybrid Questions'!$D$32&amp;"1"),"")</f>
        <v>0</v>
      </c>
      <c r="F3340" s="4" t="s">
        <v>2522</v>
      </c>
    </row>
    <row r="3341" spans="1:6" ht="120" customHeight="1">
      <c r="A3341" t="s">
        <v>271</v>
      </c>
      <c r="B3341" t="s">
        <v>305</v>
      </c>
      <c r="C3341" t="s">
        <v>2521</v>
      </c>
      <c r="D3341" t="s">
        <v>1808</v>
      </c>
      <c r="E3341" s="4">
        <f>IF(AND(ISNUMBER(_helpers!$AF$36),_helpers!$AF$36&lt;0.33),"The question wording below doesn't closely match the Responses header for column "&amp;'Hybrid Questions'!$D$33&amp;"."&amp;CHAR(10)&amp;CHAR(10)&amp;"Question text:"&amp;CHAR(10)&amp;'Hybrid Questions'!$C$33&amp;CHAR(10)&amp;CHAR(10)&amp;"Responses header for column "&amp;'Hybrid Questions'!$D$33&amp;":"&amp;CHAR(10)&amp;INDIRECT("Responses!"&amp;'Hybrid Questions'!$D$33&amp;"1"),"")</f>
        <v>0</v>
      </c>
      <c r="F3341" s="4" t="s">
        <v>2522</v>
      </c>
    </row>
    <row r="3342" spans="1:6" ht="120" customHeight="1">
      <c r="A3342" t="s">
        <v>271</v>
      </c>
      <c r="B3342" t="s">
        <v>306</v>
      </c>
      <c r="C3342" t="s">
        <v>2521</v>
      </c>
      <c r="D3342" t="s">
        <v>1808</v>
      </c>
      <c r="E3342" s="4">
        <f>IF(AND(ISNUMBER(_helpers!$AF$37),_helpers!$AF$37&lt;0.33),"The question wording below doesn't closely match the Responses header for column "&amp;'Hybrid Questions'!$D$34&amp;"."&amp;CHAR(10)&amp;CHAR(10)&amp;"Question text:"&amp;CHAR(10)&amp;'Hybrid Questions'!$C$34&amp;CHAR(10)&amp;CHAR(10)&amp;"Responses header for column "&amp;'Hybrid Questions'!$D$34&amp;":"&amp;CHAR(10)&amp;INDIRECT("Responses!"&amp;'Hybrid Questions'!$D$34&amp;"1"),"")</f>
        <v>0</v>
      </c>
      <c r="F3342" s="4" t="s">
        <v>2522</v>
      </c>
    </row>
    <row r="3343" spans="1:6" ht="120" customHeight="1">
      <c r="A3343" t="s">
        <v>271</v>
      </c>
      <c r="B3343" t="s">
        <v>307</v>
      </c>
      <c r="C3343" t="s">
        <v>2521</v>
      </c>
      <c r="D3343" t="s">
        <v>1808</v>
      </c>
      <c r="E3343" s="4">
        <f>IF(AND(ISNUMBER(_helpers!$AF$38),_helpers!$AF$38&lt;0.33),"The question wording below doesn't closely match the Responses header for column "&amp;'Hybrid Questions'!$D$35&amp;"."&amp;CHAR(10)&amp;CHAR(10)&amp;"Question text:"&amp;CHAR(10)&amp;'Hybrid Questions'!$C$35&amp;CHAR(10)&amp;CHAR(10)&amp;"Responses header for column "&amp;'Hybrid Questions'!$D$35&amp;":"&amp;CHAR(10)&amp;INDIRECT("Responses!"&amp;'Hybrid Questions'!$D$35&amp;"1"),"")</f>
        <v>0</v>
      </c>
      <c r="F3343" s="4" t="s">
        <v>2522</v>
      </c>
    </row>
    <row r="3344" spans="1:6" ht="120" customHeight="1">
      <c r="A3344" t="s">
        <v>271</v>
      </c>
      <c r="B3344" t="s">
        <v>308</v>
      </c>
      <c r="C3344" t="s">
        <v>2521</v>
      </c>
      <c r="D3344" t="s">
        <v>1808</v>
      </c>
      <c r="E3344" s="4">
        <f>IF(AND(ISNUMBER(_helpers!$AF$39),_helpers!$AF$39&lt;0.33),"The question wording below doesn't closely match the Responses header for column "&amp;'Hybrid Questions'!$D$36&amp;"."&amp;CHAR(10)&amp;CHAR(10)&amp;"Question text:"&amp;CHAR(10)&amp;'Hybrid Questions'!$C$36&amp;CHAR(10)&amp;CHAR(10)&amp;"Responses header for column "&amp;'Hybrid Questions'!$D$36&amp;":"&amp;CHAR(10)&amp;INDIRECT("Responses!"&amp;'Hybrid Questions'!$D$36&amp;"1"),"")</f>
        <v>0</v>
      </c>
      <c r="F3344" s="4" t="s">
        <v>2522</v>
      </c>
    </row>
    <row r="3345" spans="1:6" ht="120" customHeight="1">
      <c r="A3345" t="s">
        <v>271</v>
      </c>
      <c r="B3345" t="s">
        <v>309</v>
      </c>
      <c r="C3345" t="s">
        <v>2521</v>
      </c>
      <c r="D3345" t="s">
        <v>1808</v>
      </c>
      <c r="E3345" s="4">
        <f>IF(AND(ISNUMBER(_helpers!$AF$40),_helpers!$AF$40&lt;0.33),"The question wording below doesn't closely match the Responses header for column "&amp;'Hybrid Questions'!$D$37&amp;"."&amp;CHAR(10)&amp;CHAR(10)&amp;"Question text:"&amp;CHAR(10)&amp;'Hybrid Questions'!$C$37&amp;CHAR(10)&amp;CHAR(10)&amp;"Responses header for column "&amp;'Hybrid Questions'!$D$37&amp;":"&amp;CHAR(10)&amp;INDIRECT("Responses!"&amp;'Hybrid Questions'!$D$37&amp;"1"),"")</f>
        <v>0</v>
      </c>
      <c r="F3345" s="4" t="s">
        <v>2522</v>
      </c>
    </row>
    <row r="3346" spans="1:6" ht="120" customHeight="1">
      <c r="A3346" t="s">
        <v>271</v>
      </c>
      <c r="B3346" t="s">
        <v>310</v>
      </c>
      <c r="C3346" t="s">
        <v>2521</v>
      </c>
      <c r="D3346" t="s">
        <v>1808</v>
      </c>
      <c r="E3346" s="4">
        <f>IF(AND(ISNUMBER(_helpers!$AF$41),_helpers!$AF$41&lt;0.33),"The question wording below doesn't closely match the Responses header for column "&amp;'Hybrid Questions'!$D$38&amp;"."&amp;CHAR(10)&amp;CHAR(10)&amp;"Question text:"&amp;CHAR(10)&amp;'Hybrid Questions'!$C$38&amp;CHAR(10)&amp;CHAR(10)&amp;"Responses header for column "&amp;'Hybrid Questions'!$D$38&amp;":"&amp;CHAR(10)&amp;INDIRECT("Responses!"&amp;'Hybrid Questions'!$D$38&amp;"1"),"")</f>
        <v>0</v>
      </c>
      <c r="F3346" s="4" t="s">
        <v>2522</v>
      </c>
    </row>
    <row r="3347" spans="1:6" ht="120" customHeight="1">
      <c r="A3347" t="s">
        <v>271</v>
      </c>
      <c r="B3347" t="s">
        <v>311</v>
      </c>
      <c r="C3347" t="s">
        <v>2521</v>
      </c>
      <c r="D3347" t="s">
        <v>1808</v>
      </c>
      <c r="E3347" s="4">
        <f>IF(AND(ISNUMBER(_helpers!$AF$42),_helpers!$AF$42&lt;0.33),"The question wording below doesn't closely match the Responses header for column "&amp;'Hybrid Questions'!$D$39&amp;"."&amp;CHAR(10)&amp;CHAR(10)&amp;"Question text:"&amp;CHAR(10)&amp;'Hybrid Questions'!$C$39&amp;CHAR(10)&amp;CHAR(10)&amp;"Responses header for column "&amp;'Hybrid Questions'!$D$39&amp;":"&amp;CHAR(10)&amp;INDIRECT("Responses!"&amp;'Hybrid Questions'!$D$39&amp;"1"),"")</f>
        <v>0</v>
      </c>
      <c r="F3347" s="4" t="s">
        <v>2522</v>
      </c>
    </row>
    <row r="3348" spans="1:6" ht="120" customHeight="1">
      <c r="A3348" t="s">
        <v>271</v>
      </c>
      <c r="B3348" t="s">
        <v>312</v>
      </c>
      <c r="C3348" t="s">
        <v>2521</v>
      </c>
      <c r="D3348" t="s">
        <v>1808</v>
      </c>
      <c r="E3348" s="4">
        <f>IF(AND(ISNUMBER(_helpers!$AF$43),_helpers!$AF$43&lt;0.33),"The question wording below doesn't closely match the Responses header for column "&amp;'Hybrid Questions'!$D$40&amp;"."&amp;CHAR(10)&amp;CHAR(10)&amp;"Question text:"&amp;CHAR(10)&amp;'Hybrid Questions'!$C$40&amp;CHAR(10)&amp;CHAR(10)&amp;"Responses header for column "&amp;'Hybrid Questions'!$D$40&amp;":"&amp;CHAR(10)&amp;INDIRECT("Responses!"&amp;'Hybrid Questions'!$D$40&amp;"1"),"")</f>
        <v>0</v>
      </c>
      <c r="F3348" s="4" t="s">
        <v>2522</v>
      </c>
    </row>
    <row r="3349" spans="1:6" ht="120" customHeight="1">
      <c r="A3349" t="s">
        <v>271</v>
      </c>
      <c r="B3349" t="s">
        <v>313</v>
      </c>
      <c r="C3349" t="s">
        <v>2521</v>
      </c>
      <c r="D3349" t="s">
        <v>1808</v>
      </c>
      <c r="E3349" s="4">
        <f>IF(AND(ISNUMBER(_helpers!$AF$44),_helpers!$AF$44&lt;0.33),"The question wording below doesn't closely match the Responses header for column "&amp;'Hybrid Questions'!$D$41&amp;"."&amp;CHAR(10)&amp;CHAR(10)&amp;"Question text:"&amp;CHAR(10)&amp;'Hybrid Questions'!$C$41&amp;CHAR(10)&amp;CHAR(10)&amp;"Responses header for column "&amp;'Hybrid Questions'!$D$41&amp;":"&amp;CHAR(10)&amp;INDIRECT("Responses!"&amp;'Hybrid Questions'!$D$41&amp;"1"),"")</f>
        <v>0</v>
      </c>
      <c r="F3349" s="4" t="s">
        <v>2522</v>
      </c>
    </row>
    <row r="3350" spans="1:6" ht="120" customHeight="1">
      <c r="A3350" t="s">
        <v>271</v>
      </c>
      <c r="B3350" t="s">
        <v>314</v>
      </c>
      <c r="C3350" t="s">
        <v>2521</v>
      </c>
      <c r="D3350" t="s">
        <v>1808</v>
      </c>
      <c r="E3350" s="4">
        <f>IF(AND(ISNUMBER(_helpers!$AF$45),_helpers!$AF$45&lt;0.33),"The question wording below doesn't closely match the Responses header for column "&amp;'Hybrid Questions'!$D$42&amp;"."&amp;CHAR(10)&amp;CHAR(10)&amp;"Question text:"&amp;CHAR(10)&amp;'Hybrid Questions'!$C$42&amp;CHAR(10)&amp;CHAR(10)&amp;"Responses header for column "&amp;'Hybrid Questions'!$D$42&amp;":"&amp;CHAR(10)&amp;INDIRECT("Responses!"&amp;'Hybrid Questions'!$D$42&amp;"1"),"")</f>
        <v>0</v>
      </c>
      <c r="F3350" s="4" t="s">
        <v>2522</v>
      </c>
    </row>
    <row r="3351" spans="1:6" ht="120" customHeight="1">
      <c r="A3351" t="s">
        <v>271</v>
      </c>
      <c r="B3351" t="s">
        <v>315</v>
      </c>
      <c r="C3351" t="s">
        <v>2521</v>
      </c>
      <c r="D3351" t="s">
        <v>1808</v>
      </c>
      <c r="E3351" s="4">
        <f>IF(AND(ISNUMBER(_helpers!$AF$46),_helpers!$AF$46&lt;0.33),"The question wording below doesn't closely match the Responses header for column "&amp;'Hybrid Questions'!$D$43&amp;"."&amp;CHAR(10)&amp;CHAR(10)&amp;"Question text:"&amp;CHAR(10)&amp;'Hybrid Questions'!$C$43&amp;CHAR(10)&amp;CHAR(10)&amp;"Responses header for column "&amp;'Hybrid Questions'!$D$43&amp;":"&amp;CHAR(10)&amp;INDIRECT("Responses!"&amp;'Hybrid Questions'!$D$43&amp;"1"),"")</f>
        <v>0</v>
      </c>
      <c r="F3351" s="4" t="s">
        <v>2522</v>
      </c>
    </row>
    <row r="3352" spans="1:6" ht="120" customHeight="1">
      <c r="A3352" t="s">
        <v>271</v>
      </c>
      <c r="B3352" t="s">
        <v>316</v>
      </c>
      <c r="C3352" t="s">
        <v>2521</v>
      </c>
      <c r="D3352" t="s">
        <v>1808</v>
      </c>
      <c r="E3352" s="4">
        <f>IF(AND(ISNUMBER(_helpers!$AF$47),_helpers!$AF$47&lt;0.33),"The question wording below doesn't closely match the Responses header for column "&amp;'Hybrid Questions'!$D$44&amp;"."&amp;CHAR(10)&amp;CHAR(10)&amp;"Question text:"&amp;CHAR(10)&amp;'Hybrid Questions'!$C$44&amp;CHAR(10)&amp;CHAR(10)&amp;"Responses header for column "&amp;'Hybrid Questions'!$D$44&amp;":"&amp;CHAR(10)&amp;INDIRECT("Responses!"&amp;'Hybrid Questions'!$D$44&amp;"1"),"")</f>
        <v>0</v>
      </c>
      <c r="F3352" s="4" t="s">
        <v>2522</v>
      </c>
    </row>
    <row r="3353" spans="1:6" ht="120" customHeight="1">
      <c r="A3353" t="s">
        <v>271</v>
      </c>
      <c r="B3353" t="s">
        <v>317</v>
      </c>
      <c r="C3353" t="s">
        <v>2521</v>
      </c>
      <c r="D3353" t="s">
        <v>1808</v>
      </c>
      <c r="E3353" s="4">
        <f>IF(AND(ISNUMBER(_helpers!$AF$48),_helpers!$AF$48&lt;0.33),"The question wording below doesn't closely match the Responses header for column "&amp;'Hybrid Questions'!$D$45&amp;"."&amp;CHAR(10)&amp;CHAR(10)&amp;"Question text:"&amp;CHAR(10)&amp;'Hybrid Questions'!$C$45&amp;CHAR(10)&amp;CHAR(10)&amp;"Responses header for column "&amp;'Hybrid Questions'!$D$45&amp;":"&amp;CHAR(10)&amp;INDIRECT("Responses!"&amp;'Hybrid Questions'!$D$45&amp;"1"),"")</f>
        <v>0</v>
      </c>
      <c r="F3353" s="4" t="s">
        <v>2522</v>
      </c>
    </row>
    <row r="3354" spans="1:6" ht="120" customHeight="1">
      <c r="A3354" t="s">
        <v>271</v>
      </c>
      <c r="B3354" t="s">
        <v>318</v>
      </c>
      <c r="C3354" t="s">
        <v>2521</v>
      </c>
      <c r="D3354" t="s">
        <v>1808</v>
      </c>
      <c r="E3354" s="4">
        <f>IF(AND(ISNUMBER(_helpers!$AF$49),_helpers!$AF$49&lt;0.33),"The question wording below doesn't closely match the Responses header for column "&amp;'Hybrid Questions'!$D$46&amp;"."&amp;CHAR(10)&amp;CHAR(10)&amp;"Question text:"&amp;CHAR(10)&amp;'Hybrid Questions'!$C$46&amp;CHAR(10)&amp;CHAR(10)&amp;"Responses header for column "&amp;'Hybrid Questions'!$D$46&amp;":"&amp;CHAR(10)&amp;INDIRECT("Responses!"&amp;'Hybrid Questions'!$D$46&amp;"1"),"")</f>
        <v>0</v>
      </c>
      <c r="F3354" s="4" t="s">
        <v>2522</v>
      </c>
    </row>
    <row r="3355" spans="1:6" ht="120" customHeight="1">
      <c r="A3355" t="s">
        <v>271</v>
      </c>
      <c r="B3355" t="s">
        <v>319</v>
      </c>
      <c r="C3355" t="s">
        <v>2521</v>
      </c>
      <c r="D3355" t="s">
        <v>1808</v>
      </c>
      <c r="E3355" s="4">
        <f>IF(AND(ISNUMBER(_helpers!$AF$50),_helpers!$AF$50&lt;0.33),"The question wording below doesn't closely match the Responses header for column "&amp;'Hybrid Questions'!$D$47&amp;"."&amp;CHAR(10)&amp;CHAR(10)&amp;"Question text:"&amp;CHAR(10)&amp;'Hybrid Questions'!$C$47&amp;CHAR(10)&amp;CHAR(10)&amp;"Responses header for column "&amp;'Hybrid Questions'!$D$47&amp;":"&amp;CHAR(10)&amp;INDIRECT("Responses!"&amp;'Hybrid Questions'!$D$47&amp;"1"),"")</f>
        <v>0</v>
      </c>
      <c r="F3355" s="4" t="s">
        <v>2522</v>
      </c>
    </row>
    <row r="3356" spans="1:6" ht="120" customHeight="1">
      <c r="A3356" t="s">
        <v>271</v>
      </c>
      <c r="B3356" t="s">
        <v>320</v>
      </c>
      <c r="C3356" t="s">
        <v>2521</v>
      </c>
      <c r="D3356" t="s">
        <v>1808</v>
      </c>
      <c r="E3356" s="4">
        <f>IF(AND(ISNUMBER(_helpers!$AF$51),_helpers!$AF$51&lt;0.33),"The question wording below doesn't closely match the Responses header for column "&amp;'Hybrid Questions'!$D$48&amp;"."&amp;CHAR(10)&amp;CHAR(10)&amp;"Question text:"&amp;CHAR(10)&amp;'Hybrid Questions'!$C$48&amp;CHAR(10)&amp;CHAR(10)&amp;"Responses header for column "&amp;'Hybrid Questions'!$D$48&amp;":"&amp;CHAR(10)&amp;INDIRECT("Responses!"&amp;'Hybrid Questions'!$D$48&amp;"1"),"")</f>
        <v>0</v>
      </c>
      <c r="F3356" s="4" t="s">
        <v>2522</v>
      </c>
    </row>
    <row r="3357" spans="1:6" ht="120" customHeight="1">
      <c r="A3357" t="s">
        <v>271</v>
      </c>
      <c r="B3357" t="s">
        <v>321</v>
      </c>
      <c r="C3357" t="s">
        <v>2521</v>
      </c>
      <c r="D3357" t="s">
        <v>1808</v>
      </c>
      <c r="E3357" s="4">
        <f>IF(AND(ISNUMBER(_helpers!$AF$52),_helpers!$AF$52&lt;0.33),"The question wording below doesn't closely match the Responses header for column "&amp;'Hybrid Questions'!$D$49&amp;"."&amp;CHAR(10)&amp;CHAR(10)&amp;"Question text:"&amp;CHAR(10)&amp;'Hybrid Questions'!$C$49&amp;CHAR(10)&amp;CHAR(10)&amp;"Responses header for column "&amp;'Hybrid Questions'!$D$49&amp;":"&amp;CHAR(10)&amp;INDIRECT("Responses!"&amp;'Hybrid Questions'!$D$49&amp;"1"),"")</f>
        <v>0</v>
      </c>
      <c r="F3357" s="4" t="s">
        <v>2522</v>
      </c>
    </row>
    <row r="3358" spans="1:6" ht="120" customHeight="1">
      <c r="A3358" t="s">
        <v>271</v>
      </c>
      <c r="B3358" t="s">
        <v>322</v>
      </c>
      <c r="C3358" t="s">
        <v>2521</v>
      </c>
      <c r="D3358" t="s">
        <v>1808</v>
      </c>
      <c r="E3358" s="4">
        <f>IF(AND(ISNUMBER(_helpers!$AF$53),_helpers!$AF$53&lt;0.33),"The question wording below doesn't closely match the Responses header for column "&amp;'Hybrid Questions'!$D$50&amp;"."&amp;CHAR(10)&amp;CHAR(10)&amp;"Question text:"&amp;CHAR(10)&amp;'Hybrid Questions'!$C$50&amp;CHAR(10)&amp;CHAR(10)&amp;"Responses header for column "&amp;'Hybrid Questions'!$D$50&amp;":"&amp;CHAR(10)&amp;INDIRECT("Responses!"&amp;'Hybrid Questions'!$D$50&amp;"1"),"")</f>
        <v>0</v>
      </c>
      <c r="F3358" s="4" t="s">
        <v>2522</v>
      </c>
    </row>
    <row r="3359" spans="1:6" ht="120" customHeight="1">
      <c r="A3359" t="s">
        <v>271</v>
      </c>
      <c r="B3359" t="s">
        <v>323</v>
      </c>
      <c r="C3359" t="s">
        <v>2521</v>
      </c>
      <c r="D3359" t="s">
        <v>1808</v>
      </c>
      <c r="E3359" s="4">
        <f>IF(AND(ISNUMBER(_helpers!$AF$54),_helpers!$AF$54&lt;0.33),"The question wording below doesn't closely match the Responses header for column "&amp;'Hybrid Questions'!$D$51&amp;"."&amp;CHAR(10)&amp;CHAR(10)&amp;"Question text:"&amp;CHAR(10)&amp;'Hybrid Questions'!$C$51&amp;CHAR(10)&amp;CHAR(10)&amp;"Responses header for column "&amp;'Hybrid Questions'!$D$51&amp;":"&amp;CHAR(10)&amp;INDIRECT("Responses!"&amp;'Hybrid Questions'!$D$51&amp;"1"),"")</f>
        <v>0</v>
      </c>
      <c r="F3359" s="4" t="s">
        <v>2522</v>
      </c>
    </row>
    <row r="3360" spans="1:6" ht="120" customHeight="1">
      <c r="A3360" t="s">
        <v>271</v>
      </c>
      <c r="B3360" t="s">
        <v>163</v>
      </c>
      <c r="C3360" t="s">
        <v>2523</v>
      </c>
      <c r="D3360" t="s">
        <v>1808</v>
      </c>
      <c r="E3360" s="4">
        <f>IF(AND(ISNUMBER(_helpers!$X$5),_helpers!$X$5&lt;0.33),"The question wording below doesn't closely match the Responses header for column "&amp;'Hybrid Questions'!$A$2&amp;"."&amp;CHAR(10)&amp;CHAR(10)&amp;"Question text:"&amp;CHAR(10)&amp;'Hybrid Questions'!$C$2&amp;CHAR(10)&amp;CHAR(10)&amp;"Responses header for column "&amp;'Hybrid Questions'!$A$2&amp;":"&amp;CHAR(10)&amp;INDIRECT("Responses!"&amp;'Hybrid Questions'!$A$2&amp;"1"),"")</f>
        <v>0</v>
      </c>
      <c r="F3360" s="4" t="s">
        <v>2524</v>
      </c>
    </row>
    <row r="3361" spans="1:6" ht="120" customHeight="1">
      <c r="A3361" t="s">
        <v>271</v>
      </c>
      <c r="B3361" t="s">
        <v>167</v>
      </c>
      <c r="C3361" t="s">
        <v>2523</v>
      </c>
      <c r="D3361" t="s">
        <v>1808</v>
      </c>
      <c r="E3361" s="4">
        <f>IF(AND(ISNUMBER(_helpers!$X$6),_helpers!$X$6&lt;0.33),"The question wording below doesn't closely match the Responses header for column "&amp;'Hybrid Questions'!$A$3&amp;"."&amp;CHAR(10)&amp;CHAR(10)&amp;"Question text:"&amp;CHAR(10)&amp;'Hybrid Questions'!$C$3&amp;CHAR(10)&amp;CHAR(10)&amp;"Responses header for column "&amp;'Hybrid Questions'!$A$3&amp;":"&amp;CHAR(10)&amp;INDIRECT("Responses!"&amp;'Hybrid Questions'!$A$3&amp;"1"),"")</f>
        <v>0</v>
      </c>
      <c r="F3361" s="4" t="s">
        <v>2524</v>
      </c>
    </row>
    <row r="3362" spans="1:6" ht="120" customHeight="1">
      <c r="A3362" t="s">
        <v>271</v>
      </c>
      <c r="B3362" t="s">
        <v>168</v>
      </c>
      <c r="C3362" t="s">
        <v>2523</v>
      </c>
      <c r="D3362" t="s">
        <v>1808</v>
      </c>
      <c r="E3362" s="4">
        <f>IF(AND(ISNUMBER(_helpers!$X$7),_helpers!$X$7&lt;0.33),"The question wording below doesn't closely match the Responses header for column "&amp;'Hybrid Questions'!$A$4&amp;"."&amp;CHAR(10)&amp;CHAR(10)&amp;"Question text:"&amp;CHAR(10)&amp;'Hybrid Questions'!$C$4&amp;CHAR(10)&amp;CHAR(10)&amp;"Responses header for column "&amp;'Hybrid Questions'!$A$4&amp;":"&amp;CHAR(10)&amp;INDIRECT("Responses!"&amp;'Hybrid Questions'!$A$4&amp;"1"),"")</f>
        <v>0</v>
      </c>
      <c r="F3362" s="4" t="s">
        <v>2524</v>
      </c>
    </row>
    <row r="3363" spans="1:6" ht="120" customHeight="1">
      <c r="A3363" t="s">
        <v>271</v>
      </c>
      <c r="B3363" t="s">
        <v>169</v>
      </c>
      <c r="C3363" t="s">
        <v>2523</v>
      </c>
      <c r="D3363" t="s">
        <v>1808</v>
      </c>
      <c r="E3363" s="4">
        <f>IF(AND(ISNUMBER(_helpers!$X$8),_helpers!$X$8&lt;0.33),"The question wording below doesn't closely match the Responses header for column "&amp;'Hybrid Questions'!$A$5&amp;"."&amp;CHAR(10)&amp;CHAR(10)&amp;"Question text:"&amp;CHAR(10)&amp;'Hybrid Questions'!$C$5&amp;CHAR(10)&amp;CHAR(10)&amp;"Responses header for column "&amp;'Hybrid Questions'!$A$5&amp;":"&amp;CHAR(10)&amp;INDIRECT("Responses!"&amp;'Hybrid Questions'!$A$5&amp;"1"),"")</f>
        <v>0</v>
      </c>
      <c r="F3363" s="4" t="s">
        <v>2524</v>
      </c>
    </row>
    <row r="3364" spans="1:6" ht="120" customHeight="1">
      <c r="A3364" t="s">
        <v>271</v>
      </c>
      <c r="B3364" t="s">
        <v>170</v>
      </c>
      <c r="C3364" t="s">
        <v>2523</v>
      </c>
      <c r="D3364" t="s">
        <v>1808</v>
      </c>
      <c r="E3364" s="4">
        <f>IF(AND(ISNUMBER(_helpers!$X$9),_helpers!$X$9&lt;0.33),"The question wording below doesn't closely match the Responses header for column "&amp;'Hybrid Questions'!$A$6&amp;"."&amp;CHAR(10)&amp;CHAR(10)&amp;"Question text:"&amp;CHAR(10)&amp;'Hybrid Questions'!$C$6&amp;CHAR(10)&amp;CHAR(10)&amp;"Responses header for column "&amp;'Hybrid Questions'!$A$6&amp;":"&amp;CHAR(10)&amp;INDIRECT("Responses!"&amp;'Hybrid Questions'!$A$6&amp;"1"),"")</f>
        <v>0</v>
      </c>
      <c r="F3364" s="4" t="s">
        <v>2524</v>
      </c>
    </row>
    <row r="3365" spans="1:6" ht="120" customHeight="1">
      <c r="A3365" t="s">
        <v>271</v>
      </c>
      <c r="B3365" t="s">
        <v>171</v>
      </c>
      <c r="C3365" t="s">
        <v>2523</v>
      </c>
      <c r="D3365" t="s">
        <v>1808</v>
      </c>
      <c r="E3365" s="4">
        <f>IF(AND(ISNUMBER(_helpers!$X$10),_helpers!$X$10&lt;0.33),"The question wording below doesn't closely match the Responses header for column "&amp;'Hybrid Questions'!$A$7&amp;"."&amp;CHAR(10)&amp;CHAR(10)&amp;"Question text:"&amp;CHAR(10)&amp;'Hybrid Questions'!$C$7&amp;CHAR(10)&amp;CHAR(10)&amp;"Responses header for column "&amp;'Hybrid Questions'!$A$7&amp;":"&amp;CHAR(10)&amp;INDIRECT("Responses!"&amp;'Hybrid Questions'!$A$7&amp;"1"),"")</f>
        <v>0</v>
      </c>
      <c r="F3365" s="4" t="s">
        <v>2524</v>
      </c>
    </row>
    <row r="3366" spans="1:6" ht="120" customHeight="1">
      <c r="A3366" t="s">
        <v>271</v>
      </c>
      <c r="B3366" t="s">
        <v>172</v>
      </c>
      <c r="C3366" t="s">
        <v>2523</v>
      </c>
      <c r="D3366" t="s">
        <v>1808</v>
      </c>
      <c r="E3366" s="4">
        <f>IF(AND(ISNUMBER(_helpers!$X$11),_helpers!$X$11&lt;0.33),"The question wording below doesn't closely match the Responses header for column "&amp;'Hybrid Questions'!$A$8&amp;"."&amp;CHAR(10)&amp;CHAR(10)&amp;"Question text:"&amp;CHAR(10)&amp;'Hybrid Questions'!$C$8&amp;CHAR(10)&amp;CHAR(10)&amp;"Responses header for column "&amp;'Hybrid Questions'!$A$8&amp;":"&amp;CHAR(10)&amp;INDIRECT("Responses!"&amp;'Hybrid Questions'!$A$8&amp;"1"),"")</f>
        <v>0</v>
      </c>
      <c r="F3366" s="4" t="s">
        <v>2524</v>
      </c>
    </row>
    <row r="3367" spans="1:6" ht="120" customHeight="1">
      <c r="A3367" t="s">
        <v>271</v>
      </c>
      <c r="B3367" t="s">
        <v>173</v>
      </c>
      <c r="C3367" t="s">
        <v>2523</v>
      </c>
      <c r="D3367" t="s">
        <v>1808</v>
      </c>
      <c r="E3367" s="4">
        <f>IF(AND(ISNUMBER(_helpers!$X$12),_helpers!$X$12&lt;0.33),"The question wording below doesn't closely match the Responses header for column "&amp;'Hybrid Questions'!$A$9&amp;"."&amp;CHAR(10)&amp;CHAR(10)&amp;"Question text:"&amp;CHAR(10)&amp;'Hybrid Questions'!$C$9&amp;CHAR(10)&amp;CHAR(10)&amp;"Responses header for column "&amp;'Hybrid Questions'!$A$9&amp;":"&amp;CHAR(10)&amp;INDIRECT("Responses!"&amp;'Hybrid Questions'!$A$9&amp;"1"),"")</f>
        <v>0</v>
      </c>
      <c r="F3367" s="4" t="s">
        <v>2524</v>
      </c>
    </row>
    <row r="3368" spans="1:6" ht="120" customHeight="1">
      <c r="A3368" t="s">
        <v>271</v>
      </c>
      <c r="B3368" t="s">
        <v>174</v>
      </c>
      <c r="C3368" t="s">
        <v>2523</v>
      </c>
      <c r="D3368" t="s">
        <v>1808</v>
      </c>
      <c r="E3368" s="4">
        <f>IF(AND(ISNUMBER(_helpers!$X$13),_helpers!$X$13&lt;0.33),"The question wording below doesn't closely match the Responses header for column "&amp;'Hybrid Questions'!$A$10&amp;"."&amp;CHAR(10)&amp;CHAR(10)&amp;"Question text:"&amp;CHAR(10)&amp;'Hybrid Questions'!$C$10&amp;CHAR(10)&amp;CHAR(10)&amp;"Responses header for column "&amp;'Hybrid Questions'!$A$10&amp;":"&amp;CHAR(10)&amp;INDIRECT("Responses!"&amp;'Hybrid Questions'!$A$10&amp;"1"),"")</f>
        <v>0</v>
      </c>
      <c r="F3368" s="4" t="s">
        <v>2524</v>
      </c>
    </row>
    <row r="3369" spans="1:6" ht="120" customHeight="1">
      <c r="A3369" t="s">
        <v>271</v>
      </c>
      <c r="B3369" t="s">
        <v>175</v>
      </c>
      <c r="C3369" t="s">
        <v>2523</v>
      </c>
      <c r="D3369" t="s">
        <v>1808</v>
      </c>
      <c r="E3369" s="4">
        <f>IF(AND(ISNUMBER(_helpers!$X$14),_helpers!$X$14&lt;0.33),"The question wording below doesn't closely match the Responses header for column "&amp;'Hybrid Questions'!$A$11&amp;"."&amp;CHAR(10)&amp;CHAR(10)&amp;"Question text:"&amp;CHAR(10)&amp;'Hybrid Questions'!$C$11&amp;CHAR(10)&amp;CHAR(10)&amp;"Responses header for column "&amp;'Hybrid Questions'!$A$11&amp;":"&amp;CHAR(10)&amp;INDIRECT("Responses!"&amp;'Hybrid Questions'!$A$11&amp;"1"),"")</f>
        <v>0</v>
      </c>
      <c r="F3369" s="4" t="s">
        <v>2524</v>
      </c>
    </row>
    <row r="3370" spans="1:6" ht="120" customHeight="1">
      <c r="A3370" t="s">
        <v>271</v>
      </c>
      <c r="B3370" t="s">
        <v>176</v>
      </c>
      <c r="C3370" t="s">
        <v>2523</v>
      </c>
      <c r="D3370" t="s">
        <v>1808</v>
      </c>
      <c r="E3370" s="4">
        <f>IF(AND(ISNUMBER(_helpers!$X$15),_helpers!$X$15&lt;0.33),"The question wording below doesn't closely match the Responses header for column "&amp;'Hybrid Questions'!$A$12&amp;"."&amp;CHAR(10)&amp;CHAR(10)&amp;"Question text:"&amp;CHAR(10)&amp;'Hybrid Questions'!$C$12&amp;CHAR(10)&amp;CHAR(10)&amp;"Responses header for column "&amp;'Hybrid Questions'!$A$12&amp;":"&amp;CHAR(10)&amp;INDIRECT("Responses!"&amp;'Hybrid Questions'!$A$12&amp;"1"),"")</f>
        <v>0</v>
      </c>
      <c r="F3370" s="4" t="s">
        <v>2524</v>
      </c>
    </row>
    <row r="3371" spans="1:6" ht="120" customHeight="1">
      <c r="A3371" t="s">
        <v>271</v>
      </c>
      <c r="B3371" t="s">
        <v>177</v>
      </c>
      <c r="C3371" t="s">
        <v>2523</v>
      </c>
      <c r="D3371" t="s">
        <v>1808</v>
      </c>
      <c r="E3371" s="4">
        <f>IF(AND(ISNUMBER(_helpers!$X$16),_helpers!$X$16&lt;0.33),"The question wording below doesn't closely match the Responses header for column "&amp;'Hybrid Questions'!$A$13&amp;"."&amp;CHAR(10)&amp;CHAR(10)&amp;"Question text:"&amp;CHAR(10)&amp;'Hybrid Questions'!$C$13&amp;CHAR(10)&amp;CHAR(10)&amp;"Responses header for column "&amp;'Hybrid Questions'!$A$13&amp;":"&amp;CHAR(10)&amp;INDIRECT("Responses!"&amp;'Hybrid Questions'!$A$13&amp;"1"),"")</f>
        <v>0</v>
      </c>
      <c r="F3371" s="4" t="s">
        <v>2524</v>
      </c>
    </row>
    <row r="3372" spans="1:6" ht="120" customHeight="1">
      <c r="A3372" t="s">
        <v>271</v>
      </c>
      <c r="B3372" t="s">
        <v>178</v>
      </c>
      <c r="C3372" t="s">
        <v>2523</v>
      </c>
      <c r="D3372" t="s">
        <v>1808</v>
      </c>
      <c r="E3372" s="4">
        <f>IF(AND(ISNUMBER(_helpers!$X$17),_helpers!$X$17&lt;0.33),"The question wording below doesn't closely match the Responses header for column "&amp;'Hybrid Questions'!$A$14&amp;"."&amp;CHAR(10)&amp;CHAR(10)&amp;"Question text:"&amp;CHAR(10)&amp;'Hybrid Questions'!$C$14&amp;CHAR(10)&amp;CHAR(10)&amp;"Responses header for column "&amp;'Hybrid Questions'!$A$14&amp;":"&amp;CHAR(10)&amp;INDIRECT("Responses!"&amp;'Hybrid Questions'!$A$14&amp;"1"),"")</f>
        <v>0</v>
      </c>
      <c r="F3372" s="4" t="s">
        <v>2524</v>
      </c>
    </row>
    <row r="3373" spans="1:6" ht="120" customHeight="1">
      <c r="A3373" t="s">
        <v>271</v>
      </c>
      <c r="B3373" t="s">
        <v>179</v>
      </c>
      <c r="C3373" t="s">
        <v>2523</v>
      </c>
      <c r="D3373" t="s">
        <v>1808</v>
      </c>
      <c r="E3373" s="4">
        <f>IF(AND(ISNUMBER(_helpers!$X$18),_helpers!$X$18&lt;0.33),"The question wording below doesn't closely match the Responses header for column "&amp;'Hybrid Questions'!$A$15&amp;"."&amp;CHAR(10)&amp;CHAR(10)&amp;"Question text:"&amp;CHAR(10)&amp;'Hybrid Questions'!$C$15&amp;CHAR(10)&amp;CHAR(10)&amp;"Responses header for column "&amp;'Hybrid Questions'!$A$15&amp;":"&amp;CHAR(10)&amp;INDIRECT("Responses!"&amp;'Hybrid Questions'!$A$15&amp;"1"),"")</f>
        <v>0</v>
      </c>
      <c r="F3373" s="4" t="s">
        <v>2524</v>
      </c>
    </row>
    <row r="3374" spans="1:6" ht="120" customHeight="1">
      <c r="A3374" t="s">
        <v>271</v>
      </c>
      <c r="B3374" t="s">
        <v>180</v>
      </c>
      <c r="C3374" t="s">
        <v>2523</v>
      </c>
      <c r="D3374" t="s">
        <v>1808</v>
      </c>
      <c r="E3374" s="4">
        <f>IF(AND(ISNUMBER(_helpers!$X$19),_helpers!$X$19&lt;0.33),"The question wording below doesn't closely match the Responses header for column "&amp;'Hybrid Questions'!$A$16&amp;"."&amp;CHAR(10)&amp;CHAR(10)&amp;"Question text:"&amp;CHAR(10)&amp;'Hybrid Questions'!$C$16&amp;CHAR(10)&amp;CHAR(10)&amp;"Responses header for column "&amp;'Hybrid Questions'!$A$16&amp;":"&amp;CHAR(10)&amp;INDIRECT("Responses!"&amp;'Hybrid Questions'!$A$16&amp;"1"),"")</f>
        <v>0</v>
      </c>
      <c r="F3374" s="4" t="s">
        <v>2524</v>
      </c>
    </row>
    <row r="3375" spans="1:6" ht="120" customHeight="1">
      <c r="A3375" t="s">
        <v>271</v>
      </c>
      <c r="B3375" t="s">
        <v>181</v>
      </c>
      <c r="C3375" t="s">
        <v>2523</v>
      </c>
      <c r="D3375" t="s">
        <v>1808</v>
      </c>
      <c r="E3375" s="4">
        <f>IF(AND(ISNUMBER(_helpers!$X$20),_helpers!$X$20&lt;0.33),"The question wording below doesn't closely match the Responses header for column "&amp;'Hybrid Questions'!$A$17&amp;"."&amp;CHAR(10)&amp;CHAR(10)&amp;"Question text:"&amp;CHAR(10)&amp;'Hybrid Questions'!$C$17&amp;CHAR(10)&amp;CHAR(10)&amp;"Responses header for column "&amp;'Hybrid Questions'!$A$17&amp;":"&amp;CHAR(10)&amp;INDIRECT("Responses!"&amp;'Hybrid Questions'!$A$17&amp;"1"),"")</f>
        <v>0</v>
      </c>
      <c r="F3375" s="4" t="s">
        <v>2524</v>
      </c>
    </row>
    <row r="3376" spans="1:6" ht="120" customHeight="1">
      <c r="A3376" t="s">
        <v>271</v>
      </c>
      <c r="B3376" t="s">
        <v>182</v>
      </c>
      <c r="C3376" t="s">
        <v>2523</v>
      </c>
      <c r="D3376" t="s">
        <v>1808</v>
      </c>
      <c r="E3376" s="4">
        <f>IF(AND(ISNUMBER(_helpers!$X$21),_helpers!$X$21&lt;0.33),"The question wording below doesn't closely match the Responses header for column "&amp;'Hybrid Questions'!$A$18&amp;"."&amp;CHAR(10)&amp;CHAR(10)&amp;"Question text:"&amp;CHAR(10)&amp;'Hybrid Questions'!$C$18&amp;CHAR(10)&amp;CHAR(10)&amp;"Responses header for column "&amp;'Hybrid Questions'!$A$18&amp;":"&amp;CHAR(10)&amp;INDIRECT("Responses!"&amp;'Hybrid Questions'!$A$18&amp;"1"),"")</f>
        <v>0</v>
      </c>
      <c r="F3376" s="4" t="s">
        <v>2524</v>
      </c>
    </row>
    <row r="3377" spans="1:6" ht="120" customHeight="1">
      <c r="A3377" t="s">
        <v>271</v>
      </c>
      <c r="B3377" t="s">
        <v>183</v>
      </c>
      <c r="C3377" t="s">
        <v>2523</v>
      </c>
      <c r="D3377" t="s">
        <v>1808</v>
      </c>
      <c r="E3377" s="4">
        <f>IF(AND(ISNUMBER(_helpers!$X$22),_helpers!$X$22&lt;0.33),"The question wording below doesn't closely match the Responses header for column "&amp;'Hybrid Questions'!$A$19&amp;"."&amp;CHAR(10)&amp;CHAR(10)&amp;"Question text:"&amp;CHAR(10)&amp;'Hybrid Questions'!$C$19&amp;CHAR(10)&amp;CHAR(10)&amp;"Responses header for column "&amp;'Hybrid Questions'!$A$19&amp;":"&amp;CHAR(10)&amp;INDIRECT("Responses!"&amp;'Hybrid Questions'!$A$19&amp;"1"),"")</f>
        <v>0</v>
      </c>
      <c r="F3377" s="4" t="s">
        <v>2524</v>
      </c>
    </row>
    <row r="3378" spans="1:6" ht="120" customHeight="1">
      <c r="A3378" t="s">
        <v>271</v>
      </c>
      <c r="B3378" t="s">
        <v>184</v>
      </c>
      <c r="C3378" t="s">
        <v>2523</v>
      </c>
      <c r="D3378" t="s">
        <v>1808</v>
      </c>
      <c r="E3378" s="4">
        <f>IF(AND(ISNUMBER(_helpers!$X$23),_helpers!$X$23&lt;0.33),"The question wording below doesn't closely match the Responses header for column "&amp;'Hybrid Questions'!$A$20&amp;"."&amp;CHAR(10)&amp;CHAR(10)&amp;"Question text:"&amp;CHAR(10)&amp;'Hybrid Questions'!$C$20&amp;CHAR(10)&amp;CHAR(10)&amp;"Responses header for column "&amp;'Hybrid Questions'!$A$20&amp;":"&amp;CHAR(10)&amp;INDIRECT("Responses!"&amp;'Hybrid Questions'!$A$20&amp;"1"),"")</f>
        <v>0</v>
      </c>
      <c r="F3378" s="4" t="s">
        <v>2524</v>
      </c>
    </row>
    <row r="3379" spans="1:6" ht="120" customHeight="1">
      <c r="A3379" t="s">
        <v>271</v>
      </c>
      <c r="B3379" t="s">
        <v>185</v>
      </c>
      <c r="C3379" t="s">
        <v>2523</v>
      </c>
      <c r="D3379" t="s">
        <v>1808</v>
      </c>
      <c r="E3379" s="4">
        <f>IF(AND(ISNUMBER(_helpers!$X$24),_helpers!$X$24&lt;0.33),"The question wording below doesn't closely match the Responses header for column "&amp;'Hybrid Questions'!$A$21&amp;"."&amp;CHAR(10)&amp;CHAR(10)&amp;"Question text:"&amp;CHAR(10)&amp;'Hybrid Questions'!$C$21&amp;CHAR(10)&amp;CHAR(10)&amp;"Responses header for column "&amp;'Hybrid Questions'!$A$21&amp;":"&amp;CHAR(10)&amp;INDIRECT("Responses!"&amp;'Hybrid Questions'!$A$21&amp;"1"),"")</f>
        <v>0</v>
      </c>
      <c r="F3379" s="4" t="s">
        <v>2524</v>
      </c>
    </row>
    <row r="3380" spans="1:6" ht="120" customHeight="1">
      <c r="A3380" t="s">
        <v>271</v>
      </c>
      <c r="B3380" t="s">
        <v>186</v>
      </c>
      <c r="C3380" t="s">
        <v>2523</v>
      </c>
      <c r="D3380" t="s">
        <v>1808</v>
      </c>
      <c r="E3380" s="4">
        <f>IF(AND(ISNUMBER(_helpers!$X$25),_helpers!$X$25&lt;0.33),"The question wording below doesn't closely match the Responses header for column "&amp;'Hybrid Questions'!$A$22&amp;"."&amp;CHAR(10)&amp;CHAR(10)&amp;"Question text:"&amp;CHAR(10)&amp;'Hybrid Questions'!$C$22&amp;CHAR(10)&amp;CHAR(10)&amp;"Responses header for column "&amp;'Hybrid Questions'!$A$22&amp;":"&amp;CHAR(10)&amp;INDIRECT("Responses!"&amp;'Hybrid Questions'!$A$22&amp;"1"),"")</f>
        <v>0</v>
      </c>
      <c r="F3380" s="4" t="s">
        <v>2524</v>
      </c>
    </row>
    <row r="3381" spans="1:6" ht="120" customHeight="1">
      <c r="A3381" t="s">
        <v>271</v>
      </c>
      <c r="B3381" t="s">
        <v>187</v>
      </c>
      <c r="C3381" t="s">
        <v>2523</v>
      </c>
      <c r="D3381" t="s">
        <v>1808</v>
      </c>
      <c r="E3381" s="4">
        <f>IF(AND(ISNUMBER(_helpers!$X$26),_helpers!$X$26&lt;0.33),"The question wording below doesn't closely match the Responses header for column "&amp;'Hybrid Questions'!$A$23&amp;"."&amp;CHAR(10)&amp;CHAR(10)&amp;"Question text:"&amp;CHAR(10)&amp;'Hybrid Questions'!$C$23&amp;CHAR(10)&amp;CHAR(10)&amp;"Responses header for column "&amp;'Hybrid Questions'!$A$23&amp;":"&amp;CHAR(10)&amp;INDIRECT("Responses!"&amp;'Hybrid Questions'!$A$23&amp;"1"),"")</f>
        <v>0</v>
      </c>
      <c r="F3381" s="4" t="s">
        <v>2524</v>
      </c>
    </row>
    <row r="3382" spans="1:6" ht="120" customHeight="1">
      <c r="A3382" t="s">
        <v>271</v>
      </c>
      <c r="B3382" t="s">
        <v>188</v>
      </c>
      <c r="C3382" t="s">
        <v>2523</v>
      </c>
      <c r="D3382" t="s">
        <v>1808</v>
      </c>
      <c r="E3382" s="4">
        <f>IF(AND(ISNUMBER(_helpers!$X$27),_helpers!$X$27&lt;0.33),"The question wording below doesn't closely match the Responses header for column "&amp;'Hybrid Questions'!$A$24&amp;"."&amp;CHAR(10)&amp;CHAR(10)&amp;"Question text:"&amp;CHAR(10)&amp;'Hybrid Questions'!$C$24&amp;CHAR(10)&amp;CHAR(10)&amp;"Responses header for column "&amp;'Hybrid Questions'!$A$24&amp;":"&amp;CHAR(10)&amp;INDIRECT("Responses!"&amp;'Hybrid Questions'!$A$24&amp;"1"),"")</f>
        <v>0</v>
      </c>
      <c r="F3382" s="4" t="s">
        <v>2524</v>
      </c>
    </row>
    <row r="3383" spans="1:6" ht="120" customHeight="1">
      <c r="A3383" t="s">
        <v>271</v>
      </c>
      <c r="B3383" t="s">
        <v>189</v>
      </c>
      <c r="C3383" t="s">
        <v>2523</v>
      </c>
      <c r="D3383" t="s">
        <v>1808</v>
      </c>
      <c r="E3383" s="4">
        <f>IF(AND(ISNUMBER(_helpers!$X$28),_helpers!$X$28&lt;0.33),"The question wording below doesn't closely match the Responses header for column "&amp;'Hybrid Questions'!$A$25&amp;"."&amp;CHAR(10)&amp;CHAR(10)&amp;"Question text:"&amp;CHAR(10)&amp;'Hybrid Questions'!$C$25&amp;CHAR(10)&amp;CHAR(10)&amp;"Responses header for column "&amp;'Hybrid Questions'!$A$25&amp;":"&amp;CHAR(10)&amp;INDIRECT("Responses!"&amp;'Hybrid Questions'!$A$25&amp;"1"),"")</f>
        <v>0</v>
      </c>
      <c r="F3383" s="4" t="s">
        <v>2524</v>
      </c>
    </row>
    <row r="3384" spans="1:6" ht="120" customHeight="1">
      <c r="A3384" t="s">
        <v>271</v>
      </c>
      <c r="B3384" t="s">
        <v>190</v>
      </c>
      <c r="C3384" t="s">
        <v>2523</v>
      </c>
      <c r="D3384" t="s">
        <v>1808</v>
      </c>
      <c r="E3384" s="4">
        <f>IF(AND(ISNUMBER(_helpers!$X$29),_helpers!$X$29&lt;0.33),"The question wording below doesn't closely match the Responses header for column "&amp;'Hybrid Questions'!$A$26&amp;"."&amp;CHAR(10)&amp;CHAR(10)&amp;"Question text:"&amp;CHAR(10)&amp;'Hybrid Questions'!$C$26&amp;CHAR(10)&amp;CHAR(10)&amp;"Responses header for column "&amp;'Hybrid Questions'!$A$26&amp;":"&amp;CHAR(10)&amp;INDIRECT("Responses!"&amp;'Hybrid Questions'!$A$26&amp;"1"),"")</f>
        <v>0</v>
      </c>
      <c r="F3384" s="4" t="s">
        <v>2524</v>
      </c>
    </row>
    <row r="3385" spans="1:6" ht="120" customHeight="1">
      <c r="A3385" t="s">
        <v>271</v>
      </c>
      <c r="B3385" t="s">
        <v>191</v>
      </c>
      <c r="C3385" t="s">
        <v>2523</v>
      </c>
      <c r="D3385" t="s">
        <v>1808</v>
      </c>
      <c r="E3385" s="4">
        <f>IF(AND(ISNUMBER(_helpers!$X$30),_helpers!$X$30&lt;0.33),"The question wording below doesn't closely match the Responses header for column "&amp;'Hybrid Questions'!$A$27&amp;"."&amp;CHAR(10)&amp;CHAR(10)&amp;"Question text:"&amp;CHAR(10)&amp;'Hybrid Questions'!$C$27&amp;CHAR(10)&amp;CHAR(10)&amp;"Responses header for column "&amp;'Hybrid Questions'!$A$27&amp;":"&amp;CHAR(10)&amp;INDIRECT("Responses!"&amp;'Hybrid Questions'!$A$27&amp;"1"),"")</f>
        <v>0</v>
      </c>
      <c r="F3385" s="4" t="s">
        <v>2524</v>
      </c>
    </row>
    <row r="3386" spans="1:6" ht="120" customHeight="1">
      <c r="A3386" t="s">
        <v>271</v>
      </c>
      <c r="B3386" t="s">
        <v>192</v>
      </c>
      <c r="C3386" t="s">
        <v>2523</v>
      </c>
      <c r="D3386" t="s">
        <v>1808</v>
      </c>
      <c r="E3386" s="4">
        <f>IF(AND(ISNUMBER(_helpers!$X$31),_helpers!$X$31&lt;0.33),"The question wording below doesn't closely match the Responses header for column "&amp;'Hybrid Questions'!$A$28&amp;"."&amp;CHAR(10)&amp;CHAR(10)&amp;"Question text:"&amp;CHAR(10)&amp;'Hybrid Questions'!$C$28&amp;CHAR(10)&amp;CHAR(10)&amp;"Responses header for column "&amp;'Hybrid Questions'!$A$28&amp;":"&amp;CHAR(10)&amp;INDIRECT("Responses!"&amp;'Hybrid Questions'!$A$28&amp;"1"),"")</f>
        <v>0</v>
      </c>
      <c r="F3386" s="4" t="s">
        <v>2524</v>
      </c>
    </row>
    <row r="3387" spans="1:6" ht="120" customHeight="1">
      <c r="A3387" t="s">
        <v>271</v>
      </c>
      <c r="B3387" t="s">
        <v>193</v>
      </c>
      <c r="C3387" t="s">
        <v>2523</v>
      </c>
      <c r="D3387" t="s">
        <v>1808</v>
      </c>
      <c r="E3387" s="4">
        <f>IF(AND(ISNUMBER(_helpers!$X$32),_helpers!$X$32&lt;0.33),"The question wording below doesn't closely match the Responses header for column "&amp;'Hybrid Questions'!$A$29&amp;"."&amp;CHAR(10)&amp;CHAR(10)&amp;"Question text:"&amp;CHAR(10)&amp;'Hybrid Questions'!$C$29&amp;CHAR(10)&amp;CHAR(10)&amp;"Responses header for column "&amp;'Hybrid Questions'!$A$29&amp;":"&amp;CHAR(10)&amp;INDIRECT("Responses!"&amp;'Hybrid Questions'!$A$29&amp;"1"),"")</f>
        <v>0</v>
      </c>
      <c r="F3387" s="4" t="s">
        <v>2524</v>
      </c>
    </row>
    <row r="3388" spans="1:6" ht="120" customHeight="1">
      <c r="A3388" t="s">
        <v>271</v>
      </c>
      <c r="B3388" t="s">
        <v>194</v>
      </c>
      <c r="C3388" t="s">
        <v>2523</v>
      </c>
      <c r="D3388" t="s">
        <v>1808</v>
      </c>
      <c r="E3388" s="4">
        <f>IF(AND(ISNUMBER(_helpers!$X$33),_helpers!$X$33&lt;0.33),"The question wording below doesn't closely match the Responses header for column "&amp;'Hybrid Questions'!$A$30&amp;"."&amp;CHAR(10)&amp;CHAR(10)&amp;"Question text:"&amp;CHAR(10)&amp;'Hybrid Questions'!$C$30&amp;CHAR(10)&amp;CHAR(10)&amp;"Responses header for column "&amp;'Hybrid Questions'!$A$30&amp;":"&amp;CHAR(10)&amp;INDIRECT("Responses!"&amp;'Hybrid Questions'!$A$30&amp;"1"),"")</f>
        <v>0</v>
      </c>
      <c r="F3388" s="4" t="s">
        <v>2524</v>
      </c>
    </row>
    <row r="3389" spans="1:6" ht="120" customHeight="1">
      <c r="A3389" t="s">
        <v>271</v>
      </c>
      <c r="B3389" t="s">
        <v>195</v>
      </c>
      <c r="C3389" t="s">
        <v>2523</v>
      </c>
      <c r="D3389" t="s">
        <v>1808</v>
      </c>
      <c r="E3389" s="4">
        <f>IF(AND(ISNUMBER(_helpers!$X$34),_helpers!$X$34&lt;0.33),"The question wording below doesn't closely match the Responses header for column "&amp;'Hybrid Questions'!$A$31&amp;"."&amp;CHAR(10)&amp;CHAR(10)&amp;"Question text:"&amp;CHAR(10)&amp;'Hybrid Questions'!$C$31&amp;CHAR(10)&amp;CHAR(10)&amp;"Responses header for column "&amp;'Hybrid Questions'!$A$31&amp;":"&amp;CHAR(10)&amp;INDIRECT("Responses!"&amp;'Hybrid Questions'!$A$31&amp;"1"),"")</f>
        <v>0</v>
      </c>
      <c r="F3389" s="4" t="s">
        <v>2524</v>
      </c>
    </row>
    <row r="3390" spans="1:6" ht="120" customHeight="1">
      <c r="A3390" t="s">
        <v>271</v>
      </c>
      <c r="B3390" t="s">
        <v>196</v>
      </c>
      <c r="C3390" t="s">
        <v>2523</v>
      </c>
      <c r="D3390" t="s">
        <v>1808</v>
      </c>
      <c r="E3390" s="4">
        <f>IF(AND(ISNUMBER(_helpers!$X$35),_helpers!$X$35&lt;0.33),"The question wording below doesn't closely match the Responses header for column "&amp;'Hybrid Questions'!$A$32&amp;"."&amp;CHAR(10)&amp;CHAR(10)&amp;"Question text:"&amp;CHAR(10)&amp;'Hybrid Questions'!$C$32&amp;CHAR(10)&amp;CHAR(10)&amp;"Responses header for column "&amp;'Hybrid Questions'!$A$32&amp;":"&amp;CHAR(10)&amp;INDIRECT("Responses!"&amp;'Hybrid Questions'!$A$32&amp;"1"),"")</f>
        <v>0</v>
      </c>
      <c r="F3390" s="4" t="s">
        <v>2524</v>
      </c>
    </row>
    <row r="3391" spans="1:6" ht="120" customHeight="1">
      <c r="A3391" t="s">
        <v>271</v>
      </c>
      <c r="B3391" t="s">
        <v>197</v>
      </c>
      <c r="C3391" t="s">
        <v>2523</v>
      </c>
      <c r="D3391" t="s">
        <v>1808</v>
      </c>
      <c r="E3391" s="4">
        <f>IF(AND(ISNUMBER(_helpers!$X$36),_helpers!$X$36&lt;0.33),"The question wording below doesn't closely match the Responses header for column "&amp;'Hybrid Questions'!$A$33&amp;"."&amp;CHAR(10)&amp;CHAR(10)&amp;"Question text:"&amp;CHAR(10)&amp;'Hybrid Questions'!$C$33&amp;CHAR(10)&amp;CHAR(10)&amp;"Responses header for column "&amp;'Hybrid Questions'!$A$33&amp;":"&amp;CHAR(10)&amp;INDIRECT("Responses!"&amp;'Hybrid Questions'!$A$33&amp;"1"),"")</f>
        <v>0</v>
      </c>
      <c r="F3391" s="4" t="s">
        <v>2524</v>
      </c>
    </row>
    <row r="3392" spans="1:6" ht="120" customHeight="1">
      <c r="A3392" t="s">
        <v>271</v>
      </c>
      <c r="B3392" t="s">
        <v>198</v>
      </c>
      <c r="C3392" t="s">
        <v>2523</v>
      </c>
      <c r="D3392" t="s">
        <v>1808</v>
      </c>
      <c r="E3392" s="4">
        <f>IF(AND(ISNUMBER(_helpers!$X$37),_helpers!$X$37&lt;0.33),"The question wording below doesn't closely match the Responses header for column "&amp;'Hybrid Questions'!$A$34&amp;"."&amp;CHAR(10)&amp;CHAR(10)&amp;"Question text:"&amp;CHAR(10)&amp;'Hybrid Questions'!$C$34&amp;CHAR(10)&amp;CHAR(10)&amp;"Responses header for column "&amp;'Hybrid Questions'!$A$34&amp;":"&amp;CHAR(10)&amp;INDIRECT("Responses!"&amp;'Hybrid Questions'!$A$34&amp;"1"),"")</f>
        <v>0</v>
      </c>
      <c r="F3392" s="4" t="s">
        <v>2524</v>
      </c>
    </row>
    <row r="3393" spans="1:6" ht="120" customHeight="1">
      <c r="A3393" t="s">
        <v>271</v>
      </c>
      <c r="B3393" t="s">
        <v>199</v>
      </c>
      <c r="C3393" t="s">
        <v>2523</v>
      </c>
      <c r="D3393" t="s">
        <v>1808</v>
      </c>
      <c r="E3393" s="4">
        <f>IF(AND(ISNUMBER(_helpers!$X$38),_helpers!$X$38&lt;0.33),"The question wording below doesn't closely match the Responses header for column "&amp;'Hybrid Questions'!$A$35&amp;"."&amp;CHAR(10)&amp;CHAR(10)&amp;"Question text:"&amp;CHAR(10)&amp;'Hybrid Questions'!$C$35&amp;CHAR(10)&amp;CHAR(10)&amp;"Responses header for column "&amp;'Hybrid Questions'!$A$35&amp;":"&amp;CHAR(10)&amp;INDIRECT("Responses!"&amp;'Hybrid Questions'!$A$35&amp;"1"),"")</f>
        <v>0</v>
      </c>
      <c r="F3393" s="4" t="s">
        <v>2524</v>
      </c>
    </row>
    <row r="3394" spans="1:6" ht="120" customHeight="1">
      <c r="A3394" t="s">
        <v>271</v>
      </c>
      <c r="B3394" t="s">
        <v>200</v>
      </c>
      <c r="C3394" t="s">
        <v>2523</v>
      </c>
      <c r="D3394" t="s">
        <v>1808</v>
      </c>
      <c r="E3394" s="4">
        <f>IF(AND(ISNUMBER(_helpers!$X$39),_helpers!$X$39&lt;0.33),"The question wording below doesn't closely match the Responses header for column "&amp;'Hybrid Questions'!$A$36&amp;"."&amp;CHAR(10)&amp;CHAR(10)&amp;"Question text:"&amp;CHAR(10)&amp;'Hybrid Questions'!$C$36&amp;CHAR(10)&amp;CHAR(10)&amp;"Responses header for column "&amp;'Hybrid Questions'!$A$36&amp;":"&amp;CHAR(10)&amp;INDIRECT("Responses!"&amp;'Hybrid Questions'!$A$36&amp;"1"),"")</f>
        <v>0</v>
      </c>
      <c r="F3394" s="4" t="s">
        <v>2524</v>
      </c>
    </row>
    <row r="3395" spans="1:6" ht="120" customHeight="1">
      <c r="A3395" t="s">
        <v>271</v>
      </c>
      <c r="B3395" t="s">
        <v>201</v>
      </c>
      <c r="C3395" t="s">
        <v>2523</v>
      </c>
      <c r="D3395" t="s">
        <v>1808</v>
      </c>
      <c r="E3395" s="4">
        <f>IF(AND(ISNUMBER(_helpers!$X$40),_helpers!$X$40&lt;0.33),"The question wording below doesn't closely match the Responses header for column "&amp;'Hybrid Questions'!$A$37&amp;"."&amp;CHAR(10)&amp;CHAR(10)&amp;"Question text:"&amp;CHAR(10)&amp;'Hybrid Questions'!$C$37&amp;CHAR(10)&amp;CHAR(10)&amp;"Responses header for column "&amp;'Hybrid Questions'!$A$37&amp;":"&amp;CHAR(10)&amp;INDIRECT("Responses!"&amp;'Hybrid Questions'!$A$37&amp;"1"),"")</f>
        <v>0</v>
      </c>
      <c r="F3395" s="4" t="s">
        <v>2524</v>
      </c>
    </row>
    <row r="3396" spans="1:6" ht="120" customHeight="1">
      <c r="A3396" t="s">
        <v>271</v>
      </c>
      <c r="B3396" t="s">
        <v>202</v>
      </c>
      <c r="C3396" t="s">
        <v>2523</v>
      </c>
      <c r="D3396" t="s">
        <v>1808</v>
      </c>
      <c r="E3396" s="4">
        <f>IF(AND(ISNUMBER(_helpers!$X$41),_helpers!$X$41&lt;0.33),"The question wording below doesn't closely match the Responses header for column "&amp;'Hybrid Questions'!$A$38&amp;"."&amp;CHAR(10)&amp;CHAR(10)&amp;"Question text:"&amp;CHAR(10)&amp;'Hybrid Questions'!$C$38&amp;CHAR(10)&amp;CHAR(10)&amp;"Responses header for column "&amp;'Hybrid Questions'!$A$38&amp;":"&amp;CHAR(10)&amp;INDIRECT("Responses!"&amp;'Hybrid Questions'!$A$38&amp;"1"),"")</f>
        <v>0</v>
      </c>
      <c r="F3396" s="4" t="s">
        <v>2524</v>
      </c>
    </row>
    <row r="3397" spans="1:6" ht="120" customHeight="1">
      <c r="A3397" t="s">
        <v>271</v>
      </c>
      <c r="B3397" t="s">
        <v>203</v>
      </c>
      <c r="C3397" t="s">
        <v>2523</v>
      </c>
      <c r="D3397" t="s">
        <v>1808</v>
      </c>
      <c r="E3397" s="4">
        <f>IF(AND(ISNUMBER(_helpers!$X$42),_helpers!$X$42&lt;0.33),"The question wording below doesn't closely match the Responses header for column "&amp;'Hybrid Questions'!$A$39&amp;"."&amp;CHAR(10)&amp;CHAR(10)&amp;"Question text:"&amp;CHAR(10)&amp;'Hybrid Questions'!$C$39&amp;CHAR(10)&amp;CHAR(10)&amp;"Responses header for column "&amp;'Hybrid Questions'!$A$39&amp;":"&amp;CHAR(10)&amp;INDIRECT("Responses!"&amp;'Hybrid Questions'!$A$39&amp;"1"),"")</f>
        <v>0</v>
      </c>
      <c r="F3397" s="4" t="s">
        <v>2524</v>
      </c>
    </row>
    <row r="3398" spans="1:6" ht="120" customHeight="1">
      <c r="A3398" t="s">
        <v>271</v>
      </c>
      <c r="B3398" t="s">
        <v>204</v>
      </c>
      <c r="C3398" t="s">
        <v>2523</v>
      </c>
      <c r="D3398" t="s">
        <v>1808</v>
      </c>
      <c r="E3398" s="4">
        <f>IF(AND(ISNUMBER(_helpers!$X$43),_helpers!$X$43&lt;0.33),"The question wording below doesn't closely match the Responses header for column "&amp;'Hybrid Questions'!$A$40&amp;"."&amp;CHAR(10)&amp;CHAR(10)&amp;"Question text:"&amp;CHAR(10)&amp;'Hybrid Questions'!$C$40&amp;CHAR(10)&amp;CHAR(10)&amp;"Responses header for column "&amp;'Hybrid Questions'!$A$40&amp;":"&amp;CHAR(10)&amp;INDIRECT("Responses!"&amp;'Hybrid Questions'!$A$40&amp;"1"),"")</f>
        <v>0</v>
      </c>
      <c r="F3398" s="4" t="s">
        <v>2524</v>
      </c>
    </row>
    <row r="3399" spans="1:6" ht="120" customHeight="1">
      <c r="A3399" t="s">
        <v>271</v>
      </c>
      <c r="B3399" t="s">
        <v>205</v>
      </c>
      <c r="C3399" t="s">
        <v>2523</v>
      </c>
      <c r="D3399" t="s">
        <v>1808</v>
      </c>
      <c r="E3399" s="4">
        <f>IF(AND(ISNUMBER(_helpers!$X$44),_helpers!$X$44&lt;0.33),"The question wording below doesn't closely match the Responses header for column "&amp;'Hybrid Questions'!$A$41&amp;"."&amp;CHAR(10)&amp;CHAR(10)&amp;"Question text:"&amp;CHAR(10)&amp;'Hybrid Questions'!$C$41&amp;CHAR(10)&amp;CHAR(10)&amp;"Responses header for column "&amp;'Hybrid Questions'!$A$41&amp;":"&amp;CHAR(10)&amp;INDIRECT("Responses!"&amp;'Hybrid Questions'!$A$41&amp;"1"),"")</f>
        <v>0</v>
      </c>
      <c r="F3399" s="4" t="s">
        <v>2524</v>
      </c>
    </row>
    <row r="3400" spans="1:6" ht="120" customHeight="1">
      <c r="A3400" t="s">
        <v>271</v>
      </c>
      <c r="B3400" t="s">
        <v>206</v>
      </c>
      <c r="C3400" t="s">
        <v>2523</v>
      </c>
      <c r="D3400" t="s">
        <v>1808</v>
      </c>
      <c r="E3400" s="4">
        <f>IF(AND(ISNUMBER(_helpers!$X$45),_helpers!$X$45&lt;0.33),"The question wording below doesn't closely match the Responses header for column "&amp;'Hybrid Questions'!$A$42&amp;"."&amp;CHAR(10)&amp;CHAR(10)&amp;"Question text:"&amp;CHAR(10)&amp;'Hybrid Questions'!$C$42&amp;CHAR(10)&amp;CHAR(10)&amp;"Responses header for column "&amp;'Hybrid Questions'!$A$42&amp;":"&amp;CHAR(10)&amp;INDIRECT("Responses!"&amp;'Hybrid Questions'!$A$42&amp;"1"),"")</f>
        <v>0</v>
      </c>
      <c r="F3400" s="4" t="s">
        <v>2524</v>
      </c>
    </row>
    <row r="3401" spans="1:6" ht="120" customHeight="1">
      <c r="A3401" t="s">
        <v>271</v>
      </c>
      <c r="B3401" t="s">
        <v>207</v>
      </c>
      <c r="C3401" t="s">
        <v>2523</v>
      </c>
      <c r="D3401" t="s">
        <v>1808</v>
      </c>
      <c r="E3401" s="4">
        <f>IF(AND(ISNUMBER(_helpers!$X$46),_helpers!$X$46&lt;0.33),"The question wording below doesn't closely match the Responses header for column "&amp;'Hybrid Questions'!$A$43&amp;"."&amp;CHAR(10)&amp;CHAR(10)&amp;"Question text:"&amp;CHAR(10)&amp;'Hybrid Questions'!$C$43&amp;CHAR(10)&amp;CHAR(10)&amp;"Responses header for column "&amp;'Hybrid Questions'!$A$43&amp;":"&amp;CHAR(10)&amp;INDIRECT("Responses!"&amp;'Hybrid Questions'!$A$43&amp;"1"),"")</f>
        <v>0</v>
      </c>
      <c r="F3401" s="4" t="s">
        <v>2524</v>
      </c>
    </row>
    <row r="3402" spans="1:6" ht="120" customHeight="1">
      <c r="A3402" t="s">
        <v>271</v>
      </c>
      <c r="B3402" t="s">
        <v>208</v>
      </c>
      <c r="C3402" t="s">
        <v>2523</v>
      </c>
      <c r="D3402" t="s">
        <v>1808</v>
      </c>
      <c r="E3402" s="4">
        <f>IF(AND(ISNUMBER(_helpers!$X$47),_helpers!$X$47&lt;0.33),"The question wording below doesn't closely match the Responses header for column "&amp;'Hybrid Questions'!$A$44&amp;"."&amp;CHAR(10)&amp;CHAR(10)&amp;"Question text:"&amp;CHAR(10)&amp;'Hybrid Questions'!$C$44&amp;CHAR(10)&amp;CHAR(10)&amp;"Responses header for column "&amp;'Hybrid Questions'!$A$44&amp;":"&amp;CHAR(10)&amp;INDIRECT("Responses!"&amp;'Hybrid Questions'!$A$44&amp;"1"),"")</f>
        <v>0</v>
      </c>
      <c r="F3402" s="4" t="s">
        <v>2524</v>
      </c>
    </row>
    <row r="3403" spans="1:6" ht="120" customHeight="1">
      <c r="A3403" t="s">
        <v>271</v>
      </c>
      <c r="B3403" t="s">
        <v>209</v>
      </c>
      <c r="C3403" t="s">
        <v>2523</v>
      </c>
      <c r="D3403" t="s">
        <v>1808</v>
      </c>
      <c r="E3403" s="4">
        <f>IF(AND(ISNUMBER(_helpers!$X$48),_helpers!$X$48&lt;0.33),"The question wording below doesn't closely match the Responses header for column "&amp;'Hybrid Questions'!$A$45&amp;"."&amp;CHAR(10)&amp;CHAR(10)&amp;"Question text:"&amp;CHAR(10)&amp;'Hybrid Questions'!$C$45&amp;CHAR(10)&amp;CHAR(10)&amp;"Responses header for column "&amp;'Hybrid Questions'!$A$45&amp;":"&amp;CHAR(10)&amp;INDIRECT("Responses!"&amp;'Hybrid Questions'!$A$45&amp;"1"),"")</f>
        <v>0</v>
      </c>
      <c r="F3403" s="4" t="s">
        <v>2524</v>
      </c>
    </row>
    <row r="3404" spans="1:6" ht="120" customHeight="1">
      <c r="A3404" t="s">
        <v>271</v>
      </c>
      <c r="B3404" t="s">
        <v>210</v>
      </c>
      <c r="C3404" t="s">
        <v>2523</v>
      </c>
      <c r="D3404" t="s">
        <v>1808</v>
      </c>
      <c r="E3404" s="4">
        <f>IF(AND(ISNUMBER(_helpers!$X$49),_helpers!$X$49&lt;0.33),"The question wording below doesn't closely match the Responses header for column "&amp;'Hybrid Questions'!$A$46&amp;"."&amp;CHAR(10)&amp;CHAR(10)&amp;"Question text:"&amp;CHAR(10)&amp;'Hybrid Questions'!$C$46&amp;CHAR(10)&amp;CHAR(10)&amp;"Responses header for column "&amp;'Hybrid Questions'!$A$46&amp;":"&amp;CHAR(10)&amp;INDIRECT("Responses!"&amp;'Hybrid Questions'!$A$46&amp;"1"),"")</f>
        <v>0</v>
      </c>
      <c r="F3404" s="4" t="s">
        <v>2524</v>
      </c>
    </row>
    <row r="3405" spans="1:6" ht="120" customHeight="1">
      <c r="A3405" t="s">
        <v>271</v>
      </c>
      <c r="B3405" t="s">
        <v>211</v>
      </c>
      <c r="C3405" t="s">
        <v>2523</v>
      </c>
      <c r="D3405" t="s">
        <v>1808</v>
      </c>
      <c r="E3405" s="4">
        <f>IF(AND(ISNUMBER(_helpers!$X$50),_helpers!$X$50&lt;0.33),"The question wording below doesn't closely match the Responses header for column "&amp;'Hybrid Questions'!$A$47&amp;"."&amp;CHAR(10)&amp;CHAR(10)&amp;"Question text:"&amp;CHAR(10)&amp;'Hybrid Questions'!$C$47&amp;CHAR(10)&amp;CHAR(10)&amp;"Responses header for column "&amp;'Hybrid Questions'!$A$47&amp;":"&amp;CHAR(10)&amp;INDIRECT("Responses!"&amp;'Hybrid Questions'!$A$47&amp;"1"),"")</f>
        <v>0</v>
      </c>
      <c r="F3405" s="4" t="s">
        <v>2524</v>
      </c>
    </row>
    <row r="3406" spans="1:6" ht="120" customHeight="1">
      <c r="A3406" t="s">
        <v>271</v>
      </c>
      <c r="B3406" t="s">
        <v>212</v>
      </c>
      <c r="C3406" t="s">
        <v>2523</v>
      </c>
      <c r="D3406" t="s">
        <v>1808</v>
      </c>
      <c r="E3406" s="4">
        <f>IF(AND(ISNUMBER(_helpers!$X$51),_helpers!$X$51&lt;0.33),"The question wording below doesn't closely match the Responses header for column "&amp;'Hybrid Questions'!$A$48&amp;"."&amp;CHAR(10)&amp;CHAR(10)&amp;"Question text:"&amp;CHAR(10)&amp;'Hybrid Questions'!$C$48&amp;CHAR(10)&amp;CHAR(10)&amp;"Responses header for column "&amp;'Hybrid Questions'!$A$48&amp;":"&amp;CHAR(10)&amp;INDIRECT("Responses!"&amp;'Hybrid Questions'!$A$48&amp;"1"),"")</f>
        <v>0</v>
      </c>
      <c r="F3406" s="4" t="s">
        <v>2524</v>
      </c>
    </row>
    <row r="3407" spans="1:6" ht="120" customHeight="1">
      <c r="A3407" t="s">
        <v>271</v>
      </c>
      <c r="B3407" t="s">
        <v>213</v>
      </c>
      <c r="C3407" t="s">
        <v>2523</v>
      </c>
      <c r="D3407" t="s">
        <v>1808</v>
      </c>
      <c r="E3407" s="4">
        <f>IF(AND(ISNUMBER(_helpers!$X$52),_helpers!$X$52&lt;0.33),"The question wording below doesn't closely match the Responses header for column "&amp;'Hybrid Questions'!$A$49&amp;"."&amp;CHAR(10)&amp;CHAR(10)&amp;"Question text:"&amp;CHAR(10)&amp;'Hybrid Questions'!$C$49&amp;CHAR(10)&amp;CHAR(10)&amp;"Responses header for column "&amp;'Hybrid Questions'!$A$49&amp;":"&amp;CHAR(10)&amp;INDIRECT("Responses!"&amp;'Hybrid Questions'!$A$49&amp;"1"),"")</f>
        <v>0</v>
      </c>
      <c r="F3407" s="4" t="s">
        <v>2524</v>
      </c>
    </row>
    <row r="3408" spans="1:6" ht="120" customHeight="1">
      <c r="A3408" t="s">
        <v>271</v>
      </c>
      <c r="B3408" t="s">
        <v>214</v>
      </c>
      <c r="C3408" t="s">
        <v>2523</v>
      </c>
      <c r="D3408" t="s">
        <v>1808</v>
      </c>
      <c r="E3408" s="4">
        <f>IF(AND(ISNUMBER(_helpers!$X$53),_helpers!$X$53&lt;0.33),"The question wording below doesn't closely match the Responses header for column "&amp;'Hybrid Questions'!$A$50&amp;"."&amp;CHAR(10)&amp;CHAR(10)&amp;"Question text:"&amp;CHAR(10)&amp;'Hybrid Questions'!$C$50&amp;CHAR(10)&amp;CHAR(10)&amp;"Responses header for column "&amp;'Hybrid Questions'!$A$50&amp;":"&amp;CHAR(10)&amp;INDIRECT("Responses!"&amp;'Hybrid Questions'!$A$50&amp;"1"),"")</f>
        <v>0</v>
      </c>
      <c r="F3408" s="4" t="s">
        <v>2524</v>
      </c>
    </row>
    <row r="3409" spans="1:6" ht="120" customHeight="1">
      <c r="A3409" t="s">
        <v>271</v>
      </c>
      <c r="B3409" t="s">
        <v>215</v>
      </c>
      <c r="C3409" t="s">
        <v>2523</v>
      </c>
      <c r="D3409" t="s">
        <v>1808</v>
      </c>
      <c r="E3409" s="4">
        <f>IF(AND(ISNUMBER(_helpers!$X$54),_helpers!$X$54&lt;0.33),"The question wording below doesn't closely match the Responses header for column "&amp;'Hybrid Questions'!$A$51&amp;"."&amp;CHAR(10)&amp;CHAR(10)&amp;"Question text:"&amp;CHAR(10)&amp;'Hybrid Questions'!$C$51&amp;CHAR(10)&amp;CHAR(10)&amp;"Responses header for column "&amp;'Hybrid Questions'!$A$51&amp;":"&amp;CHAR(10)&amp;INDIRECT("Responses!"&amp;'Hybrid Questions'!$A$51&amp;"1"),"")</f>
        <v>0</v>
      </c>
      <c r="F3409" s="4" t="s">
        <v>2524</v>
      </c>
    </row>
  </sheetData>
  <autoFilter ref="A4:F3409"/>
  <mergeCells count="2">
    <mergeCell ref="A1:F1"/>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Z54"/>
  <sheetViews>
    <sheetView workbookViewId="0"/>
  </sheetViews>
  <sheetFormatPr defaultRowHeight="15"/>
  <sheetData>
    <row r="1" spans="1:702">
      <c r="A1">
        <f>IFERROR(SUMPRODUCT((Responses!A2:A8000&lt;&gt;"")/COUNTIF(Responses!A2:A8000,Responses!A2:A8000&amp;""))/COUNTA(Responses!A2:A8000),0)</f>
        <v>0</v>
      </c>
      <c r="B1">
        <f>IFERROR(SUMPRODUCT((Responses!B2:B8000&lt;&gt;"")/COUNTIF(Responses!B2:B8000,Responses!B2:B8000&amp;""))/COUNTA(Responses!B2:B8000),0)</f>
        <v>0</v>
      </c>
      <c r="C1">
        <f>IFERROR(SUMPRODUCT((Responses!C2:C8000&lt;&gt;"")/COUNTIF(Responses!C2:C8000,Responses!C2:C8000&amp;""))/COUNTA(Responses!C2:C8000),0)</f>
        <v>0</v>
      </c>
      <c r="D1">
        <f>IFERROR(SUMPRODUCT((Responses!D2:D8000&lt;&gt;"")/COUNTIF(Responses!D2:D8000,Responses!D2:D8000&amp;""))/COUNTA(Responses!D2:D8000),0)</f>
        <v>0</v>
      </c>
      <c r="E1">
        <f>IFERROR(SUMPRODUCT((Responses!E2:E8000&lt;&gt;"")/COUNTIF(Responses!E2:E8000,Responses!E2:E8000&amp;""))/COUNTA(Responses!E2:E8000),0)</f>
        <v>0</v>
      </c>
      <c r="F1">
        <f>IFERROR(SUMPRODUCT((Responses!F2:F8000&lt;&gt;"")/COUNTIF(Responses!F2:F8000,Responses!F2:F8000&amp;""))/COUNTA(Responses!F2:F8000),0)</f>
        <v>0</v>
      </c>
      <c r="G1">
        <f>IFERROR(SUMPRODUCT((Responses!G2:G8000&lt;&gt;"")/COUNTIF(Responses!G2:G8000,Responses!G2:G8000&amp;""))/COUNTA(Responses!G2:G8000),0)</f>
        <v>0</v>
      </c>
      <c r="H1">
        <f>IFERROR(SUMPRODUCT((Responses!H2:H8000&lt;&gt;"")/COUNTIF(Responses!H2:H8000,Responses!H2:H8000&amp;""))/COUNTA(Responses!H2:H8000),0)</f>
        <v>0</v>
      </c>
      <c r="I1">
        <f>IFERROR(SUMPRODUCT((Responses!I2:I8000&lt;&gt;"")/COUNTIF(Responses!I2:I8000,Responses!I2:I8000&amp;""))/COUNTA(Responses!I2:I8000),0)</f>
        <v>0</v>
      </c>
      <c r="J1">
        <f>IFERROR(SUMPRODUCT((Responses!J2:J8000&lt;&gt;"")/COUNTIF(Responses!J2:J8000,Responses!J2:J8000&amp;""))/COUNTA(Responses!J2:J8000),0)</f>
        <v>0</v>
      </c>
      <c r="K1">
        <f>IFERROR(SUMPRODUCT((Responses!K2:K8000&lt;&gt;"")/COUNTIF(Responses!K2:K8000,Responses!K2:K8000&amp;""))/COUNTA(Responses!K2:K8000),0)</f>
        <v>0</v>
      </c>
      <c r="L1">
        <f>IFERROR(SUMPRODUCT((Responses!L2:L8000&lt;&gt;"")/COUNTIF(Responses!L2:L8000,Responses!L2:L8000&amp;""))/COUNTA(Responses!L2:L8000),0)</f>
        <v>0</v>
      </c>
      <c r="M1">
        <f>IFERROR(SUMPRODUCT((Responses!M2:M8000&lt;&gt;"")/COUNTIF(Responses!M2:M8000,Responses!M2:M8000&amp;""))/COUNTA(Responses!M2:M8000),0)</f>
        <v>0</v>
      </c>
      <c r="N1">
        <f>IFERROR(SUMPRODUCT((Responses!N2:N8000&lt;&gt;"")/COUNTIF(Responses!N2:N8000,Responses!N2:N8000&amp;""))/COUNTA(Responses!N2:N8000),0)</f>
        <v>0</v>
      </c>
      <c r="O1">
        <f>IFERROR(SUMPRODUCT((Responses!O2:O8000&lt;&gt;"")/COUNTIF(Responses!O2:O8000,Responses!O2:O8000&amp;""))/COUNTA(Responses!O2:O8000),0)</f>
        <v>0</v>
      </c>
      <c r="P1">
        <f>IFERROR(SUMPRODUCT((Responses!P2:P8000&lt;&gt;"")/COUNTIF(Responses!P2:P8000,Responses!P2:P8000&amp;""))/COUNTA(Responses!P2:P8000),0)</f>
        <v>0</v>
      </c>
      <c r="Q1">
        <f>IFERROR(SUMPRODUCT((Responses!Q2:Q8000&lt;&gt;"")/COUNTIF(Responses!Q2:Q8000,Responses!Q2:Q8000&amp;""))/COUNTA(Responses!Q2:Q8000),0)</f>
        <v>0</v>
      </c>
      <c r="R1">
        <f>IFERROR(SUMPRODUCT((Responses!R2:R8000&lt;&gt;"")/COUNTIF(Responses!R2:R8000,Responses!R2:R8000&amp;""))/COUNTA(Responses!R2:R8000),0)</f>
        <v>0</v>
      </c>
      <c r="S1">
        <f>IFERROR(SUMPRODUCT((Responses!S2:S8000&lt;&gt;"")/COUNTIF(Responses!S2:S8000,Responses!S2:S8000&amp;""))/COUNTA(Responses!S2:S8000),0)</f>
        <v>0</v>
      </c>
      <c r="T1">
        <f>IFERROR(SUMPRODUCT((Responses!T2:T8000&lt;&gt;"")/COUNTIF(Responses!T2:T8000,Responses!T2:T8000&amp;""))/COUNTA(Responses!T2:T8000),0)</f>
        <v>0</v>
      </c>
      <c r="U1">
        <f>IFERROR(SUMPRODUCT((Responses!U2:U8000&lt;&gt;"")/COUNTIF(Responses!U2:U8000,Responses!U2:U8000&amp;""))/COUNTA(Responses!U2:U8000),0)</f>
        <v>0</v>
      </c>
      <c r="V1">
        <f>IFERROR(SUMPRODUCT((Responses!V2:V8000&lt;&gt;"")/COUNTIF(Responses!V2:V8000,Responses!V2:V8000&amp;""))/COUNTA(Responses!V2:V8000),0)</f>
        <v>0</v>
      </c>
      <c r="W1">
        <f>IFERROR(SUMPRODUCT((Responses!W2:W8000&lt;&gt;"")/COUNTIF(Responses!W2:W8000,Responses!W2:W8000&amp;""))/COUNTA(Responses!W2:W8000),0)</f>
        <v>0</v>
      </c>
      <c r="X1">
        <f>IFERROR(SUMPRODUCT((Responses!X2:X8000&lt;&gt;"")/COUNTIF(Responses!X2:X8000,Responses!X2:X8000&amp;""))/COUNTA(Responses!X2:X8000),0)</f>
        <v>0</v>
      </c>
      <c r="Y1">
        <f>IFERROR(SUMPRODUCT((Responses!Y2:Y8000&lt;&gt;"")/COUNTIF(Responses!Y2:Y8000,Responses!Y2:Y8000&amp;""))/COUNTA(Responses!Y2:Y8000),0)</f>
        <v>0</v>
      </c>
      <c r="Z1">
        <f>IFERROR(SUMPRODUCT((Responses!Z2:Z8000&lt;&gt;"")/COUNTIF(Responses!Z2:Z8000,Responses!Z2:Z8000&amp;""))/COUNTA(Responses!Z2:Z8000),0)</f>
        <v>0</v>
      </c>
      <c r="AA1">
        <f>IFERROR(SUMPRODUCT((Responses!AA2:AA8000&lt;&gt;"")/COUNTIF(Responses!AA2:AA8000,Responses!AA2:AA8000&amp;""))/COUNTA(Responses!AA2:AA8000),0)</f>
        <v>0</v>
      </c>
      <c r="AB1">
        <f>IFERROR(SUMPRODUCT((Responses!AB2:AB8000&lt;&gt;"")/COUNTIF(Responses!AB2:AB8000,Responses!AB2:AB8000&amp;""))/COUNTA(Responses!AB2:AB8000),0)</f>
        <v>0</v>
      </c>
      <c r="AC1">
        <f>IFERROR(SUMPRODUCT((Responses!AC2:AC8000&lt;&gt;"")/COUNTIF(Responses!AC2:AC8000,Responses!AC2:AC8000&amp;""))/COUNTA(Responses!AC2:AC8000),0)</f>
        <v>0</v>
      </c>
      <c r="AD1">
        <f>IFERROR(SUMPRODUCT((Responses!AD2:AD8000&lt;&gt;"")/COUNTIF(Responses!AD2:AD8000,Responses!AD2:AD8000&amp;""))/COUNTA(Responses!AD2:AD8000),0)</f>
        <v>0</v>
      </c>
      <c r="AE1">
        <f>IFERROR(SUMPRODUCT((Responses!AE2:AE8000&lt;&gt;"")/COUNTIF(Responses!AE2:AE8000,Responses!AE2:AE8000&amp;""))/COUNTA(Responses!AE2:AE8000),0)</f>
        <v>0</v>
      </c>
      <c r="AF1">
        <f>IFERROR(SUMPRODUCT((Responses!AF2:AF8000&lt;&gt;"")/COUNTIF(Responses!AF2:AF8000,Responses!AF2:AF8000&amp;""))/COUNTA(Responses!AF2:AF8000),0)</f>
        <v>0</v>
      </c>
      <c r="AG1">
        <f>IFERROR(SUMPRODUCT((Responses!AG2:AG8000&lt;&gt;"")/COUNTIF(Responses!AG2:AG8000,Responses!AG2:AG8000&amp;""))/COUNTA(Responses!AG2:AG8000),0)</f>
        <v>0</v>
      </c>
      <c r="AH1">
        <f>IFERROR(SUMPRODUCT((Responses!AH2:AH8000&lt;&gt;"")/COUNTIF(Responses!AH2:AH8000,Responses!AH2:AH8000&amp;""))/COUNTA(Responses!AH2:AH8000),0)</f>
        <v>0</v>
      </c>
      <c r="AI1">
        <f>IFERROR(SUMPRODUCT((Responses!AI2:AI8000&lt;&gt;"")/COUNTIF(Responses!AI2:AI8000,Responses!AI2:AI8000&amp;""))/COUNTA(Responses!AI2:AI8000),0)</f>
        <v>0</v>
      </c>
      <c r="AJ1">
        <f>IFERROR(SUMPRODUCT((Responses!AJ2:AJ8000&lt;&gt;"")/COUNTIF(Responses!AJ2:AJ8000,Responses!AJ2:AJ8000&amp;""))/COUNTA(Responses!AJ2:AJ8000),0)</f>
        <v>0</v>
      </c>
      <c r="AK1">
        <f>IFERROR(SUMPRODUCT((Responses!AK2:AK8000&lt;&gt;"")/COUNTIF(Responses!AK2:AK8000,Responses!AK2:AK8000&amp;""))/COUNTA(Responses!AK2:AK8000),0)</f>
        <v>0</v>
      </c>
      <c r="AL1">
        <f>IFERROR(SUMPRODUCT((Responses!AL2:AL8000&lt;&gt;"")/COUNTIF(Responses!AL2:AL8000,Responses!AL2:AL8000&amp;""))/COUNTA(Responses!AL2:AL8000),0)</f>
        <v>0</v>
      </c>
      <c r="AM1">
        <f>IFERROR(SUMPRODUCT((Responses!AM2:AM8000&lt;&gt;"")/COUNTIF(Responses!AM2:AM8000,Responses!AM2:AM8000&amp;""))/COUNTA(Responses!AM2:AM8000),0)</f>
        <v>0</v>
      </c>
      <c r="AN1">
        <f>IFERROR(SUMPRODUCT((Responses!AN2:AN8000&lt;&gt;"")/COUNTIF(Responses!AN2:AN8000,Responses!AN2:AN8000&amp;""))/COUNTA(Responses!AN2:AN8000),0)</f>
        <v>0</v>
      </c>
      <c r="AO1">
        <f>IFERROR(SUMPRODUCT((Responses!AO2:AO8000&lt;&gt;"")/COUNTIF(Responses!AO2:AO8000,Responses!AO2:AO8000&amp;""))/COUNTA(Responses!AO2:AO8000),0)</f>
        <v>0</v>
      </c>
      <c r="AP1">
        <f>IFERROR(SUMPRODUCT((Responses!AP2:AP8000&lt;&gt;"")/COUNTIF(Responses!AP2:AP8000,Responses!AP2:AP8000&amp;""))/COUNTA(Responses!AP2:AP8000),0)</f>
        <v>0</v>
      </c>
      <c r="AQ1">
        <f>IFERROR(SUMPRODUCT((Responses!AQ2:AQ8000&lt;&gt;"")/COUNTIF(Responses!AQ2:AQ8000,Responses!AQ2:AQ8000&amp;""))/COUNTA(Responses!AQ2:AQ8000),0)</f>
        <v>0</v>
      </c>
      <c r="AR1">
        <f>IFERROR(SUMPRODUCT((Responses!AR2:AR8000&lt;&gt;"")/COUNTIF(Responses!AR2:AR8000,Responses!AR2:AR8000&amp;""))/COUNTA(Responses!AR2:AR8000),0)</f>
        <v>0</v>
      </c>
      <c r="AS1">
        <f>IFERROR(SUMPRODUCT((Responses!AS2:AS8000&lt;&gt;"")/COUNTIF(Responses!AS2:AS8000,Responses!AS2:AS8000&amp;""))/COUNTA(Responses!AS2:AS8000),0)</f>
        <v>0</v>
      </c>
      <c r="AT1">
        <f>IFERROR(SUMPRODUCT((Responses!AT2:AT8000&lt;&gt;"")/COUNTIF(Responses!AT2:AT8000,Responses!AT2:AT8000&amp;""))/COUNTA(Responses!AT2:AT8000),0)</f>
        <v>0</v>
      </c>
      <c r="AU1">
        <f>IFERROR(SUMPRODUCT((Responses!AU2:AU8000&lt;&gt;"")/COUNTIF(Responses!AU2:AU8000,Responses!AU2:AU8000&amp;""))/COUNTA(Responses!AU2:AU8000),0)</f>
        <v>0</v>
      </c>
      <c r="AV1">
        <f>IFERROR(SUMPRODUCT((Responses!AV2:AV8000&lt;&gt;"")/COUNTIF(Responses!AV2:AV8000,Responses!AV2:AV8000&amp;""))/COUNTA(Responses!AV2:AV8000),0)</f>
        <v>0</v>
      </c>
      <c r="AW1">
        <f>IFERROR(SUMPRODUCT((Responses!AW2:AW8000&lt;&gt;"")/COUNTIF(Responses!AW2:AW8000,Responses!AW2:AW8000&amp;""))/COUNTA(Responses!AW2:AW8000),0)</f>
        <v>0</v>
      </c>
      <c r="AX1">
        <f>IFERROR(SUMPRODUCT((Responses!AX2:AX8000&lt;&gt;"")/COUNTIF(Responses!AX2:AX8000,Responses!AX2:AX8000&amp;""))/COUNTA(Responses!AX2:AX8000),0)</f>
        <v>0</v>
      </c>
      <c r="AY1">
        <f>IFERROR(SUMPRODUCT((Responses!AY2:AY8000&lt;&gt;"")/COUNTIF(Responses!AY2:AY8000,Responses!AY2:AY8000&amp;""))/COUNTA(Responses!AY2:AY8000),0)</f>
        <v>0</v>
      </c>
      <c r="AZ1">
        <f>IFERROR(SUMPRODUCT((Responses!AZ2:AZ8000&lt;&gt;"")/COUNTIF(Responses!AZ2:AZ8000,Responses!AZ2:AZ8000&amp;""))/COUNTA(Responses!AZ2:AZ8000),0)</f>
        <v>0</v>
      </c>
      <c r="BA1">
        <f>IFERROR(SUMPRODUCT((Responses!BA2:BA8000&lt;&gt;"")/COUNTIF(Responses!BA2:BA8000,Responses!BA2:BA8000&amp;""))/COUNTA(Responses!BA2:BA8000),0)</f>
        <v>0</v>
      </c>
      <c r="BB1">
        <f>IFERROR(SUMPRODUCT((Responses!BB2:BB8000&lt;&gt;"")/COUNTIF(Responses!BB2:BB8000,Responses!BB2:BB8000&amp;""))/COUNTA(Responses!BB2:BB8000),0)</f>
        <v>0</v>
      </c>
      <c r="BC1">
        <f>IFERROR(SUMPRODUCT((Responses!BC2:BC8000&lt;&gt;"")/COUNTIF(Responses!BC2:BC8000,Responses!BC2:BC8000&amp;""))/COUNTA(Responses!BC2:BC8000),0)</f>
        <v>0</v>
      </c>
      <c r="BD1">
        <f>IFERROR(SUMPRODUCT((Responses!BD2:BD8000&lt;&gt;"")/COUNTIF(Responses!BD2:BD8000,Responses!BD2:BD8000&amp;""))/COUNTA(Responses!BD2:BD8000),0)</f>
        <v>0</v>
      </c>
      <c r="BE1">
        <f>IFERROR(SUMPRODUCT((Responses!BE2:BE8000&lt;&gt;"")/COUNTIF(Responses!BE2:BE8000,Responses!BE2:BE8000&amp;""))/COUNTA(Responses!BE2:BE8000),0)</f>
        <v>0</v>
      </c>
      <c r="BF1">
        <f>IFERROR(SUMPRODUCT((Responses!BF2:BF8000&lt;&gt;"")/COUNTIF(Responses!BF2:BF8000,Responses!BF2:BF8000&amp;""))/COUNTA(Responses!BF2:BF8000),0)</f>
        <v>0</v>
      </c>
      <c r="BG1">
        <f>IFERROR(SUMPRODUCT((Responses!BG2:BG8000&lt;&gt;"")/COUNTIF(Responses!BG2:BG8000,Responses!BG2:BG8000&amp;""))/COUNTA(Responses!BG2:BG8000),0)</f>
        <v>0</v>
      </c>
      <c r="BH1">
        <f>IFERROR(SUMPRODUCT((Responses!BH2:BH8000&lt;&gt;"")/COUNTIF(Responses!BH2:BH8000,Responses!BH2:BH8000&amp;""))/COUNTA(Responses!BH2:BH8000),0)</f>
        <v>0</v>
      </c>
      <c r="BI1">
        <f>IFERROR(SUMPRODUCT((Responses!BI2:BI8000&lt;&gt;"")/COUNTIF(Responses!BI2:BI8000,Responses!BI2:BI8000&amp;""))/COUNTA(Responses!BI2:BI8000),0)</f>
        <v>0</v>
      </c>
      <c r="BJ1">
        <f>IFERROR(SUMPRODUCT((Responses!BJ2:BJ8000&lt;&gt;"")/COUNTIF(Responses!BJ2:BJ8000,Responses!BJ2:BJ8000&amp;""))/COUNTA(Responses!BJ2:BJ8000),0)</f>
        <v>0</v>
      </c>
      <c r="BK1">
        <f>IFERROR(SUMPRODUCT((Responses!BK2:BK8000&lt;&gt;"")/COUNTIF(Responses!BK2:BK8000,Responses!BK2:BK8000&amp;""))/COUNTA(Responses!BK2:BK8000),0)</f>
        <v>0</v>
      </c>
      <c r="BL1">
        <f>IFERROR(SUMPRODUCT((Responses!BL2:BL8000&lt;&gt;"")/COUNTIF(Responses!BL2:BL8000,Responses!BL2:BL8000&amp;""))/COUNTA(Responses!BL2:BL8000),0)</f>
        <v>0</v>
      </c>
      <c r="BM1">
        <f>IFERROR(SUMPRODUCT((Responses!BM2:BM8000&lt;&gt;"")/COUNTIF(Responses!BM2:BM8000,Responses!BM2:BM8000&amp;""))/COUNTA(Responses!BM2:BM8000),0)</f>
        <v>0</v>
      </c>
      <c r="BN1">
        <f>IFERROR(SUMPRODUCT((Responses!BN2:BN8000&lt;&gt;"")/COUNTIF(Responses!BN2:BN8000,Responses!BN2:BN8000&amp;""))/COUNTA(Responses!BN2:BN8000),0)</f>
        <v>0</v>
      </c>
      <c r="BO1">
        <f>IFERROR(SUMPRODUCT((Responses!BO2:BO8000&lt;&gt;"")/COUNTIF(Responses!BO2:BO8000,Responses!BO2:BO8000&amp;""))/COUNTA(Responses!BO2:BO8000),0)</f>
        <v>0</v>
      </c>
      <c r="BP1">
        <f>IFERROR(SUMPRODUCT((Responses!BP2:BP8000&lt;&gt;"")/COUNTIF(Responses!BP2:BP8000,Responses!BP2:BP8000&amp;""))/COUNTA(Responses!BP2:BP8000),0)</f>
        <v>0</v>
      </c>
      <c r="BQ1">
        <f>IFERROR(SUMPRODUCT((Responses!BQ2:BQ8000&lt;&gt;"")/COUNTIF(Responses!BQ2:BQ8000,Responses!BQ2:BQ8000&amp;""))/COUNTA(Responses!BQ2:BQ8000),0)</f>
        <v>0</v>
      </c>
      <c r="BR1">
        <f>IFERROR(SUMPRODUCT((Responses!BR2:BR8000&lt;&gt;"")/COUNTIF(Responses!BR2:BR8000,Responses!BR2:BR8000&amp;""))/COUNTA(Responses!BR2:BR8000),0)</f>
        <v>0</v>
      </c>
      <c r="BS1">
        <f>IFERROR(SUMPRODUCT((Responses!BS2:BS8000&lt;&gt;"")/COUNTIF(Responses!BS2:BS8000,Responses!BS2:BS8000&amp;""))/COUNTA(Responses!BS2:BS8000),0)</f>
        <v>0</v>
      </c>
      <c r="BT1">
        <f>IFERROR(SUMPRODUCT((Responses!BT2:BT8000&lt;&gt;"")/COUNTIF(Responses!BT2:BT8000,Responses!BT2:BT8000&amp;""))/COUNTA(Responses!BT2:BT8000),0)</f>
        <v>0</v>
      </c>
      <c r="BU1">
        <f>IFERROR(SUMPRODUCT((Responses!BU2:BU8000&lt;&gt;"")/COUNTIF(Responses!BU2:BU8000,Responses!BU2:BU8000&amp;""))/COUNTA(Responses!BU2:BU8000),0)</f>
        <v>0</v>
      </c>
      <c r="BV1">
        <f>IFERROR(SUMPRODUCT((Responses!BV2:BV8000&lt;&gt;"")/COUNTIF(Responses!BV2:BV8000,Responses!BV2:BV8000&amp;""))/COUNTA(Responses!BV2:BV8000),0)</f>
        <v>0</v>
      </c>
      <c r="BW1">
        <f>IFERROR(SUMPRODUCT((Responses!BW2:BW8000&lt;&gt;"")/COUNTIF(Responses!BW2:BW8000,Responses!BW2:BW8000&amp;""))/COUNTA(Responses!BW2:BW8000),0)</f>
        <v>0</v>
      </c>
      <c r="BX1">
        <f>IFERROR(SUMPRODUCT((Responses!BX2:BX8000&lt;&gt;"")/COUNTIF(Responses!BX2:BX8000,Responses!BX2:BX8000&amp;""))/COUNTA(Responses!BX2:BX8000),0)</f>
        <v>0</v>
      </c>
      <c r="BY1">
        <f>IFERROR(SUMPRODUCT((Responses!BY2:BY8000&lt;&gt;"")/COUNTIF(Responses!BY2:BY8000,Responses!BY2:BY8000&amp;""))/COUNTA(Responses!BY2:BY8000),0)</f>
        <v>0</v>
      </c>
      <c r="BZ1">
        <f>IFERROR(SUMPRODUCT((Responses!BZ2:BZ8000&lt;&gt;"")/COUNTIF(Responses!BZ2:BZ8000,Responses!BZ2:BZ8000&amp;""))/COUNTA(Responses!BZ2:BZ8000),0)</f>
        <v>0</v>
      </c>
      <c r="CA1">
        <f>IFERROR(SUMPRODUCT((Responses!CA2:CA8000&lt;&gt;"")/COUNTIF(Responses!CA2:CA8000,Responses!CA2:CA8000&amp;""))/COUNTA(Responses!CA2:CA8000),0)</f>
        <v>0</v>
      </c>
      <c r="CB1">
        <f>IFERROR(SUMPRODUCT((Responses!CB2:CB8000&lt;&gt;"")/COUNTIF(Responses!CB2:CB8000,Responses!CB2:CB8000&amp;""))/COUNTA(Responses!CB2:CB8000),0)</f>
        <v>0</v>
      </c>
      <c r="CC1">
        <f>IFERROR(SUMPRODUCT((Responses!CC2:CC8000&lt;&gt;"")/COUNTIF(Responses!CC2:CC8000,Responses!CC2:CC8000&amp;""))/COUNTA(Responses!CC2:CC8000),0)</f>
        <v>0</v>
      </c>
      <c r="CD1">
        <f>IFERROR(SUMPRODUCT((Responses!CD2:CD8000&lt;&gt;"")/COUNTIF(Responses!CD2:CD8000,Responses!CD2:CD8000&amp;""))/COUNTA(Responses!CD2:CD8000),0)</f>
        <v>0</v>
      </c>
      <c r="CE1">
        <f>IFERROR(SUMPRODUCT((Responses!CE2:CE8000&lt;&gt;"")/COUNTIF(Responses!CE2:CE8000,Responses!CE2:CE8000&amp;""))/COUNTA(Responses!CE2:CE8000),0)</f>
        <v>0</v>
      </c>
      <c r="CF1">
        <f>IFERROR(SUMPRODUCT((Responses!CF2:CF8000&lt;&gt;"")/COUNTIF(Responses!CF2:CF8000,Responses!CF2:CF8000&amp;""))/COUNTA(Responses!CF2:CF8000),0)</f>
        <v>0</v>
      </c>
      <c r="CG1">
        <f>IFERROR(SUMPRODUCT((Responses!CG2:CG8000&lt;&gt;"")/COUNTIF(Responses!CG2:CG8000,Responses!CG2:CG8000&amp;""))/COUNTA(Responses!CG2:CG8000),0)</f>
        <v>0</v>
      </c>
      <c r="CH1">
        <f>IFERROR(SUMPRODUCT((Responses!CH2:CH8000&lt;&gt;"")/COUNTIF(Responses!CH2:CH8000,Responses!CH2:CH8000&amp;""))/COUNTA(Responses!CH2:CH8000),0)</f>
        <v>0</v>
      </c>
      <c r="CI1">
        <f>IFERROR(SUMPRODUCT((Responses!CI2:CI8000&lt;&gt;"")/COUNTIF(Responses!CI2:CI8000,Responses!CI2:CI8000&amp;""))/COUNTA(Responses!CI2:CI8000),0)</f>
        <v>0</v>
      </c>
      <c r="CJ1">
        <f>IFERROR(SUMPRODUCT((Responses!CJ2:CJ8000&lt;&gt;"")/COUNTIF(Responses!CJ2:CJ8000,Responses!CJ2:CJ8000&amp;""))/COUNTA(Responses!CJ2:CJ8000),0)</f>
        <v>0</v>
      </c>
      <c r="CK1">
        <f>IFERROR(SUMPRODUCT((Responses!CK2:CK8000&lt;&gt;"")/COUNTIF(Responses!CK2:CK8000,Responses!CK2:CK8000&amp;""))/COUNTA(Responses!CK2:CK8000),0)</f>
        <v>0</v>
      </c>
      <c r="CL1">
        <f>IFERROR(SUMPRODUCT((Responses!CL2:CL8000&lt;&gt;"")/COUNTIF(Responses!CL2:CL8000,Responses!CL2:CL8000&amp;""))/COUNTA(Responses!CL2:CL8000),0)</f>
        <v>0</v>
      </c>
      <c r="CM1">
        <f>IFERROR(SUMPRODUCT((Responses!CM2:CM8000&lt;&gt;"")/COUNTIF(Responses!CM2:CM8000,Responses!CM2:CM8000&amp;""))/COUNTA(Responses!CM2:CM8000),0)</f>
        <v>0</v>
      </c>
      <c r="CN1">
        <f>IFERROR(SUMPRODUCT((Responses!CN2:CN8000&lt;&gt;"")/COUNTIF(Responses!CN2:CN8000,Responses!CN2:CN8000&amp;""))/COUNTA(Responses!CN2:CN8000),0)</f>
        <v>0</v>
      </c>
      <c r="CO1">
        <f>IFERROR(SUMPRODUCT((Responses!CO2:CO8000&lt;&gt;"")/COUNTIF(Responses!CO2:CO8000,Responses!CO2:CO8000&amp;""))/COUNTA(Responses!CO2:CO8000),0)</f>
        <v>0</v>
      </c>
      <c r="CP1">
        <f>IFERROR(SUMPRODUCT((Responses!CP2:CP8000&lt;&gt;"")/COUNTIF(Responses!CP2:CP8000,Responses!CP2:CP8000&amp;""))/COUNTA(Responses!CP2:CP8000),0)</f>
        <v>0</v>
      </c>
      <c r="CQ1">
        <f>IFERROR(SUMPRODUCT((Responses!CQ2:CQ8000&lt;&gt;"")/COUNTIF(Responses!CQ2:CQ8000,Responses!CQ2:CQ8000&amp;""))/COUNTA(Responses!CQ2:CQ8000),0)</f>
        <v>0</v>
      </c>
      <c r="CR1">
        <f>IFERROR(SUMPRODUCT((Responses!CR2:CR8000&lt;&gt;"")/COUNTIF(Responses!CR2:CR8000,Responses!CR2:CR8000&amp;""))/COUNTA(Responses!CR2:CR8000),0)</f>
        <v>0</v>
      </c>
      <c r="CS1">
        <f>IFERROR(SUMPRODUCT((Responses!CS2:CS8000&lt;&gt;"")/COUNTIF(Responses!CS2:CS8000,Responses!CS2:CS8000&amp;""))/COUNTA(Responses!CS2:CS8000),0)</f>
        <v>0</v>
      </c>
      <c r="CT1">
        <f>IFERROR(SUMPRODUCT((Responses!CT2:CT8000&lt;&gt;"")/COUNTIF(Responses!CT2:CT8000,Responses!CT2:CT8000&amp;""))/COUNTA(Responses!CT2:CT8000),0)</f>
        <v>0</v>
      </c>
      <c r="CU1">
        <f>IFERROR(SUMPRODUCT((Responses!CU2:CU8000&lt;&gt;"")/COUNTIF(Responses!CU2:CU8000,Responses!CU2:CU8000&amp;""))/COUNTA(Responses!CU2:CU8000),0)</f>
        <v>0</v>
      </c>
      <c r="CV1">
        <f>IFERROR(SUMPRODUCT((Responses!CV2:CV8000&lt;&gt;"")/COUNTIF(Responses!CV2:CV8000,Responses!CV2:CV8000&amp;""))/COUNTA(Responses!CV2:CV8000),0)</f>
        <v>0</v>
      </c>
      <c r="CW1">
        <f>IFERROR(SUMPRODUCT((Responses!CW2:CW8000&lt;&gt;"")/COUNTIF(Responses!CW2:CW8000,Responses!CW2:CW8000&amp;""))/COUNTA(Responses!CW2:CW8000),0)</f>
        <v>0</v>
      </c>
      <c r="CX1">
        <f>IFERROR(SUMPRODUCT((Responses!CX2:CX8000&lt;&gt;"")/COUNTIF(Responses!CX2:CX8000,Responses!CX2:CX8000&amp;""))/COUNTA(Responses!CX2:CX8000),0)</f>
        <v>0</v>
      </c>
      <c r="CY1">
        <f>IFERROR(SUMPRODUCT((Responses!CY2:CY8000&lt;&gt;"")/COUNTIF(Responses!CY2:CY8000,Responses!CY2:CY8000&amp;""))/COUNTA(Responses!CY2:CY8000),0)</f>
        <v>0</v>
      </c>
      <c r="CZ1">
        <f>IFERROR(SUMPRODUCT((Responses!CZ2:CZ8000&lt;&gt;"")/COUNTIF(Responses!CZ2:CZ8000,Responses!CZ2:CZ8000&amp;""))/COUNTA(Responses!CZ2:CZ8000),0)</f>
        <v>0</v>
      </c>
      <c r="DA1">
        <f>IFERROR(SUMPRODUCT((Responses!DA2:DA8000&lt;&gt;"")/COUNTIF(Responses!DA2:DA8000,Responses!DA2:DA8000&amp;""))/COUNTA(Responses!DA2:DA8000),0)</f>
        <v>0</v>
      </c>
      <c r="DB1">
        <f>IFERROR(SUMPRODUCT((Responses!DB2:DB8000&lt;&gt;"")/COUNTIF(Responses!DB2:DB8000,Responses!DB2:DB8000&amp;""))/COUNTA(Responses!DB2:DB8000),0)</f>
        <v>0</v>
      </c>
      <c r="DC1">
        <f>IFERROR(SUMPRODUCT((Responses!DC2:DC8000&lt;&gt;"")/COUNTIF(Responses!DC2:DC8000,Responses!DC2:DC8000&amp;""))/COUNTA(Responses!DC2:DC8000),0)</f>
        <v>0</v>
      </c>
      <c r="DD1">
        <f>IFERROR(SUMPRODUCT((Responses!DD2:DD8000&lt;&gt;"")/COUNTIF(Responses!DD2:DD8000,Responses!DD2:DD8000&amp;""))/COUNTA(Responses!DD2:DD8000),0)</f>
        <v>0</v>
      </c>
      <c r="DE1">
        <f>IFERROR(SUMPRODUCT((Responses!DE2:DE8000&lt;&gt;"")/COUNTIF(Responses!DE2:DE8000,Responses!DE2:DE8000&amp;""))/COUNTA(Responses!DE2:DE8000),0)</f>
        <v>0</v>
      </c>
      <c r="DF1">
        <f>IFERROR(SUMPRODUCT((Responses!DF2:DF8000&lt;&gt;"")/COUNTIF(Responses!DF2:DF8000,Responses!DF2:DF8000&amp;""))/COUNTA(Responses!DF2:DF8000),0)</f>
        <v>0</v>
      </c>
      <c r="DG1">
        <f>IFERROR(SUMPRODUCT((Responses!DG2:DG8000&lt;&gt;"")/COUNTIF(Responses!DG2:DG8000,Responses!DG2:DG8000&amp;""))/COUNTA(Responses!DG2:DG8000),0)</f>
        <v>0</v>
      </c>
      <c r="DH1">
        <f>IFERROR(SUMPRODUCT((Responses!DH2:DH8000&lt;&gt;"")/COUNTIF(Responses!DH2:DH8000,Responses!DH2:DH8000&amp;""))/COUNTA(Responses!DH2:DH8000),0)</f>
        <v>0</v>
      </c>
      <c r="DI1">
        <f>IFERROR(SUMPRODUCT((Responses!DI2:DI8000&lt;&gt;"")/COUNTIF(Responses!DI2:DI8000,Responses!DI2:DI8000&amp;""))/COUNTA(Responses!DI2:DI8000),0)</f>
        <v>0</v>
      </c>
      <c r="DJ1">
        <f>IFERROR(SUMPRODUCT((Responses!DJ2:DJ8000&lt;&gt;"")/COUNTIF(Responses!DJ2:DJ8000,Responses!DJ2:DJ8000&amp;""))/COUNTA(Responses!DJ2:DJ8000),0)</f>
        <v>0</v>
      </c>
      <c r="DK1">
        <f>IFERROR(SUMPRODUCT((Responses!DK2:DK8000&lt;&gt;"")/COUNTIF(Responses!DK2:DK8000,Responses!DK2:DK8000&amp;""))/COUNTA(Responses!DK2:DK8000),0)</f>
        <v>0</v>
      </c>
      <c r="DL1">
        <f>IFERROR(SUMPRODUCT((Responses!DL2:DL8000&lt;&gt;"")/COUNTIF(Responses!DL2:DL8000,Responses!DL2:DL8000&amp;""))/COUNTA(Responses!DL2:DL8000),0)</f>
        <v>0</v>
      </c>
      <c r="DM1">
        <f>IFERROR(SUMPRODUCT((Responses!DM2:DM8000&lt;&gt;"")/COUNTIF(Responses!DM2:DM8000,Responses!DM2:DM8000&amp;""))/COUNTA(Responses!DM2:DM8000),0)</f>
        <v>0</v>
      </c>
      <c r="DN1">
        <f>IFERROR(SUMPRODUCT((Responses!DN2:DN8000&lt;&gt;"")/COUNTIF(Responses!DN2:DN8000,Responses!DN2:DN8000&amp;""))/COUNTA(Responses!DN2:DN8000),0)</f>
        <v>0</v>
      </c>
      <c r="DO1">
        <f>IFERROR(SUMPRODUCT((Responses!DO2:DO8000&lt;&gt;"")/COUNTIF(Responses!DO2:DO8000,Responses!DO2:DO8000&amp;""))/COUNTA(Responses!DO2:DO8000),0)</f>
        <v>0</v>
      </c>
      <c r="DP1">
        <f>IFERROR(SUMPRODUCT((Responses!DP2:DP8000&lt;&gt;"")/COUNTIF(Responses!DP2:DP8000,Responses!DP2:DP8000&amp;""))/COUNTA(Responses!DP2:DP8000),0)</f>
        <v>0</v>
      </c>
      <c r="DQ1">
        <f>IFERROR(SUMPRODUCT((Responses!DQ2:DQ8000&lt;&gt;"")/COUNTIF(Responses!DQ2:DQ8000,Responses!DQ2:DQ8000&amp;""))/COUNTA(Responses!DQ2:DQ8000),0)</f>
        <v>0</v>
      </c>
      <c r="DR1">
        <f>IFERROR(SUMPRODUCT((Responses!DR2:DR8000&lt;&gt;"")/COUNTIF(Responses!DR2:DR8000,Responses!DR2:DR8000&amp;""))/COUNTA(Responses!DR2:DR8000),0)</f>
        <v>0</v>
      </c>
      <c r="DS1">
        <f>IFERROR(SUMPRODUCT((Responses!DS2:DS8000&lt;&gt;"")/COUNTIF(Responses!DS2:DS8000,Responses!DS2:DS8000&amp;""))/COUNTA(Responses!DS2:DS8000),0)</f>
        <v>0</v>
      </c>
      <c r="DT1">
        <f>IFERROR(SUMPRODUCT((Responses!DT2:DT8000&lt;&gt;"")/COUNTIF(Responses!DT2:DT8000,Responses!DT2:DT8000&amp;""))/COUNTA(Responses!DT2:DT8000),0)</f>
        <v>0</v>
      </c>
      <c r="DU1">
        <f>IFERROR(SUMPRODUCT((Responses!DU2:DU8000&lt;&gt;"")/COUNTIF(Responses!DU2:DU8000,Responses!DU2:DU8000&amp;""))/COUNTA(Responses!DU2:DU8000),0)</f>
        <v>0</v>
      </c>
      <c r="DV1">
        <f>IFERROR(SUMPRODUCT((Responses!DV2:DV8000&lt;&gt;"")/COUNTIF(Responses!DV2:DV8000,Responses!DV2:DV8000&amp;""))/COUNTA(Responses!DV2:DV8000),0)</f>
        <v>0</v>
      </c>
      <c r="DW1">
        <f>IFERROR(SUMPRODUCT((Responses!DW2:DW8000&lt;&gt;"")/COUNTIF(Responses!DW2:DW8000,Responses!DW2:DW8000&amp;""))/COUNTA(Responses!DW2:DW8000),0)</f>
        <v>0</v>
      </c>
      <c r="DX1">
        <f>IFERROR(SUMPRODUCT((Responses!DX2:DX8000&lt;&gt;"")/COUNTIF(Responses!DX2:DX8000,Responses!DX2:DX8000&amp;""))/COUNTA(Responses!DX2:DX8000),0)</f>
        <v>0</v>
      </c>
      <c r="DY1">
        <f>IFERROR(SUMPRODUCT((Responses!DY2:DY8000&lt;&gt;"")/COUNTIF(Responses!DY2:DY8000,Responses!DY2:DY8000&amp;""))/COUNTA(Responses!DY2:DY8000),0)</f>
        <v>0</v>
      </c>
      <c r="DZ1">
        <f>IFERROR(SUMPRODUCT((Responses!DZ2:DZ8000&lt;&gt;"")/COUNTIF(Responses!DZ2:DZ8000,Responses!DZ2:DZ8000&amp;""))/COUNTA(Responses!DZ2:DZ8000),0)</f>
        <v>0</v>
      </c>
      <c r="EA1">
        <f>IFERROR(SUMPRODUCT((Responses!EA2:EA8000&lt;&gt;"")/COUNTIF(Responses!EA2:EA8000,Responses!EA2:EA8000&amp;""))/COUNTA(Responses!EA2:EA8000),0)</f>
        <v>0</v>
      </c>
      <c r="EB1">
        <f>IFERROR(SUMPRODUCT((Responses!EB2:EB8000&lt;&gt;"")/COUNTIF(Responses!EB2:EB8000,Responses!EB2:EB8000&amp;""))/COUNTA(Responses!EB2:EB8000),0)</f>
        <v>0</v>
      </c>
      <c r="EC1">
        <f>IFERROR(SUMPRODUCT((Responses!EC2:EC8000&lt;&gt;"")/COUNTIF(Responses!EC2:EC8000,Responses!EC2:EC8000&amp;""))/COUNTA(Responses!EC2:EC8000),0)</f>
        <v>0</v>
      </c>
      <c r="ED1">
        <f>IFERROR(SUMPRODUCT((Responses!ED2:ED8000&lt;&gt;"")/COUNTIF(Responses!ED2:ED8000,Responses!ED2:ED8000&amp;""))/COUNTA(Responses!ED2:ED8000),0)</f>
        <v>0</v>
      </c>
      <c r="EE1">
        <f>IFERROR(SUMPRODUCT((Responses!EE2:EE8000&lt;&gt;"")/COUNTIF(Responses!EE2:EE8000,Responses!EE2:EE8000&amp;""))/COUNTA(Responses!EE2:EE8000),0)</f>
        <v>0</v>
      </c>
      <c r="EF1">
        <f>IFERROR(SUMPRODUCT((Responses!EF2:EF8000&lt;&gt;"")/COUNTIF(Responses!EF2:EF8000,Responses!EF2:EF8000&amp;""))/COUNTA(Responses!EF2:EF8000),0)</f>
        <v>0</v>
      </c>
      <c r="EG1">
        <f>IFERROR(SUMPRODUCT((Responses!EG2:EG8000&lt;&gt;"")/COUNTIF(Responses!EG2:EG8000,Responses!EG2:EG8000&amp;""))/COUNTA(Responses!EG2:EG8000),0)</f>
        <v>0</v>
      </c>
      <c r="EH1">
        <f>IFERROR(SUMPRODUCT((Responses!EH2:EH8000&lt;&gt;"")/COUNTIF(Responses!EH2:EH8000,Responses!EH2:EH8000&amp;""))/COUNTA(Responses!EH2:EH8000),0)</f>
        <v>0</v>
      </c>
      <c r="EI1">
        <f>IFERROR(SUMPRODUCT((Responses!EI2:EI8000&lt;&gt;"")/COUNTIF(Responses!EI2:EI8000,Responses!EI2:EI8000&amp;""))/COUNTA(Responses!EI2:EI8000),0)</f>
        <v>0</v>
      </c>
      <c r="EJ1">
        <f>IFERROR(SUMPRODUCT((Responses!EJ2:EJ8000&lt;&gt;"")/COUNTIF(Responses!EJ2:EJ8000,Responses!EJ2:EJ8000&amp;""))/COUNTA(Responses!EJ2:EJ8000),0)</f>
        <v>0</v>
      </c>
      <c r="EK1">
        <f>IFERROR(SUMPRODUCT((Responses!EK2:EK8000&lt;&gt;"")/COUNTIF(Responses!EK2:EK8000,Responses!EK2:EK8000&amp;""))/COUNTA(Responses!EK2:EK8000),0)</f>
        <v>0</v>
      </c>
      <c r="EL1">
        <f>IFERROR(SUMPRODUCT((Responses!EL2:EL8000&lt;&gt;"")/COUNTIF(Responses!EL2:EL8000,Responses!EL2:EL8000&amp;""))/COUNTA(Responses!EL2:EL8000),0)</f>
        <v>0</v>
      </c>
      <c r="EM1">
        <f>IFERROR(SUMPRODUCT((Responses!EM2:EM8000&lt;&gt;"")/COUNTIF(Responses!EM2:EM8000,Responses!EM2:EM8000&amp;""))/COUNTA(Responses!EM2:EM8000),0)</f>
        <v>0</v>
      </c>
      <c r="EN1">
        <f>IFERROR(SUMPRODUCT((Responses!EN2:EN8000&lt;&gt;"")/COUNTIF(Responses!EN2:EN8000,Responses!EN2:EN8000&amp;""))/COUNTA(Responses!EN2:EN8000),0)</f>
        <v>0</v>
      </c>
      <c r="EO1">
        <f>IFERROR(SUMPRODUCT((Responses!EO2:EO8000&lt;&gt;"")/COUNTIF(Responses!EO2:EO8000,Responses!EO2:EO8000&amp;""))/COUNTA(Responses!EO2:EO8000),0)</f>
        <v>0</v>
      </c>
      <c r="EP1">
        <f>IFERROR(SUMPRODUCT((Responses!EP2:EP8000&lt;&gt;"")/COUNTIF(Responses!EP2:EP8000,Responses!EP2:EP8000&amp;""))/COUNTA(Responses!EP2:EP8000),0)</f>
        <v>0</v>
      </c>
      <c r="EQ1">
        <f>IFERROR(SUMPRODUCT((Responses!EQ2:EQ8000&lt;&gt;"")/COUNTIF(Responses!EQ2:EQ8000,Responses!EQ2:EQ8000&amp;""))/COUNTA(Responses!EQ2:EQ8000),0)</f>
        <v>0</v>
      </c>
      <c r="ER1">
        <f>IFERROR(SUMPRODUCT((Responses!ER2:ER8000&lt;&gt;"")/COUNTIF(Responses!ER2:ER8000,Responses!ER2:ER8000&amp;""))/COUNTA(Responses!ER2:ER8000),0)</f>
        <v>0</v>
      </c>
      <c r="ES1">
        <f>IFERROR(SUMPRODUCT((Responses!ES2:ES8000&lt;&gt;"")/COUNTIF(Responses!ES2:ES8000,Responses!ES2:ES8000&amp;""))/COUNTA(Responses!ES2:ES8000),0)</f>
        <v>0</v>
      </c>
      <c r="ET1">
        <f>IFERROR(SUMPRODUCT((Responses!ET2:ET8000&lt;&gt;"")/COUNTIF(Responses!ET2:ET8000,Responses!ET2:ET8000&amp;""))/COUNTA(Responses!ET2:ET8000),0)</f>
        <v>0</v>
      </c>
      <c r="EU1">
        <f>IFERROR(SUMPRODUCT((Responses!EU2:EU8000&lt;&gt;"")/COUNTIF(Responses!EU2:EU8000,Responses!EU2:EU8000&amp;""))/COUNTA(Responses!EU2:EU8000),0)</f>
        <v>0</v>
      </c>
      <c r="EV1">
        <f>IFERROR(SUMPRODUCT((Responses!EV2:EV8000&lt;&gt;"")/COUNTIF(Responses!EV2:EV8000,Responses!EV2:EV8000&amp;""))/COUNTA(Responses!EV2:EV8000),0)</f>
        <v>0</v>
      </c>
      <c r="EW1">
        <f>IFERROR(SUMPRODUCT((Responses!EW2:EW8000&lt;&gt;"")/COUNTIF(Responses!EW2:EW8000,Responses!EW2:EW8000&amp;""))/COUNTA(Responses!EW2:EW8000),0)</f>
        <v>0</v>
      </c>
      <c r="EX1">
        <f>IFERROR(SUMPRODUCT((Responses!EX2:EX8000&lt;&gt;"")/COUNTIF(Responses!EX2:EX8000,Responses!EX2:EX8000&amp;""))/COUNTA(Responses!EX2:EX8000),0)</f>
        <v>0</v>
      </c>
      <c r="EY1">
        <f>IFERROR(SUMPRODUCT((Responses!EY2:EY8000&lt;&gt;"")/COUNTIF(Responses!EY2:EY8000,Responses!EY2:EY8000&amp;""))/COUNTA(Responses!EY2:EY8000),0)</f>
        <v>0</v>
      </c>
      <c r="EZ1">
        <f>IFERROR(SUMPRODUCT((Responses!EZ2:EZ8000&lt;&gt;"")/COUNTIF(Responses!EZ2:EZ8000,Responses!EZ2:EZ8000&amp;""))/COUNTA(Responses!EZ2:EZ8000),0)</f>
        <v>0</v>
      </c>
      <c r="FA1">
        <f>IFERROR(SUMPRODUCT((Responses!FA2:FA8000&lt;&gt;"")/COUNTIF(Responses!FA2:FA8000,Responses!FA2:FA8000&amp;""))/COUNTA(Responses!FA2:FA8000),0)</f>
        <v>0</v>
      </c>
      <c r="FB1">
        <f>IFERROR(SUMPRODUCT((Responses!FB2:FB8000&lt;&gt;"")/COUNTIF(Responses!FB2:FB8000,Responses!FB2:FB8000&amp;""))/COUNTA(Responses!FB2:FB8000),0)</f>
        <v>0</v>
      </c>
      <c r="FC1">
        <f>IFERROR(SUMPRODUCT((Responses!FC2:FC8000&lt;&gt;"")/COUNTIF(Responses!FC2:FC8000,Responses!FC2:FC8000&amp;""))/COUNTA(Responses!FC2:FC8000),0)</f>
        <v>0</v>
      </c>
      <c r="FD1">
        <f>IFERROR(SUMPRODUCT((Responses!FD2:FD8000&lt;&gt;"")/COUNTIF(Responses!FD2:FD8000,Responses!FD2:FD8000&amp;""))/COUNTA(Responses!FD2:FD8000),0)</f>
        <v>0</v>
      </c>
      <c r="FE1">
        <f>IFERROR(SUMPRODUCT((Responses!FE2:FE8000&lt;&gt;"")/COUNTIF(Responses!FE2:FE8000,Responses!FE2:FE8000&amp;""))/COUNTA(Responses!FE2:FE8000),0)</f>
        <v>0</v>
      </c>
      <c r="FF1">
        <f>IFERROR(SUMPRODUCT((Responses!FF2:FF8000&lt;&gt;"")/COUNTIF(Responses!FF2:FF8000,Responses!FF2:FF8000&amp;""))/COUNTA(Responses!FF2:FF8000),0)</f>
        <v>0</v>
      </c>
      <c r="FG1">
        <f>IFERROR(SUMPRODUCT((Responses!FG2:FG8000&lt;&gt;"")/COUNTIF(Responses!FG2:FG8000,Responses!FG2:FG8000&amp;""))/COUNTA(Responses!FG2:FG8000),0)</f>
        <v>0</v>
      </c>
      <c r="FH1">
        <f>IFERROR(SUMPRODUCT((Responses!FH2:FH8000&lt;&gt;"")/COUNTIF(Responses!FH2:FH8000,Responses!FH2:FH8000&amp;""))/COUNTA(Responses!FH2:FH8000),0)</f>
        <v>0</v>
      </c>
      <c r="FI1">
        <f>IFERROR(SUMPRODUCT((Responses!FI2:FI8000&lt;&gt;"")/COUNTIF(Responses!FI2:FI8000,Responses!FI2:FI8000&amp;""))/COUNTA(Responses!FI2:FI8000),0)</f>
        <v>0</v>
      </c>
      <c r="FJ1">
        <f>IFERROR(SUMPRODUCT((Responses!FJ2:FJ8000&lt;&gt;"")/COUNTIF(Responses!FJ2:FJ8000,Responses!FJ2:FJ8000&amp;""))/COUNTA(Responses!FJ2:FJ8000),0)</f>
        <v>0</v>
      </c>
      <c r="FK1">
        <f>IFERROR(SUMPRODUCT((Responses!FK2:FK8000&lt;&gt;"")/COUNTIF(Responses!FK2:FK8000,Responses!FK2:FK8000&amp;""))/COUNTA(Responses!FK2:FK8000),0)</f>
        <v>0</v>
      </c>
      <c r="FL1">
        <f>IFERROR(SUMPRODUCT((Responses!FL2:FL8000&lt;&gt;"")/COUNTIF(Responses!FL2:FL8000,Responses!FL2:FL8000&amp;""))/COUNTA(Responses!FL2:FL8000),0)</f>
        <v>0</v>
      </c>
      <c r="FM1">
        <f>IFERROR(SUMPRODUCT((Responses!FM2:FM8000&lt;&gt;"")/COUNTIF(Responses!FM2:FM8000,Responses!FM2:FM8000&amp;""))/COUNTA(Responses!FM2:FM8000),0)</f>
        <v>0</v>
      </c>
      <c r="FN1">
        <f>IFERROR(SUMPRODUCT((Responses!FN2:FN8000&lt;&gt;"")/COUNTIF(Responses!FN2:FN8000,Responses!FN2:FN8000&amp;""))/COUNTA(Responses!FN2:FN8000),0)</f>
        <v>0</v>
      </c>
      <c r="FO1">
        <f>IFERROR(SUMPRODUCT((Responses!FO2:FO8000&lt;&gt;"")/COUNTIF(Responses!FO2:FO8000,Responses!FO2:FO8000&amp;""))/COUNTA(Responses!FO2:FO8000),0)</f>
        <v>0</v>
      </c>
      <c r="FP1">
        <f>IFERROR(SUMPRODUCT((Responses!FP2:FP8000&lt;&gt;"")/COUNTIF(Responses!FP2:FP8000,Responses!FP2:FP8000&amp;""))/COUNTA(Responses!FP2:FP8000),0)</f>
        <v>0</v>
      </c>
      <c r="FQ1">
        <f>IFERROR(SUMPRODUCT((Responses!FQ2:FQ8000&lt;&gt;"")/COUNTIF(Responses!FQ2:FQ8000,Responses!FQ2:FQ8000&amp;""))/COUNTA(Responses!FQ2:FQ8000),0)</f>
        <v>0</v>
      </c>
      <c r="FR1">
        <f>IFERROR(SUMPRODUCT((Responses!FR2:FR8000&lt;&gt;"")/COUNTIF(Responses!FR2:FR8000,Responses!FR2:FR8000&amp;""))/COUNTA(Responses!FR2:FR8000),0)</f>
        <v>0</v>
      </c>
      <c r="FS1">
        <f>IFERROR(SUMPRODUCT((Responses!FS2:FS8000&lt;&gt;"")/COUNTIF(Responses!FS2:FS8000,Responses!FS2:FS8000&amp;""))/COUNTA(Responses!FS2:FS8000),0)</f>
        <v>0</v>
      </c>
      <c r="FT1">
        <f>IFERROR(SUMPRODUCT((Responses!FT2:FT8000&lt;&gt;"")/COUNTIF(Responses!FT2:FT8000,Responses!FT2:FT8000&amp;""))/COUNTA(Responses!FT2:FT8000),0)</f>
        <v>0</v>
      </c>
      <c r="FU1">
        <f>IFERROR(SUMPRODUCT((Responses!FU2:FU8000&lt;&gt;"")/COUNTIF(Responses!FU2:FU8000,Responses!FU2:FU8000&amp;""))/COUNTA(Responses!FU2:FU8000),0)</f>
        <v>0</v>
      </c>
      <c r="FV1">
        <f>IFERROR(SUMPRODUCT((Responses!FV2:FV8000&lt;&gt;"")/COUNTIF(Responses!FV2:FV8000,Responses!FV2:FV8000&amp;""))/COUNTA(Responses!FV2:FV8000),0)</f>
        <v>0</v>
      </c>
      <c r="FW1">
        <f>IFERROR(SUMPRODUCT((Responses!FW2:FW8000&lt;&gt;"")/COUNTIF(Responses!FW2:FW8000,Responses!FW2:FW8000&amp;""))/COUNTA(Responses!FW2:FW8000),0)</f>
        <v>0</v>
      </c>
      <c r="FX1">
        <f>IFERROR(SUMPRODUCT((Responses!FX2:FX8000&lt;&gt;"")/COUNTIF(Responses!FX2:FX8000,Responses!FX2:FX8000&amp;""))/COUNTA(Responses!FX2:FX8000),0)</f>
        <v>0</v>
      </c>
      <c r="FY1">
        <f>IFERROR(SUMPRODUCT((Responses!FY2:FY8000&lt;&gt;"")/COUNTIF(Responses!FY2:FY8000,Responses!FY2:FY8000&amp;""))/COUNTA(Responses!FY2:FY8000),0)</f>
        <v>0</v>
      </c>
      <c r="FZ1">
        <f>IFERROR(SUMPRODUCT((Responses!FZ2:FZ8000&lt;&gt;"")/COUNTIF(Responses!FZ2:FZ8000,Responses!FZ2:FZ8000&amp;""))/COUNTA(Responses!FZ2:FZ8000),0)</f>
        <v>0</v>
      </c>
      <c r="GA1">
        <f>IFERROR(SUMPRODUCT((Responses!GA2:GA8000&lt;&gt;"")/COUNTIF(Responses!GA2:GA8000,Responses!GA2:GA8000&amp;""))/COUNTA(Responses!GA2:GA8000),0)</f>
        <v>0</v>
      </c>
      <c r="GB1">
        <f>IFERROR(SUMPRODUCT((Responses!GB2:GB8000&lt;&gt;"")/COUNTIF(Responses!GB2:GB8000,Responses!GB2:GB8000&amp;""))/COUNTA(Responses!GB2:GB8000),0)</f>
        <v>0</v>
      </c>
      <c r="GC1">
        <f>IFERROR(SUMPRODUCT((Responses!GC2:GC8000&lt;&gt;"")/COUNTIF(Responses!GC2:GC8000,Responses!GC2:GC8000&amp;""))/COUNTA(Responses!GC2:GC8000),0)</f>
        <v>0</v>
      </c>
      <c r="GD1">
        <f>IFERROR(SUMPRODUCT((Responses!GD2:GD8000&lt;&gt;"")/COUNTIF(Responses!GD2:GD8000,Responses!GD2:GD8000&amp;""))/COUNTA(Responses!GD2:GD8000),0)</f>
        <v>0</v>
      </c>
      <c r="GE1">
        <f>IFERROR(SUMPRODUCT((Responses!GE2:GE8000&lt;&gt;"")/COUNTIF(Responses!GE2:GE8000,Responses!GE2:GE8000&amp;""))/COUNTA(Responses!GE2:GE8000),0)</f>
        <v>0</v>
      </c>
      <c r="GF1">
        <f>IFERROR(SUMPRODUCT((Responses!GF2:GF8000&lt;&gt;"")/COUNTIF(Responses!GF2:GF8000,Responses!GF2:GF8000&amp;""))/COUNTA(Responses!GF2:GF8000),0)</f>
        <v>0</v>
      </c>
      <c r="GG1">
        <f>IFERROR(SUMPRODUCT((Responses!GG2:GG8000&lt;&gt;"")/COUNTIF(Responses!GG2:GG8000,Responses!GG2:GG8000&amp;""))/COUNTA(Responses!GG2:GG8000),0)</f>
        <v>0</v>
      </c>
      <c r="GH1">
        <f>IFERROR(SUMPRODUCT((Responses!GH2:GH8000&lt;&gt;"")/COUNTIF(Responses!GH2:GH8000,Responses!GH2:GH8000&amp;""))/COUNTA(Responses!GH2:GH8000),0)</f>
        <v>0</v>
      </c>
      <c r="GI1">
        <f>IFERROR(SUMPRODUCT((Responses!GI2:GI8000&lt;&gt;"")/COUNTIF(Responses!GI2:GI8000,Responses!GI2:GI8000&amp;""))/COUNTA(Responses!GI2:GI8000),0)</f>
        <v>0</v>
      </c>
      <c r="GJ1">
        <f>IFERROR(SUMPRODUCT((Responses!GJ2:GJ8000&lt;&gt;"")/COUNTIF(Responses!GJ2:GJ8000,Responses!GJ2:GJ8000&amp;""))/COUNTA(Responses!GJ2:GJ8000),0)</f>
        <v>0</v>
      </c>
      <c r="GK1">
        <f>IFERROR(SUMPRODUCT((Responses!GK2:GK8000&lt;&gt;"")/COUNTIF(Responses!GK2:GK8000,Responses!GK2:GK8000&amp;""))/COUNTA(Responses!GK2:GK8000),0)</f>
        <v>0</v>
      </c>
      <c r="GL1">
        <f>IFERROR(SUMPRODUCT((Responses!GL2:GL8000&lt;&gt;"")/COUNTIF(Responses!GL2:GL8000,Responses!GL2:GL8000&amp;""))/COUNTA(Responses!GL2:GL8000),0)</f>
        <v>0</v>
      </c>
      <c r="GM1">
        <f>IFERROR(SUMPRODUCT((Responses!GM2:GM8000&lt;&gt;"")/COUNTIF(Responses!GM2:GM8000,Responses!GM2:GM8000&amp;""))/COUNTA(Responses!GM2:GM8000),0)</f>
        <v>0</v>
      </c>
      <c r="GN1">
        <f>IFERROR(SUMPRODUCT((Responses!GN2:GN8000&lt;&gt;"")/COUNTIF(Responses!GN2:GN8000,Responses!GN2:GN8000&amp;""))/COUNTA(Responses!GN2:GN8000),0)</f>
        <v>0</v>
      </c>
      <c r="GO1">
        <f>IFERROR(SUMPRODUCT((Responses!GO2:GO8000&lt;&gt;"")/COUNTIF(Responses!GO2:GO8000,Responses!GO2:GO8000&amp;""))/COUNTA(Responses!GO2:GO8000),0)</f>
        <v>0</v>
      </c>
      <c r="GP1">
        <f>IFERROR(SUMPRODUCT((Responses!GP2:GP8000&lt;&gt;"")/COUNTIF(Responses!GP2:GP8000,Responses!GP2:GP8000&amp;""))/COUNTA(Responses!GP2:GP8000),0)</f>
        <v>0</v>
      </c>
      <c r="GQ1">
        <f>IFERROR(SUMPRODUCT((Responses!GQ2:GQ8000&lt;&gt;"")/COUNTIF(Responses!GQ2:GQ8000,Responses!GQ2:GQ8000&amp;""))/COUNTA(Responses!GQ2:GQ8000),0)</f>
        <v>0</v>
      </c>
      <c r="GR1">
        <f>IFERROR(SUMPRODUCT((Responses!GR2:GR8000&lt;&gt;"")/COUNTIF(Responses!GR2:GR8000,Responses!GR2:GR8000&amp;""))/COUNTA(Responses!GR2:GR8000),0)</f>
        <v>0</v>
      </c>
      <c r="GS1">
        <f>IFERROR(SUMPRODUCT((Responses!GS2:GS8000&lt;&gt;"")/COUNTIF(Responses!GS2:GS8000,Responses!GS2:GS8000&amp;""))/COUNTA(Responses!GS2:GS8000),0)</f>
        <v>0</v>
      </c>
      <c r="GT1">
        <f>IFERROR(SUMPRODUCT((Responses!GT2:GT8000&lt;&gt;"")/COUNTIF(Responses!GT2:GT8000,Responses!GT2:GT8000&amp;""))/COUNTA(Responses!GT2:GT8000),0)</f>
        <v>0</v>
      </c>
      <c r="GU1">
        <f>IFERROR(SUMPRODUCT((Responses!GU2:GU8000&lt;&gt;"")/COUNTIF(Responses!GU2:GU8000,Responses!GU2:GU8000&amp;""))/COUNTA(Responses!GU2:GU8000),0)</f>
        <v>0</v>
      </c>
      <c r="GV1">
        <f>IFERROR(SUMPRODUCT((Responses!GV2:GV8000&lt;&gt;"")/COUNTIF(Responses!GV2:GV8000,Responses!GV2:GV8000&amp;""))/COUNTA(Responses!GV2:GV8000),0)</f>
        <v>0</v>
      </c>
      <c r="GW1">
        <f>IFERROR(SUMPRODUCT((Responses!GW2:GW8000&lt;&gt;"")/COUNTIF(Responses!GW2:GW8000,Responses!GW2:GW8000&amp;""))/COUNTA(Responses!GW2:GW8000),0)</f>
        <v>0</v>
      </c>
      <c r="GX1">
        <f>IFERROR(SUMPRODUCT((Responses!GX2:GX8000&lt;&gt;"")/COUNTIF(Responses!GX2:GX8000,Responses!GX2:GX8000&amp;""))/COUNTA(Responses!GX2:GX8000),0)</f>
        <v>0</v>
      </c>
      <c r="GY1">
        <f>IFERROR(SUMPRODUCT((Responses!GY2:GY8000&lt;&gt;"")/COUNTIF(Responses!GY2:GY8000,Responses!GY2:GY8000&amp;""))/COUNTA(Responses!GY2:GY8000),0)</f>
        <v>0</v>
      </c>
      <c r="GZ1">
        <f>IFERROR(SUMPRODUCT((Responses!GZ2:GZ8000&lt;&gt;"")/COUNTIF(Responses!GZ2:GZ8000,Responses!GZ2:GZ8000&amp;""))/COUNTA(Responses!GZ2:GZ8000),0)</f>
        <v>0</v>
      </c>
      <c r="HA1">
        <f>IFERROR(SUMPRODUCT((Responses!HA2:HA8000&lt;&gt;"")/COUNTIF(Responses!HA2:HA8000,Responses!HA2:HA8000&amp;""))/COUNTA(Responses!HA2:HA8000),0)</f>
        <v>0</v>
      </c>
      <c r="HB1">
        <f>IFERROR(SUMPRODUCT((Responses!HB2:HB8000&lt;&gt;"")/COUNTIF(Responses!HB2:HB8000,Responses!HB2:HB8000&amp;""))/COUNTA(Responses!HB2:HB8000),0)</f>
        <v>0</v>
      </c>
      <c r="HC1">
        <f>IFERROR(SUMPRODUCT((Responses!HC2:HC8000&lt;&gt;"")/COUNTIF(Responses!HC2:HC8000,Responses!HC2:HC8000&amp;""))/COUNTA(Responses!HC2:HC8000),0)</f>
        <v>0</v>
      </c>
      <c r="HD1">
        <f>IFERROR(SUMPRODUCT((Responses!HD2:HD8000&lt;&gt;"")/COUNTIF(Responses!HD2:HD8000,Responses!HD2:HD8000&amp;""))/COUNTA(Responses!HD2:HD8000),0)</f>
        <v>0</v>
      </c>
      <c r="HE1">
        <f>IFERROR(SUMPRODUCT((Responses!HE2:HE8000&lt;&gt;"")/COUNTIF(Responses!HE2:HE8000,Responses!HE2:HE8000&amp;""))/COUNTA(Responses!HE2:HE8000),0)</f>
        <v>0</v>
      </c>
      <c r="HF1">
        <f>IFERROR(SUMPRODUCT((Responses!HF2:HF8000&lt;&gt;"")/COUNTIF(Responses!HF2:HF8000,Responses!HF2:HF8000&amp;""))/COUNTA(Responses!HF2:HF8000),0)</f>
        <v>0</v>
      </c>
      <c r="HG1">
        <f>IFERROR(SUMPRODUCT((Responses!HG2:HG8000&lt;&gt;"")/COUNTIF(Responses!HG2:HG8000,Responses!HG2:HG8000&amp;""))/COUNTA(Responses!HG2:HG8000),0)</f>
        <v>0</v>
      </c>
      <c r="HH1">
        <f>IFERROR(SUMPRODUCT((Responses!HH2:HH8000&lt;&gt;"")/COUNTIF(Responses!HH2:HH8000,Responses!HH2:HH8000&amp;""))/COUNTA(Responses!HH2:HH8000),0)</f>
        <v>0</v>
      </c>
      <c r="HI1">
        <f>IFERROR(SUMPRODUCT((Responses!HI2:HI8000&lt;&gt;"")/COUNTIF(Responses!HI2:HI8000,Responses!HI2:HI8000&amp;""))/COUNTA(Responses!HI2:HI8000),0)</f>
        <v>0</v>
      </c>
      <c r="HJ1">
        <f>IFERROR(SUMPRODUCT((Responses!HJ2:HJ8000&lt;&gt;"")/COUNTIF(Responses!HJ2:HJ8000,Responses!HJ2:HJ8000&amp;""))/COUNTA(Responses!HJ2:HJ8000),0)</f>
        <v>0</v>
      </c>
      <c r="HK1">
        <f>IFERROR(SUMPRODUCT((Responses!HK2:HK8000&lt;&gt;"")/COUNTIF(Responses!HK2:HK8000,Responses!HK2:HK8000&amp;""))/COUNTA(Responses!HK2:HK8000),0)</f>
        <v>0</v>
      </c>
      <c r="HL1">
        <f>IFERROR(SUMPRODUCT((Responses!HL2:HL8000&lt;&gt;"")/COUNTIF(Responses!HL2:HL8000,Responses!HL2:HL8000&amp;""))/COUNTA(Responses!HL2:HL8000),0)</f>
        <v>0</v>
      </c>
      <c r="HM1">
        <f>IFERROR(SUMPRODUCT((Responses!HM2:HM8000&lt;&gt;"")/COUNTIF(Responses!HM2:HM8000,Responses!HM2:HM8000&amp;""))/COUNTA(Responses!HM2:HM8000),0)</f>
        <v>0</v>
      </c>
      <c r="HN1">
        <f>IFERROR(SUMPRODUCT((Responses!HN2:HN8000&lt;&gt;"")/COUNTIF(Responses!HN2:HN8000,Responses!HN2:HN8000&amp;""))/COUNTA(Responses!HN2:HN8000),0)</f>
        <v>0</v>
      </c>
      <c r="HO1">
        <f>IFERROR(SUMPRODUCT((Responses!HO2:HO8000&lt;&gt;"")/COUNTIF(Responses!HO2:HO8000,Responses!HO2:HO8000&amp;""))/COUNTA(Responses!HO2:HO8000),0)</f>
        <v>0</v>
      </c>
      <c r="HP1">
        <f>IFERROR(SUMPRODUCT((Responses!HP2:HP8000&lt;&gt;"")/COUNTIF(Responses!HP2:HP8000,Responses!HP2:HP8000&amp;""))/COUNTA(Responses!HP2:HP8000),0)</f>
        <v>0</v>
      </c>
      <c r="HQ1">
        <f>IFERROR(SUMPRODUCT((Responses!HQ2:HQ8000&lt;&gt;"")/COUNTIF(Responses!HQ2:HQ8000,Responses!HQ2:HQ8000&amp;""))/COUNTA(Responses!HQ2:HQ8000),0)</f>
        <v>0</v>
      </c>
      <c r="HR1">
        <f>IFERROR(SUMPRODUCT((Responses!HR2:HR8000&lt;&gt;"")/COUNTIF(Responses!HR2:HR8000,Responses!HR2:HR8000&amp;""))/COUNTA(Responses!HR2:HR8000),0)</f>
        <v>0</v>
      </c>
      <c r="HS1">
        <f>IFERROR(SUMPRODUCT((Responses!HS2:HS8000&lt;&gt;"")/COUNTIF(Responses!HS2:HS8000,Responses!HS2:HS8000&amp;""))/COUNTA(Responses!HS2:HS8000),0)</f>
        <v>0</v>
      </c>
      <c r="HT1">
        <f>IFERROR(SUMPRODUCT((Responses!HT2:HT8000&lt;&gt;"")/COUNTIF(Responses!HT2:HT8000,Responses!HT2:HT8000&amp;""))/COUNTA(Responses!HT2:HT8000),0)</f>
        <v>0</v>
      </c>
      <c r="HU1">
        <f>IFERROR(SUMPRODUCT((Responses!HU2:HU8000&lt;&gt;"")/COUNTIF(Responses!HU2:HU8000,Responses!HU2:HU8000&amp;""))/COUNTA(Responses!HU2:HU8000),0)</f>
        <v>0</v>
      </c>
      <c r="HV1">
        <f>IFERROR(SUMPRODUCT((Responses!HV2:HV8000&lt;&gt;"")/COUNTIF(Responses!HV2:HV8000,Responses!HV2:HV8000&amp;""))/COUNTA(Responses!HV2:HV8000),0)</f>
        <v>0</v>
      </c>
      <c r="HW1">
        <f>IFERROR(SUMPRODUCT((Responses!HW2:HW8000&lt;&gt;"")/COUNTIF(Responses!HW2:HW8000,Responses!HW2:HW8000&amp;""))/COUNTA(Responses!HW2:HW8000),0)</f>
        <v>0</v>
      </c>
      <c r="HX1">
        <f>IFERROR(SUMPRODUCT((Responses!HX2:HX8000&lt;&gt;"")/COUNTIF(Responses!HX2:HX8000,Responses!HX2:HX8000&amp;""))/COUNTA(Responses!HX2:HX8000),0)</f>
        <v>0</v>
      </c>
      <c r="HY1">
        <f>IFERROR(SUMPRODUCT((Responses!HY2:HY8000&lt;&gt;"")/COUNTIF(Responses!HY2:HY8000,Responses!HY2:HY8000&amp;""))/COUNTA(Responses!HY2:HY8000),0)</f>
        <v>0</v>
      </c>
      <c r="HZ1">
        <f>IFERROR(SUMPRODUCT((Responses!HZ2:HZ8000&lt;&gt;"")/COUNTIF(Responses!HZ2:HZ8000,Responses!HZ2:HZ8000&amp;""))/COUNTA(Responses!HZ2:HZ8000),0)</f>
        <v>0</v>
      </c>
      <c r="IA1">
        <f>IFERROR(SUMPRODUCT((Responses!IA2:IA8000&lt;&gt;"")/COUNTIF(Responses!IA2:IA8000,Responses!IA2:IA8000&amp;""))/COUNTA(Responses!IA2:IA8000),0)</f>
        <v>0</v>
      </c>
      <c r="IB1">
        <f>IFERROR(SUMPRODUCT((Responses!IB2:IB8000&lt;&gt;"")/COUNTIF(Responses!IB2:IB8000,Responses!IB2:IB8000&amp;""))/COUNTA(Responses!IB2:IB8000),0)</f>
        <v>0</v>
      </c>
      <c r="IC1">
        <f>IFERROR(SUMPRODUCT((Responses!IC2:IC8000&lt;&gt;"")/COUNTIF(Responses!IC2:IC8000,Responses!IC2:IC8000&amp;""))/COUNTA(Responses!IC2:IC8000),0)</f>
        <v>0</v>
      </c>
      <c r="ID1">
        <f>IFERROR(SUMPRODUCT((Responses!ID2:ID8000&lt;&gt;"")/COUNTIF(Responses!ID2:ID8000,Responses!ID2:ID8000&amp;""))/COUNTA(Responses!ID2:ID8000),0)</f>
        <v>0</v>
      </c>
      <c r="IE1">
        <f>IFERROR(SUMPRODUCT((Responses!IE2:IE8000&lt;&gt;"")/COUNTIF(Responses!IE2:IE8000,Responses!IE2:IE8000&amp;""))/COUNTA(Responses!IE2:IE8000),0)</f>
        <v>0</v>
      </c>
      <c r="IF1">
        <f>IFERROR(SUMPRODUCT((Responses!IF2:IF8000&lt;&gt;"")/COUNTIF(Responses!IF2:IF8000,Responses!IF2:IF8000&amp;""))/COUNTA(Responses!IF2:IF8000),0)</f>
        <v>0</v>
      </c>
      <c r="IG1">
        <f>IFERROR(SUMPRODUCT((Responses!IG2:IG8000&lt;&gt;"")/COUNTIF(Responses!IG2:IG8000,Responses!IG2:IG8000&amp;""))/COUNTA(Responses!IG2:IG8000),0)</f>
        <v>0</v>
      </c>
      <c r="IH1">
        <f>IFERROR(SUMPRODUCT((Responses!IH2:IH8000&lt;&gt;"")/COUNTIF(Responses!IH2:IH8000,Responses!IH2:IH8000&amp;""))/COUNTA(Responses!IH2:IH8000),0)</f>
        <v>0</v>
      </c>
      <c r="II1">
        <f>IFERROR(SUMPRODUCT((Responses!II2:II8000&lt;&gt;"")/COUNTIF(Responses!II2:II8000,Responses!II2:II8000&amp;""))/COUNTA(Responses!II2:II8000),0)</f>
        <v>0</v>
      </c>
      <c r="IJ1">
        <f>IFERROR(SUMPRODUCT((Responses!IJ2:IJ8000&lt;&gt;"")/COUNTIF(Responses!IJ2:IJ8000,Responses!IJ2:IJ8000&amp;""))/COUNTA(Responses!IJ2:IJ8000),0)</f>
        <v>0</v>
      </c>
      <c r="IK1">
        <f>IFERROR(SUMPRODUCT((Responses!IK2:IK8000&lt;&gt;"")/COUNTIF(Responses!IK2:IK8000,Responses!IK2:IK8000&amp;""))/COUNTA(Responses!IK2:IK8000),0)</f>
        <v>0</v>
      </c>
      <c r="IL1">
        <f>IFERROR(SUMPRODUCT((Responses!IL2:IL8000&lt;&gt;"")/COUNTIF(Responses!IL2:IL8000,Responses!IL2:IL8000&amp;""))/COUNTA(Responses!IL2:IL8000),0)</f>
        <v>0</v>
      </c>
      <c r="IM1">
        <f>IFERROR(SUMPRODUCT((Responses!IM2:IM8000&lt;&gt;"")/COUNTIF(Responses!IM2:IM8000,Responses!IM2:IM8000&amp;""))/COUNTA(Responses!IM2:IM8000),0)</f>
        <v>0</v>
      </c>
      <c r="IN1">
        <f>IFERROR(SUMPRODUCT((Responses!IN2:IN8000&lt;&gt;"")/COUNTIF(Responses!IN2:IN8000,Responses!IN2:IN8000&amp;""))/COUNTA(Responses!IN2:IN8000),0)</f>
        <v>0</v>
      </c>
      <c r="IO1">
        <f>IFERROR(SUMPRODUCT((Responses!IO2:IO8000&lt;&gt;"")/COUNTIF(Responses!IO2:IO8000,Responses!IO2:IO8000&amp;""))/COUNTA(Responses!IO2:IO8000),0)</f>
        <v>0</v>
      </c>
      <c r="IP1">
        <f>IFERROR(SUMPRODUCT((Responses!IP2:IP8000&lt;&gt;"")/COUNTIF(Responses!IP2:IP8000,Responses!IP2:IP8000&amp;""))/COUNTA(Responses!IP2:IP8000),0)</f>
        <v>0</v>
      </c>
      <c r="IQ1">
        <f>IFERROR(SUMPRODUCT((Responses!IQ2:IQ8000&lt;&gt;"")/COUNTIF(Responses!IQ2:IQ8000,Responses!IQ2:IQ8000&amp;""))/COUNTA(Responses!IQ2:IQ8000),0)</f>
        <v>0</v>
      </c>
      <c r="IR1">
        <f>IFERROR(SUMPRODUCT((Responses!IR2:IR8000&lt;&gt;"")/COUNTIF(Responses!IR2:IR8000,Responses!IR2:IR8000&amp;""))/COUNTA(Responses!IR2:IR8000),0)</f>
        <v>0</v>
      </c>
      <c r="IS1">
        <f>IFERROR(SUMPRODUCT((Responses!IS2:IS8000&lt;&gt;"")/COUNTIF(Responses!IS2:IS8000,Responses!IS2:IS8000&amp;""))/COUNTA(Responses!IS2:IS8000),0)</f>
        <v>0</v>
      </c>
      <c r="IT1">
        <f>IFERROR(SUMPRODUCT((Responses!IT2:IT8000&lt;&gt;"")/COUNTIF(Responses!IT2:IT8000,Responses!IT2:IT8000&amp;""))/COUNTA(Responses!IT2:IT8000),0)</f>
        <v>0</v>
      </c>
      <c r="IU1">
        <f>IFERROR(SUMPRODUCT((Responses!IU2:IU8000&lt;&gt;"")/COUNTIF(Responses!IU2:IU8000,Responses!IU2:IU8000&amp;""))/COUNTA(Responses!IU2:IU8000),0)</f>
        <v>0</v>
      </c>
      <c r="IV1">
        <f>IFERROR(SUMPRODUCT((Responses!IV2:IV8000&lt;&gt;"")/COUNTIF(Responses!IV2:IV8000,Responses!IV2:IV8000&amp;""))/COUNTA(Responses!IV2:IV8000),0)</f>
        <v>0</v>
      </c>
      <c r="IW1">
        <f>IFERROR(SUMPRODUCT((Responses!IW2:IW8000&lt;&gt;"")/COUNTIF(Responses!IW2:IW8000,Responses!IW2:IW8000&amp;""))/COUNTA(Responses!IW2:IW8000),0)</f>
        <v>0</v>
      </c>
      <c r="IX1">
        <f>IFERROR(SUMPRODUCT((Responses!IX2:IX8000&lt;&gt;"")/COUNTIF(Responses!IX2:IX8000,Responses!IX2:IX8000&amp;""))/COUNTA(Responses!IX2:IX8000),0)</f>
        <v>0</v>
      </c>
      <c r="IY1">
        <f>IFERROR(SUMPRODUCT((Responses!IY2:IY8000&lt;&gt;"")/COUNTIF(Responses!IY2:IY8000,Responses!IY2:IY8000&amp;""))/COUNTA(Responses!IY2:IY8000),0)</f>
        <v>0</v>
      </c>
      <c r="IZ1">
        <f>IFERROR(SUMPRODUCT((Responses!IZ2:IZ8000&lt;&gt;"")/COUNTIF(Responses!IZ2:IZ8000,Responses!IZ2:IZ8000&amp;""))/COUNTA(Responses!IZ2:IZ8000),0)</f>
        <v>0</v>
      </c>
      <c r="JA1">
        <f>IFERROR(SUMPRODUCT((Responses!JA2:JA8000&lt;&gt;"")/COUNTIF(Responses!JA2:JA8000,Responses!JA2:JA8000&amp;""))/COUNTA(Responses!JA2:JA8000),0)</f>
        <v>0</v>
      </c>
      <c r="JB1">
        <f>IFERROR(SUMPRODUCT((Responses!JB2:JB8000&lt;&gt;"")/COUNTIF(Responses!JB2:JB8000,Responses!JB2:JB8000&amp;""))/COUNTA(Responses!JB2:JB8000),0)</f>
        <v>0</v>
      </c>
      <c r="JC1">
        <f>IFERROR(SUMPRODUCT((Responses!JC2:JC8000&lt;&gt;"")/COUNTIF(Responses!JC2:JC8000,Responses!JC2:JC8000&amp;""))/COUNTA(Responses!JC2:JC8000),0)</f>
        <v>0</v>
      </c>
      <c r="JD1">
        <f>IFERROR(SUMPRODUCT((Responses!JD2:JD8000&lt;&gt;"")/COUNTIF(Responses!JD2:JD8000,Responses!JD2:JD8000&amp;""))/COUNTA(Responses!JD2:JD8000),0)</f>
        <v>0</v>
      </c>
      <c r="JE1">
        <f>IFERROR(SUMPRODUCT((Responses!JE2:JE8000&lt;&gt;"")/COUNTIF(Responses!JE2:JE8000,Responses!JE2:JE8000&amp;""))/COUNTA(Responses!JE2:JE8000),0)</f>
        <v>0</v>
      </c>
      <c r="JF1">
        <f>IFERROR(SUMPRODUCT((Responses!JF2:JF8000&lt;&gt;"")/COUNTIF(Responses!JF2:JF8000,Responses!JF2:JF8000&amp;""))/COUNTA(Responses!JF2:JF8000),0)</f>
        <v>0</v>
      </c>
      <c r="JG1">
        <f>IFERROR(SUMPRODUCT((Responses!JG2:JG8000&lt;&gt;"")/COUNTIF(Responses!JG2:JG8000,Responses!JG2:JG8000&amp;""))/COUNTA(Responses!JG2:JG8000),0)</f>
        <v>0</v>
      </c>
      <c r="JH1">
        <f>IFERROR(SUMPRODUCT((Responses!JH2:JH8000&lt;&gt;"")/COUNTIF(Responses!JH2:JH8000,Responses!JH2:JH8000&amp;""))/COUNTA(Responses!JH2:JH8000),0)</f>
        <v>0</v>
      </c>
      <c r="JI1">
        <f>IFERROR(SUMPRODUCT((Responses!JI2:JI8000&lt;&gt;"")/COUNTIF(Responses!JI2:JI8000,Responses!JI2:JI8000&amp;""))/COUNTA(Responses!JI2:JI8000),0)</f>
        <v>0</v>
      </c>
      <c r="JJ1">
        <f>IFERROR(SUMPRODUCT((Responses!JJ2:JJ8000&lt;&gt;"")/COUNTIF(Responses!JJ2:JJ8000,Responses!JJ2:JJ8000&amp;""))/COUNTA(Responses!JJ2:JJ8000),0)</f>
        <v>0</v>
      </c>
      <c r="JK1">
        <f>IFERROR(SUMPRODUCT((Responses!JK2:JK8000&lt;&gt;"")/COUNTIF(Responses!JK2:JK8000,Responses!JK2:JK8000&amp;""))/COUNTA(Responses!JK2:JK8000),0)</f>
        <v>0</v>
      </c>
      <c r="JL1">
        <f>IFERROR(SUMPRODUCT((Responses!JL2:JL8000&lt;&gt;"")/COUNTIF(Responses!JL2:JL8000,Responses!JL2:JL8000&amp;""))/COUNTA(Responses!JL2:JL8000),0)</f>
        <v>0</v>
      </c>
      <c r="JM1">
        <f>IFERROR(SUMPRODUCT((Responses!JM2:JM8000&lt;&gt;"")/COUNTIF(Responses!JM2:JM8000,Responses!JM2:JM8000&amp;""))/COUNTA(Responses!JM2:JM8000),0)</f>
        <v>0</v>
      </c>
      <c r="JN1">
        <f>IFERROR(SUMPRODUCT((Responses!JN2:JN8000&lt;&gt;"")/COUNTIF(Responses!JN2:JN8000,Responses!JN2:JN8000&amp;""))/COUNTA(Responses!JN2:JN8000),0)</f>
        <v>0</v>
      </c>
      <c r="JO1">
        <f>IFERROR(SUMPRODUCT((Responses!JO2:JO8000&lt;&gt;"")/COUNTIF(Responses!JO2:JO8000,Responses!JO2:JO8000&amp;""))/COUNTA(Responses!JO2:JO8000),0)</f>
        <v>0</v>
      </c>
      <c r="JP1">
        <f>IFERROR(SUMPRODUCT((Responses!JP2:JP8000&lt;&gt;"")/COUNTIF(Responses!JP2:JP8000,Responses!JP2:JP8000&amp;""))/COUNTA(Responses!JP2:JP8000),0)</f>
        <v>0</v>
      </c>
      <c r="JQ1">
        <f>IFERROR(SUMPRODUCT((Responses!JQ2:JQ8000&lt;&gt;"")/COUNTIF(Responses!JQ2:JQ8000,Responses!JQ2:JQ8000&amp;""))/COUNTA(Responses!JQ2:JQ8000),0)</f>
        <v>0</v>
      </c>
      <c r="JR1">
        <f>IFERROR(SUMPRODUCT((Responses!JR2:JR8000&lt;&gt;"")/COUNTIF(Responses!JR2:JR8000,Responses!JR2:JR8000&amp;""))/COUNTA(Responses!JR2:JR8000),0)</f>
        <v>0</v>
      </c>
      <c r="JS1">
        <f>IFERROR(SUMPRODUCT((Responses!JS2:JS8000&lt;&gt;"")/COUNTIF(Responses!JS2:JS8000,Responses!JS2:JS8000&amp;""))/COUNTA(Responses!JS2:JS8000),0)</f>
        <v>0</v>
      </c>
      <c r="JT1">
        <f>IFERROR(SUMPRODUCT((Responses!JT2:JT8000&lt;&gt;"")/COUNTIF(Responses!JT2:JT8000,Responses!JT2:JT8000&amp;""))/COUNTA(Responses!JT2:JT8000),0)</f>
        <v>0</v>
      </c>
      <c r="JU1">
        <f>IFERROR(SUMPRODUCT((Responses!JU2:JU8000&lt;&gt;"")/COUNTIF(Responses!JU2:JU8000,Responses!JU2:JU8000&amp;""))/COUNTA(Responses!JU2:JU8000),0)</f>
        <v>0</v>
      </c>
      <c r="JV1">
        <f>IFERROR(SUMPRODUCT((Responses!JV2:JV8000&lt;&gt;"")/COUNTIF(Responses!JV2:JV8000,Responses!JV2:JV8000&amp;""))/COUNTA(Responses!JV2:JV8000),0)</f>
        <v>0</v>
      </c>
      <c r="JW1">
        <f>IFERROR(SUMPRODUCT((Responses!JW2:JW8000&lt;&gt;"")/COUNTIF(Responses!JW2:JW8000,Responses!JW2:JW8000&amp;""))/COUNTA(Responses!JW2:JW8000),0)</f>
        <v>0</v>
      </c>
      <c r="JX1">
        <f>IFERROR(SUMPRODUCT((Responses!JX2:JX8000&lt;&gt;"")/COUNTIF(Responses!JX2:JX8000,Responses!JX2:JX8000&amp;""))/COUNTA(Responses!JX2:JX8000),0)</f>
        <v>0</v>
      </c>
      <c r="JY1">
        <f>IFERROR(SUMPRODUCT((Responses!JY2:JY8000&lt;&gt;"")/COUNTIF(Responses!JY2:JY8000,Responses!JY2:JY8000&amp;""))/COUNTA(Responses!JY2:JY8000),0)</f>
        <v>0</v>
      </c>
      <c r="JZ1">
        <f>IFERROR(SUMPRODUCT((Responses!JZ2:JZ8000&lt;&gt;"")/COUNTIF(Responses!JZ2:JZ8000,Responses!JZ2:JZ8000&amp;""))/COUNTA(Responses!JZ2:JZ8000),0)</f>
        <v>0</v>
      </c>
      <c r="KA1">
        <f>IFERROR(SUMPRODUCT((Responses!KA2:KA8000&lt;&gt;"")/COUNTIF(Responses!KA2:KA8000,Responses!KA2:KA8000&amp;""))/COUNTA(Responses!KA2:KA8000),0)</f>
        <v>0</v>
      </c>
      <c r="KB1">
        <f>IFERROR(SUMPRODUCT((Responses!KB2:KB8000&lt;&gt;"")/COUNTIF(Responses!KB2:KB8000,Responses!KB2:KB8000&amp;""))/COUNTA(Responses!KB2:KB8000),0)</f>
        <v>0</v>
      </c>
      <c r="KC1">
        <f>IFERROR(SUMPRODUCT((Responses!KC2:KC8000&lt;&gt;"")/COUNTIF(Responses!KC2:KC8000,Responses!KC2:KC8000&amp;""))/COUNTA(Responses!KC2:KC8000),0)</f>
        <v>0</v>
      </c>
      <c r="KD1">
        <f>IFERROR(SUMPRODUCT((Responses!KD2:KD8000&lt;&gt;"")/COUNTIF(Responses!KD2:KD8000,Responses!KD2:KD8000&amp;""))/COUNTA(Responses!KD2:KD8000),0)</f>
        <v>0</v>
      </c>
      <c r="KE1">
        <f>IFERROR(SUMPRODUCT((Responses!KE2:KE8000&lt;&gt;"")/COUNTIF(Responses!KE2:KE8000,Responses!KE2:KE8000&amp;""))/COUNTA(Responses!KE2:KE8000),0)</f>
        <v>0</v>
      </c>
      <c r="KF1">
        <f>IFERROR(SUMPRODUCT((Responses!KF2:KF8000&lt;&gt;"")/COUNTIF(Responses!KF2:KF8000,Responses!KF2:KF8000&amp;""))/COUNTA(Responses!KF2:KF8000),0)</f>
        <v>0</v>
      </c>
      <c r="KG1">
        <f>IFERROR(SUMPRODUCT((Responses!KG2:KG8000&lt;&gt;"")/COUNTIF(Responses!KG2:KG8000,Responses!KG2:KG8000&amp;""))/COUNTA(Responses!KG2:KG8000),0)</f>
        <v>0</v>
      </c>
      <c r="KH1">
        <f>IFERROR(SUMPRODUCT((Responses!KH2:KH8000&lt;&gt;"")/COUNTIF(Responses!KH2:KH8000,Responses!KH2:KH8000&amp;""))/COUNTA(Responses!KH2:KH8000),0)</f>
        <v>0</v>
      </c>
      <c r="KI1">
        <f>IFERROR(SUMPRODUCT((Responses!KI2:KI8000&lt;&gt;"")/COUNTIF(Responses!KI2:KI8000,Responses!KI2:KI8000&amp;""))/COUNTA(Responses!KI2:KI8000),0)</f>
        <v>0</v>
      </c>
      <c r="KJ1">
        <f>IFERROR(SUMPRODUCT((Responses!KJ2:KJ8000&lt;&gt;"")/COUNTIF(Responses!KJ2:KJ8000,Responses!KJ2:KJ8000&amp;""))/COUNTA(Responses!KJ2:KJ8000),0)</f>
        <v>0</v>
      </c>
      <c r="KK1">
        <f>IFERROR(SUMPRODUCT((Responses!KK2:KK8000&lt;&gt;"")/COUNTIF(Responses!KK2:KK8000,Responses!KK2:KK8000&amp;""))/COUNTA(Responses!KK2:KK8000),0)</f>
        <v>0</v>
      </c>
      <c r="KL1">
        <f>IFERROR(SUMPRODUCT((Responses!KL2:KL8000&lt;&gt;"")/COUNTIF(Responses!KL2:KL8000,Responses!KL2:KL8000&amp;""))/COUNTA(Responses!KL2:KL8000),0)</f>
        <v>0</v>
      </c>
      <c r="KM1">
        <f>IFERROR(SUMPRODUCT((Responses!KM2:KM8000&lt;&gt;"")/COUNTIF(Responses!KM2:KM8000,Responses!KM2:KM8000&amp;""))/COUNTA(Responses!KM2:KM8000),0)</f>
        <v>0</v>
      </c>
      <c r="KN1">
        <f>IFERROR(SUMPRODUCT((Responses!KN2:KN8000&lt;&gt;"")/COUNTIF(Responses!KN2:KN8000,Responses!KN2:KN8000&amp;""))/COUNTA(Responses!KN2:KN8000),0)</f>
        <v>0</v>
      </c>
      <c r="KO1">
        <f>IFERROR(SUMPRODUCT((Responses!KO2:KO8000&lt;&gt;"")/COUNTIF(Responses!KO2:KO8000,Responses!KO2:KO8000&amp;""))/COUNTA(Responses!KO2:KO8000),0)</f>
        <v>0</v>
      </c>
      <c r="KP1">
        <f>IFERROR(SUMPRODUCT((Responses!KP2:KP8000&lt;&gt;"")/COUNTIF(Responses!KP2:KP8000,Responses!KP2:KP8000&amp;""))/COUNTA(Responses!KP2:KP8000),0)</f>
        <v>0</v>
      </c>
      <c r="KQ1">
        <f>IFERROR(SUMPRODUCT((Responses!KQ2:KQ8000&lt;&gt;"")/COUNTIF(Responses!KQ2:KQ8000,Responses!KQ2:KQ8000&amp;""))/COUNTA(Responses!KQ2:KQ8000),0)</f>
        <v>0</v>
      </c>
      <c r="KR1">
        <f>IFERROR(SUMPRODUCT((Responses!KR2:KR8000&lt;&gt;"")/COUNTIF(Responses!KR2:KR8000,Responses!KR2:KR8000&amp;""))/COUNTA(Responses!KR2:KR8000),0)</f>
        <v>0</v>
      </c>
      <c r="KS1">
        <f>IFERROR(SUMPRODUCT((Responses!KS2:KS8000&lt;&gt;"")/COUNTIF(Responses!KS2:KS8000,Responses!KS2:KS8000&amp;""))/COUNTA(Responses!KS2:KS8000),0)</f>
        <v>0</v>
      </c>
      <c r="KT1">
        <f>IFERROR(SUMPRODUCT((Responses!KT2:KT8000&lt;&gt;"")/COUNTIF(Responses!KT2:KT8000,Responses!KT2:KT8000&amp;""))/COUNTA(Responses!KT2:KT8000),0)</f>
        <v>0</v>
      </c>
      <c r="KU1">
        <f>IFERROR(SUMPRODUCT((Responses!KU2:KU8000&lt;&gt;"")/COUNTIF(Responses!KU2:KU8000,Responses!KU2:KU8000&amp;""))/COUNTA(Responses!KU2:KU8000),0)</f>
        <v>0</v>
      </c>
      <c r="KV1">
        <f>IFERROR(SUMPRODUCT((Responses!KV2:KV8000&lt;&gt;"")/COUNTIF(Responses!KV2:KV8000,Responses!KV2:KV8000&amp;""))/COUNTA(Responses!KV2:KV8000),0)</f>
        <v>0</v>
      </c>
      <c r="KW1">
        <f>IFERROR(SUMPRODUCT((Responses!KW2:KW8000&lt;&gt;"")/COUNTIF(Responses!KW2:KW8000,Responses!KW2:KW8000&amp;""))/COUNTA(Responses!KW2:KW8000),0)</f>
        <v>0</v>
      </c>
      <c r="KX1">
        <f>IFERROR(SUMPRODUCT((Responses!KX2:KX8000&lt;&gt;"")/COUNTIF(Responses!KX2:KX8000,Responses!KX2:KX8000&amp;""))/COUNTA(Responses!KX2:KX8000),0)</f>
        <v>0</v>
      </c>
      <c r="KY1">
        <f>IFERROR(SUMPRODUCT((Responses!KY2:KY8000&lt;&gt;"")/COUNTIF(Responses!KY2:KY8000,Responses!KY2:KY8000&amp;""))/COUNTA(Responses!KY2:KY8000),0)</f>
        <v>0</v>
      </c>
      <c r="KZ1">
        <f>IFERROR(SUMPRODUCT((Responses!KZ2:KZ8000&lt;&gt;"")/COUNTIF(Responses!KZ2:KZ8000,Responses!KZ2:KZ8000&amp;""))/COUNTA(Responses!KZ2:KZ8000),0)</f>
        <v>0</v>
      </c>
      <c r="LA1">
        <f>IFERROR(SUMPRODUCT((Responses!LA2:LA8000&lt;&gt;"")/COUNTIF(Responses!LA2:LA8000,Responses!LA2:LA8000&amp;""))/COUNTA(Responses!LA2:LA8000),0)</f>
        <v>0</v>
      </c>
      <c r="LB1">
        <f>IFERROR(SUMPRODUCT((Responses!LB2:LB8000&lt;&gt;"")/COUNTIF(Responses!LB2:LB8000,Responses!LB2:LB8000&amp;""))/COUNTA(Responses!LB2:LB8000),0)</f>
        <v>0</v>
      </c>
      <c r="LC1">
        <f>IFERROR(SUMPRODUCT((Responses!LC2:LC8000&lt;&gt;"")/COUNTIF(Responses!LC2:LC8000,Responses!LC2:LC8000&amp;""))/COUNTA(Responses!LC2:LC8000),0)</f>
        <v>0</v>
      </c>
      <c r="LD1">
        <f>IFERROR(SUMPRODUCT((Responses!LD2:LD8000&lt;&gt;"")/COUNTIF(Responses!LD2:LD8000,Responses!LD2:LD8000&amp;""))/COUNTA(Responses!LD2:LD8000),0)</f>
        <v>0</v>
      </c>
      <c r="LE1">
        <f>IFERROR(SUMPRODUCT((Responses!LE2:LE8000&lt;&gt;"")/COUNTIF(Responses!LE2:LE8000,Responses!LE2:LE8000&amp;""))/COUNTA(Responses!LE2:LE8000),0)</f>
        <v>0</v>
      </c>
      <c r="LF1">
        <f>IFERROR(SUMPRODUCT((Responses!LF2:LF8000&lt;&gt;"")/COUNTIF(Responses!LF2:LF8000,Responses!LF2:LF8000&amp;""))/COUNTA(Responses!LF2:LF8000),0)</f>
        <v>0</v>
      </c>
      <c r="LG1">
        <f>IFERROR(SUMPRODUCT((Responses!LG2:LG8000&lt;&gt;"")/COUNTIF(Responses!LG2:LG8000,Responses!LG2:LG8000&amp;""))/COUNTA(Responses!LG2:LG8000),0)</f>
        <v>0</v>
      </c>
      <c r="LH1">
        <f>IFERROR(SUMPRODUCT((Responses!LH2:LH8000&lt;&gt;"")/COUNTIF(Responses!LH2:LH8000,Responses!LH2:LH8000&amp;""))/COUNTA(Responses!LH2:LH8000),0)</f>
        <v>0</v>
      </c>
      <c r="LI1">
        <f>IFERROR(SUMPRODUCT((Responses!LI2:LI8000&lt;&gt;"")/COUNTIF(Responses!LI2:LI8000,Responses!LI2:LI8000&amp;""))/COUNTA(Responses!LI2:LI8000),0)</f>
        <v>0</v>
      </c>
      <c r="LJ1">
        <f>IFERROR(SUMPRODUCT((Responses!LJ2:LJ8000&lt;&gt;"")/COUNTIF(Responses!LJ2:LJ8000,Responses!LJ2:LJ8000&amp;""))/COUNTA(Responses!LJ2:LJ8000),0)</f>
        <v>0</v>
      </c>
      <c r="LK1">
        <f>IFERROR(SUMPRODUCT((Responses!LK2:LK8000&lt;&gt;"")/COUNTIF(Responses!LK2:LK8000,Responses!LK2:LK8000&amp;""))/COUNTA(Responses!LK2:LK8000),0)</f>
        <v>0</v>
      </c>
      <c r="LL1">
        <f>IFERROR(SUMPRODUCT((Responses!LL2:LL8000&lt;&gt;"")/COUNTIF(Responses!LL2:LL8000,Responses!LL2:LL8000&amp;""))/COUNTA(Responses!LL2:LL8000),0)</f>
        <v>0</v>
      </c>
      <c r="LM1">
        <f>IFERROR(SUMPRODUCT((Responses!LM2:LM8000&lt;&gt;"")/COUNTIF(Responses!LM2:LM8000,Responses!LM2:LM8000&amp;""))/COUNTA(Responses!LM2:LM8000),0)</f>
        <v>0</v>
      </c>
      <c r="LN1">
        <f>IFERROR(SUMPRODUCT((Responses!LN2:LN8000&lt;&gt;"")/COUNTIF(Responses!LN2:LN8000,Responses!LN2:LN8000&amp;""))/COUNTA(Responses!LN2:LN8000),0)</f>
        <v>0</v>
      </c>
      <c r="LO1">
        <f>IFERROR(SUMPRODUCT((Responses!LO2:LO8000&lt;&gt;"")/COUNTIF(Responses!LO2:LO8000,Responses!LO2:LO8000&amp;""))/COUNTA(Responses!LO2:LO8000),0)</f>
        <v>0</v>
      </c>
      <c r="LP1">
        <f>IFERROR(SUMPRODUCT((Responses!LP2:LP8000&lt;&gt;"")/COUNTIF(Responses!LP2:LP8000,Responses!LP2:LP8000&amp;""))/COUNTA(Responses!LP2:LP8000),0)</f>
        <v>0</v>
      </c>
      <c r="LQ1">
        <f>IFERROR(SUMPRODUCT((Responses!LQ2:LQ8000&lt;&gt;"")/COUNTIF(Responses!LQ2:LQ8000,Responses!LQ2:LQ8000&amp;""))/COUNTA(Responses!LQ2:LQ8000),0)</f>
        <v>0</v>
      </c>
      <c r="LR1">
        <f>IFERROR(SUMPRODUCT((Responses!LR2:LR8000&lt;&gt;"")/COUNTIF(Responses!LR2:LR8000,Responses!LR2:LR8000&amp;""))/COUNTA(Responses!LR2:LR8000),0)</f>
        <v>0</v>
      </c>
      <c r="LS1">
        <f>IFERROR(SUMPRODUCT((Responses!LS2:LS8000&lt;&gt;"")/COUNTIF(Responses!LS2:LS8000,Responses!LS2:LS8000&amp;""))/COUNTA(Responses!LS2:LS8000),0)</f>
        <v>0</v>
      </c>
      <c r="LT1">
        <f>IFERROR(SUMPRODUCT((Responses!LT2:LT8000&lt;&gt;"")/COUNTIF(Responses!LT2:LT8000,Responses!LT2:LT8000&amp;""))/COUNTA(Responses!LT2:LT8000),0)</f>
        <v>0</v>
      </c>
      <c r="LU1">
        <f>IFERROR(SUMPRODUCT((Responses!LU2:LU8000&lt;&gt;"")/COUNTIF(Responses!LU2:LU8000,Responses!LU2:LU8000&amp;""))/COUNTA(Responses!LU2:LU8000),0)</f>
        <v>0</v>
      </c>
      <c r="LV1">
        <f>IFERROR(SUMPRODUCT((Responses!LV2:LV8000&lt;&gt;"")/COUNTIF(Responses!LV2:LV8000,Responses!LV2:LV8000&amp;""))/COUNTA(Responses!LV2:LV8000),0)</f>
        <v>0</v>
      </c>
      <c r="LW1">
        <f>IFERROR(SUMPRODUCT((Responses!LW2:LW8000&lt;&gt;"")/COUNTIF(Responses!LW2:LW8000,Responses!LW2:LW8000&amp;""))/COUNTA(Responses!LW2:LW8000),0)</f>
        <v>0</v>
      </c>
      <c r="LX1">
        <f>IFERROR(SUMPRODUCT((Responses!LX2:LX8000&lt;&gt;"")/COUNTIF(Responses!LX2:LX8000,Responses!LX2:LX8000&amp;""))/COUNTA(Responses!LX2:LX8000),0)</f>
        <v>0</v>
      </c>
      <c r="LY1">
        <f>IFERROR(SUMPRODUCT((Responses!LY2:LY8000&lt;&gt;"")/COUNTIF(Responses!LY2:LY8000,Responses!LY2:LY8000&amp;""))/COUNTA(Responses!LY2:LY8000),0)</f>
        <v>0</v>
      </c>
      <c r="LZ1">
        <f>IFERROR(SUMPRODUCT((Responses!LZ2:LZ8000&lt;&gt;"")/COUNTIF(Responses!LZ2:LZ8000,Responses!LZ2:LZ8000&amp;""))/COUNTA(Responses!LZ2:LZ8000),0)</f>
        <v>0</v>
      </c>
      <c r="MA1">
        <f>IFERROR(SUMPRODUCT((Responses!MA2:MA8000&lt;&gt;"")/COUNTIF(Responses!MA2:MA8000,Responses!MA2:MA8000&amp;""))/COUNTA(Responses!MA2:MA8000),0)</f>
        <v>0</v>
      </c>
      <c r="MB1">
        <f>IFERROR(SUMPRODUCT((Responses!MB2:MB8000&lt;&gt;"")/COUNTIF(Responses!MB2:MB8000,Responses!MB2:MB8000&amp;""))/COUNTA(Responses!MB2:MB8000),0)</f>
        <v>0</v>
      </c>
      <c r="MC1">
        <f>IFERROR(SUMPRODUCT((Responses!MC2:MC8000&lt;&gt;"")/COUNTIF(Responses!MC2:MC8000,Responses!MC2:MC8000&amp;""))/COUNTA(Responses!MC2:MC8000),0)</f>
        <v>0</v>
      </c>
      <c r="MD1">
        <f>IFERROR(SUMPRODUCT((Responses!MD2:MD8000&lt;&gt;"")/COUNTIF(Responses!MD2:MD8000,Responses!MD2:MD8000&amp;""))/COUNTA(Responses!MD2:MD8000),0)</f>
        <v>0</v>
      </c>
      <c r="ME1">
        <f>IFERROR(SUMPRODUCT((Responses!ME2:ME8000&lt;&gt;"")/COUNTIF(Responses!ME2:ME8000,Responses!ME2:ME8000&amp;""))/COUNTA(Responses!ME2:ME8000),0)</f>
        <v>0</v>
      </c>
      <c r="MF1">
        <f>IFERROR(SUMPRODUCT((Responses!MF2:MF8000&lt;&gt;"")/COUNTIF(Responses!MF2:MF8000,Responses!MF2:MF8000&amp;""))/COUNTA(Responses!MF2:MF8000),0)</f>
        <v>0</v>
      </c>
      <c r="MG1">
        <f>IFERROR(SUMPRODUCT((Responses!MG2:MG8000&lt;&gt;"")/COUNTIF(Responses!MG2:MG8000,Responses!MG2:MG8000&amp;""))/COUNTA(Responses!MG2:MG8000),0)</f>
        <v>0</v>
      </c>
      <c r="MH1">
        <f>IFERROR(SUMPRODUCT((Responses!MH2:MH8000&lt;&gt;"")/COUNTIF(Responses!MH2:MH8000,Responses!MH2:MH8000&amp;""))/COUNTA(Responses!MH2:MH8000),0)</f>
        <v>0</v>
      </c>
      <c r="MI1">
        <f>IFERROR(SUMPRODUCT((Responses!MI2:MI8000&lt;&gt;"")/COUNTIF(Responses!MI2:MI8000,Responses!MI2:MI8000&amp;""))/COUNTA(Responses!MI2:MI8000),0)</f>
        <v>0</v>
      </c>
      <c r="MJ1">
        <f>IFERROR(SUMPRODUCT((Responses!MJ2:MJ8000&lt;&gt;"")/COUNTIF(Responses!MJ2:MJ8000,Responses!MJ2:MJ8000&amp;""))/COUNTA(Responses!MJ2:MJ8000),0)</f>
        <v>0</v>
      </c>
      <c r="MK1">
        <f>IFERROR(SUMPRODUCT((Responses!MK2:MK8000&lt;&gt;"")/COUNTIF(Responses!MK2:MK8000,Responses!MK2:MK8000&amp;""))/COUNTA(Responses!MK2:MK8000),0)</f>
        <v>0</v>
      </c>
      <c r="ML1">
        <f>IFERROR(SUMPRODUCT((Responses!ML2:ML8000&lt;&gt;"")/COUNTIF(Responses!ML2:ML8000,Responses!ML2:ML8000&amp;""))/COUNTA(Responses!ML2:ML8000),0)</f>
        <v>0</v>
      </c>
      <c r="MM1">
        <f>IFERROR(SUMPRODUCT((Responses!MM2:MM8000&lt;&gt;"")/COUNTIF(Responses!MM2:MM8000,Responses!MM2:MM8000&amp;""))/COUNTA(Responses!MM2:MM8000),0)</f>
        <v>0</v>
      </c>
      <c r="MN1">
        <f>IFERROR(SUMPRODUCT((Responses!MN2:MN8000&lt;&gt;"")/COUNTIF(Responses!MN2:MN8000,Responses!MN2:MN8000&amp;""))/COUNTA(Responses!MN2:MN8000),0)</f>
        <v>0</v>
      </c>
      <c r="MO1">
        <f>IFERROR(SUMPRODUCT((Responses!MO2:MO8000&lt;&gt;"")/COUNTIF(Responses!MO2:MO8000,Responses!MO2:MO8000&amp;""))/COUNTA(Responses!MO2:MO8000),0)</f>
        <v>0</v>
      </c>
      <c r="MP1">
        <f>IFERROR(SUMPRODUCT((Responses!MP2:MP8000&lt;&gt;"")/COUNTIF(Responses!MP2:MP8000,Responses!MP2:MP8000&amp;""))/COUNTA(Responses!MP2:MP8000),0)</f>
        <v>0</v>
      </c>
      <c r="MQ1">
        <f>IFERROR(SUMPRODUCT((Responses!MQ2:MQ8000&lt;&gt;"")/COUNTIF(Responses!MQ2:MQ8000,Responses!MQ2:MQ8000&amp;""))/COUNTA(Responses!MQ2:MQ8000),0)</f>
        <v>0</v>
      </c>
      <c r="MR1">
        <f>IFERROR(SUMPRODUCT((Responses!MR2:MR8000&lt;&gt;"")/COUNTIF(Responses!MR2:MR8000,Responses!MR2:MR8000&amp;""))/COUNTA(Responses!MR2:MR8000),0)</f>
        <v>0</v>
      </c>
      <c r="MS1">
        <f>IFERROR(SUMPRODUCT((Responses!MS2:MS8000&lt;&gt;"")/COUNTIF(Responses!MS2:MS8000,Responses!MS2:MS8000&amp;""))/COUNTA(Responses!MS2:MS8000),0)</f>
        <v>0</v>
      </c>
      <c r="MT1">
        <f>IFERROR(SUMPRODUCT((Responses!MT2:MT8000&lt;&gt;"")/COUNTIF(Responses!MT2:MT8000,Responses!MT2:MT8000&amp;""))/COUNTA(Responses!MT2:MT8000),0)</f>
        <v>0</v>
      </c>
      <c r="MU1">
        <f>IFERROR(SUMPRODUCT((Responses!MU2:MU8000&lt;&gt;"")/COUNTIF(Responses!MU2:MU8000,Responses!MU2:MU8000&amp;""))/COUNTA(Responses!MU2:MU8000),0)</f>
        <v>0</v>
      </c>
      <c r="MV1">
        <f>IFERROR(SUMPRODUCT((Responses!MV2:MV8000&lt;&gt;"")/COUNTIF(Responses!MV2:MV8000,Responses!MV2:MV8000&amp;""))/COUNTA(Responses!MV2:MV8000),0)</f>
        <v>0</v>
      </c>
      <c r="MW1">
        <f>IFERROR(SUMPRODUCT((Responses!MW2:MW8000&lt;&gt;"")/COUNTIF(Responses!MW2:MW8000,Responses!MW2:MW8000&amp;""))/COUNTA(Responses!MW2:MW8000),0)</f>
        <v>0</v>
      </c>
      <c r="MX1">
        <f>IFERROR(SUMPRODUCT((Responses!MX2:MX8000&lt;&gt;"")/COUNTIF(Responses!MX2:MX8000,Responses!MX2:MX8000&amp;""))/COUNTA(Responses!MX2:MX8000),0)</f>
        <v>0</v>
      </c>
      <c r="MY1">
        <f>IFERROR(SUMPRODUCT((Responses!MY2:MY8000&lt;&gt;"")/COUNTIF(Responses!MY2:MY8000,Responses!MY2:MY8000&amp;""))/COUNTA(Responses!MY2:MY8000),0)</f>
        <v>0</v>
      </c>
      <c r="MZ1">
        <f>IFERROR(SUMPRODUCT((Responses!MZ2:MZ8000&lt;&gt;"")/COUNTIF(Responses!MZ2:MZ8000,Responses!MZ2:MZ8000&amp;""))/COUNTA(Responses!MZ2:MZ8000),0)</f>
        <v>0</v>
      </c>
      <c r="NA1">
        <f>IFERROR(SUMPRODUCT((Responses!NA2:NA8000&lt;&gt;"")/COUNTIF(Responses!NA2:NA8000,Responses!NA2:NA8000&amp;""))/COUNTA(Responses!NA2:NA8000),0)</f>
        <v>0</v>
      </c>
      <c r="NB1">
        <f>IFERROR(SUMPRODUCT((Responses!NB2:NB8000&lt;&gt;"")/COUNTIF(Responses!NB2:NB8000,Responses!NB2:NB8000&amp;""))/COUNTA(Responses!NB2:NB8000),0)</f>
        <v>0</v>
      </c>
      <c r="NC1">
        <f>IFERROR(SUMPRODUCT((Responses!NC2:NC8000&lt;&gt;"")/COUNTIF(Responses!NC2:NC8000,Responses!NC2:NC8000&amp;""))/COUNTA(Responses!NC2:NC8000),0)</f>
        <v>0</v>
      </c>
      <c r="ND1">
        <f>IFERROR(SUMPRODUCT((Responses!ND2:ND8000&lt;&gt;"")/COUNTIF(Responses!ND2:ND8000,Responses!ND2:ND8000&amp;""))/COUNTA(Responses!ND2:ND8000),0)</f>
        <v>0</v>
      </c>
      <c r="NE1">
        <f>IFERROR(SUMPRODUCT((Responses!NE2:NE8000&lt;&gt;"")/COUNTIF(Responses!NE2:NE8000,Responses!NE2:NE8000&amp;""))/COUNTA(Responses!NE2:NE8000),0)</f>
        <v>0</v>
      </c>
      <c r="NF1">
        <f>IFERROR(SUMPRODUCT((Responses!NF2:NF8000&lt;&gt;"")/COUNTIF(Responses!NF2:NF8000,Responses!NF2:NF8000&amp;""))/COUNTA(Responses!NF2:NF8000),0)</f>
        <v>0</v>
      </c>
      <c r="NG1">
        <f>IFERROR(SUMPRODUCT((Responses!NG2:NG8000&lt;&gt;"")/COUNTIF(Responses!NG2:NG8000,Responses!NG2:NG8000&amp;""))/COUNTA(Responses!NG2:NG8000),0)</f>
        <v>0</v>
      </c>
      <c r="NH1">
        <f>IFERROR(SUMPRODUCT((Responses!NH2:NH8000&lt;&gt;"")/COUNTIF(Responses!NH2:NH8000,Responses!NH2:NH8000&amp;""))/COUNTA(Responses!NH2:NH8000),0)</f>
        <v>0</v>
      </c>
      <c r="NI1">
        <f>IFERROR(SUMPRODUCT((Responses!NI2:NI8000&lt;&gt;"")/COUNTIF(Responses!NI2:NI8000,Responses!NI2:NI8000&amp;""))/COUNTA(Responses!NI2:NI8000),0)</f>
        <v>0</v>
      </c>
      <c r="NJ1">
        <f>IFERROR(SUMPRODUCT((Responses!NJ2:NJ8000&lt;&gt;"")/COUNTIF(Responses!NJ2:NJ8000,Responses!NJ2:NJ8000&amp;""))/COUNTA(Responses!NJ2:NJ8000),0)</f>
        <v>0</v>
      </c>
      <c r="NK1">
        <f>IFERROR(SUMPRODUCT((Responses!NK2:NK8000&lt;&gt;"")/COUNTIF(Responses!NK2:NK8000,Responses!NK2:NK8000&amp;""))/COUNTA(Responses!NK2:NK8000),0)</f>
        <v>0</v>
      </c>
      <c r="NL1">
        <f>IFERROR(SUMPRODUCT((Responses!NL2:NL8000&lt;&gt;"")/COUNTIF(Responses!NL2:NL8000,Responses!NL2:NL8000&amp;""))/COUNTA(Responses!NL2:NL8000),0)</f>
        <v>0</v>
      </c>
      <c r="NM1">
        <f>IFERROR(SUMPRODUCT((Responses!NM2:NM8000&lt;&gt;"")/COUNTIF(Responses!NM2:NM8000,Responses!NM2:NM8000&amp;""))/COUNTA(Responses!NM2:NM8000),0)</f>
        <v>0</v>
      </c>
      <c r="NN1">
        <f>IFERROR(SUMPRODUCT((Responses!NN2:NN8000&lt;&gt;"")/COUNTIF(Responses!NN2:NN8000,Responses!NN2:NN8000&amp;""))/COUNTA(Responses!NN2:NN8000),0)</f>
        <v>0</v>
      </c>
      <c r="NO1">
        <f>IFERROR(SUMPRODUCT((Responses!NO2:NO8000&lt;&gt;"")/COUNTIF(Responses!NO2:NO8000,Responses!NO2:NO8000&amp;""))/COUNTA(Responses!NO2:NO8000),0)</f>
        <v>0</v>
      </c>
      <c r="NP1">
        <f>IFERROR(SUMPRODUCT((Responses!NP2:NP8000&lt;&gt;"")/COUNTIF(Responses!NP2:NP8000,Responses!NP2:NP8000&amp;""))/COUNTA(Responses!NP2:NP8000),0)</f>
        <v>0</v>
      </c>
      <c r="NQ1">
        <f>IFERROR(SUMPRODUCT((Responses!NQ2:NQ8000&lt;&gt;"")/COUNTIF(Responses!NQ2:NQ8000,Responses!NQ2:NQ8000&amp;""))/COUNTA(Responses!NQ2:NQ8000),0)</f>
        <v>0</v>
      </c>
      <c r="NR1">
        <f>IFERROR(SUMPRODUCT((Responses!NR2:NR8000&lt;&gt;"")/COUNTIF(Responses!NR2:NR8000,Responses!NR2:NR8000&amp;""))/COUNTA(Responses!NR2:NR8000),0)</f>
        <v>0</v>
      </c>
      <c r="NS1">
        <f>IFERROR(SUMPRODUCT((Responses!NS2:NS8000&lt;&gt;"")/COUNTIF(Responses!NS2:NS8000,Responses!NS2:NS8000&amp;""))/COUNTA(Responses!NS2:NS8000),0)</f>
        <v>0</v>
      </c>
      <c r="NT1">
        <f>IFERROR(SUMPRODUCT((Responses!NT2:NT8000&lt;&gt;"")/COUNTIF(Responses!NT2:NT8000,Responses!NT2:NT8000&amp;""))/COUNTA(Responses!NT2:NT8000),0)</f>
        <v>0</v>
      </c>
      <c r="NU1">
        <f>IFERROR(SUMPRODUCT((Responses!NU2:NU8000&lt;&gt;"")/COUNTIF(Responses!NU2:NU8000,Responses!NU2:NU8000&amp;""))/COUNTA(Responses!NU2:NU8000),0)</f>
        <v>0</v>
      </c>
      <c r="NV1">
        <f>IFERROR(SUMPRODUCT((Responses!NV2:NV8000&lt;&gt;"")/COUNTIF(Responses!NV2:NV8000,Responses!NV2:NV8000&amp;""))/COUNTA(Responses!NV2:NV8000),0)</f>
        <v>0</v>
      </c>
      <c r="NW1">
        <f>IFERROR(SUMPRODUCT((Responses!NW2:NW8000&lt;&gt;"")/COUNTIF(Responses!NW2:NW8000,Responses!NW2:NW8000&amp;""))/COUNTA(Responses!NW2:NW8000),0)</f>
        <v>0</v>
      </c>
      <c r="NX1">
        <f>IFERROR(SUMPRODUCT((Responses!NX2:NX8000&lt;&gt;"")/COUNTIF(Responses!NX2:NX8000,Responses!NX2:NX8000&amp;""))/COUNTA(Responses!NX2:NX8000),0)</f>
        <v>0</v>
      </c>
      <c r="NY1">
        <f>IFERROR(SUMPRODUCT((Responses!NY2:NY8000&lt;&gt;"")/COUNTIF(Responses!NY2:NY8000,Responses!NY2:NY8000&amp;""))/COUNTA(Responses!NY2:NY8000),0)</f>
        <v>0</v>
      </c>
      <c r="NZ1">
        <f>IFERROR(SUMPRODUCT((Responses!NZ2:NZ8000&lt;&gt;"")/COUNTIF(Responses!NZ2:NZ8000,Responses!NZ2:NZ8000&amp;""))/COUNTA(Responses!NZ2:NZ8000),0)</f>
        <v>0</v>
      </c>
      <c r="OA1">
        <f>IFERROR(SUMPRODUCT((Responses!OA2:OA8000&lt;&gt;"")/COUNTIF(Responses!OA2:OA8000,Responses!OA2:OA8000&amp;""))/COUNTA(Responses!OA2:OA8000),0)</f>
        <v>0</v>
      </c>
      <c r="OB1">
        <f>IFERROR(SUMPRODUCT((Responses!OB2:OB8000&lt;&gt;"")/COUNTIF(Responses!OB2:OB8000,Responses!OB2:OB8000&amp;""))/COUNTA(Responses!OB2:OB8000),0)</f>
        <v>0</v>
      </c>
      <c r="OC1">
        <f>IFERROR(SUMPRODUCT((Responses!OC2:OC8000&lt;&gt;"")/COUNTIF(Responses!OC2:OC8000,Responses!OC2:OC8000&amp;""))/COUNTA(Responses!OC2:OC8000),0)</f>
        <v>0</v>
      </c>
      <c r="OD1">
        <f>IFERROR(SUMPRODUCT((Responses!OD2:OD8000&lt;&gt;"")/COUNTIF(Responses!OD2:OD8000,Responses!OD2:OD8000&amp;""))/COUNTA(Responses!OD2:OD8000),0)</f>
        <v>0</v>
      </c>
      <c r="OE1">
        <f>IFERROR(SUMPRODUCT((Responses!OE2:OE8000&lt;&gt;"")/COUNTIF(Responses!OE2:OE8000,Responses!OE2:OE8000&amp;""))/COUNTA(Responses!OE2:OE8000),0)</f>
        <v>0</v>
      </c>
      <c r="OF1">
        <f>IFERROR(SUMPRODUCT((Responses!OF2:OF8000&lt;&gt;"")/COUNTIF(Responses!OF2:OF8000,Responses!OF2:OF8000&amp;""))/COUNTA(Responses!OF2:OF8000),0)</f>
        <v>0</v>
      </c>
      <c r="OG1">
        <f>IFERROR(SUMPRODUCT((Responses!OG2:OG8000&lt;&gt;"")/COUNTIF(Responses!OG2:OG8000,Responses!OG2:OG8000&amp;""))/COUNTA(Responses!OG2:OG8000),0)</f>
        <v>0</v>
      </c>
      <c r="OH1">
        <f>IFERROR(SUMPRODUCT((Responses!OH2:OH8000&lt;&gt;"")/COUNTIF(Responses!OH2:OH8000,Responses!OH2:OH8000&amp;""))/COUNTA(Responses!OH2:OH8000),0)</f>
        <v>0</v>
      </c>
      <c r="OI1">
        <f>IFERROR(SUMPRODUCT((Responses!OI2:OI8000&lt;&gt;"")/COUNTIF(Responses!OI2:OI8000,Responses!OI2:OI8000&amp;""))/COUNTA(Responses!OI2:OI8000),0)</f>
        <v>0</v>
      </c>
      <c r="OJ1">
        <f>IFERROR(SUMPRODUCT((Responses!OJ2:OJ8000&lt;&gt;"")/COUNTIF(Responses!OJ2:OJ8000,Responses!OJ2:OJ8000&amp;""))/COUNTA(Responses!OJ2:OJ8000),0)</f>
        <v>0</v>
      </c>
      <c r="OK1">
        <f>IFERROR(SUMPRODUCT((Responses!OK2:OK8000&lt;&gt;"")/COUNTIF(Responses!OK2:OK8000,Responses!OK2:OK8000&amp;""))/COUNTA(Responses!OK2:OK8000),0)</f>
        <v>0</v>
      </c>
      <c r="OL1">
        <f>IFERROR(SUMPRODUCT((Responses!OL2:OL8000&lt;&gt;"")/COUNTIF(Responses!OL2:OL8000,Responses!OL2:OL8000&amp;""))/COUNTA(Responses!OL2:OL8000),0)</f>
        <v>0</v>
      </c>
      <c r="OM1">
        <f>IFERROR(SUMPRODUCT((Responses!OM2:OM8000&lt;&gt;"")/COUNTIF(Responses!OM2:OM8000,Responses!OM2:OM8000&amp;""))/COUNTA(Responses!OM2:OM8000),0)</f>
        <v>0</v>
      </c>
      <c r="ON1">
        <f>IFERROR(SUMPRODUCT((Responses!ON2:ON8000&lt;&gt;"")/COUNTIF(Responses!ON2:ON8000,Responses!ON2:ON8000&amp;""))/COUNTA(Responses!ON2:ON8000),0)</f>
        <v>0</v>
      </c>
      <c r="OO1">
        <f>IFERROR(SUMPRODUCT((Responses!OO2:OO8000&lt;&gt;"")/COUNTIF(Responses!OO2:OO8000,Responses!OO2:OO8000&amp;""))/COUNTA(Responses!OO2:OO8000),0)</f>
        <v>0</v>
      </c>
      <c r="OP1">
        <f>IFERROR(SUMPRODUCT((Responses!OP2:OP8000&lt;&gt;"")/COUNTIF(Responses!OP2:OP8000,Responses!OP2:OP8000&amp;""))/COUNTA(Responses!OP2:OP8000),0)</f>
        <v>0</v>
      </c>
      <c r="OQ1">
        <f>IFERROR(SUMPRODUCT((Responses!OQ2:OQ8000&lt;&gt;"")/COUNTIF(Responses!OQ2:OQ8000,Responses!OQ2:OQ8000&amp;""))/COUNTA(Responses!OQ2:OQ8000),0)</f>
        <v>0</v>
      </c>
      <c r="OR1">
        <f>IFERROR(SUMPRODUCT((Responses!OR2:OR8000&lt;&gt;"")/COUNTIF(Responses!OR2:OR8000,Responses!OR2:OR8000&amp;""))/COUNTA(Responses!OR2:OR8000),0)</f>
        <v>0</v>
      </c>
      <c r="OS1">
        <f>IFERROR(SUMPRODUCT((Responses!OS2:OS8000&lt;&gt;"")/COUNTIF(Responses!OS2:OS8000,Responses!OS2:OS8000&amp;""))/COUNTA(Responses!OS2:OS8000),0)</f>
        <v>0</v>
      </c>
      <c r="OT1">
        <f>IFERROR(SUMPRODUCT((Responses!OT2:OT8000&lt;&gt;"")/COUNTIF(Responses!OT2:OT8000,Responses!OT2:OT8000&amp;""))/COUNTA(Responses!OT2:OT8000),0)</f>
        <v>0</v>
      </c>
      <c r="OU1">
        <f>IFERROR(SUMPRODUCT((Responses!OU2:OU8000&lt;&gt;"")/COUNTIF(Responses!OU2:OU8000,Responses!OU2:OU8000&amp;""))/COUNTA(Responses!OU2:OU8000),0)</f>
        <v>0</v>
      </c>
      <c r="OV1">
        <f>IFERROR(SUMPRODUCT((Responses!OV2:OV8000&lt;&gt;"")/COUNTIF(Responses!OV2:OV8000,Responses!OV2:OV8000&amp;""))/COUNTA(Responses!OV2:OV8000),0)</f>
        <v>0</v>
      </c>
      <c r="OW1">
        <f>IFERROR(SUMPRODUCT((Responses!OW2:OW8000&lt;&gt;"")/COUNTIF(Responses!OW2:OW8000,Responses!OW2:OW8000&amp;""))/COUNTA(Responses!OW2:OW8000),0)</f>
        <v>0</v>
      </c>
      <c r="OX1">
        <f>IFERROR(SUMPRODUCT((Responses!OX2:OX8000&lt;&gt;"")/COUNTIF(Responses!OX2:OX8000,Responses!OX2:OX8000&amp;""))/COUNTA(Responses!OX2:OX8000),0)</f>
        <v>0</v>
      </c>
      <c r="OY1">
        <f>IFERROR(SUMPRODUCT((Responses!OY2:OY8000&lt;&gt;"")/COUNTIF(Responses!OY2:OY8000,Responses!OY2:OY8000&amp;""))/COUNTA(Responses!OY2:OY8000),0)</f>
        <v>0</v>
      </c>
      <c r="OZ1">
        <f>IFERROR(SUMPRODUCT((Responses!OZ2:OZ8000&lt;&gt;"")/COUNTIF(Responses!OZ2:OZ8000,Responses!OZ2:OZ8000&amp;""))/COUNTA(Responses!OZ2:OZ8000),0)</f>
        <v>0</v>
      </c>
      <c r="PA1">
        <f>IFERROR(SUMPRODUCT((Responses!PA2:PA8000&lt;&gt;"")/COUNTIF(Responses!PA2:PA8000,Responses!PA2:PA8000&amp;""))/COUNTA(Responses!PA2:PA8000),0)</f>
        <v>0</v>
      </c>
      <c r="PB1">
        <f>IFERROR(SUMPRODUCT((Responses!PB2:PB8000&lt;&gt;"")/COUNTIF(Responses!PB2:PB8000,Responses!PB2:PB8000&amp;""))/COUNTA(Responses!PB2:PB8000),0)</f>
        <v>0</v>
      </c>
      <c r="PC1">
        <f>IFERROR(SUMPRODUCT((Responses!PC2:PC8000&lt;&gt;"")/COUNTIF(Responses!PC2:PC8000,Responses!PC2:PC8000&amp;""))/COUNTA(Responses!PC2:PC8000),0)</f>
        <v>0</v>
      </c>
      <c r="PD1">
        <f>IFERROR(SUMPRODUCT((Responses!PD2:PD8000&lt;&gt;"")/COUNTIF(Responses!PD2:PD8000,Responses!PD2:PD8000&amp;""))/COUNTA(Responses!PD2:PD8000),0)</f>
        <v>0</v>
      </c>
      <c r="PE1">
        <f>IFERROR(SUMPRODUCT((Responses!PE2:PE8000&lt;&gt;"")/COUNTIF(Responses!PE2:PE8000,Responses!PE2:PE8000&amp;""))/COUNTA(Responses!PE2:PE8000),0)</f>
        <v>0</v>
      </c>
      <c r="PF1">
        <f>IFERROR(SUMPRODUCT((Responses!PF2:PF8000&lt;&gt;"")/COUNTIF(Responses!PF2:PF8000,Responses!PF2:PF8000&amp;""))/COUNTA(Responses!PF2:PF8000),0)</f>
        <v>0</v>
      </c>
      <c r="PG1">
        <f>IFERROR(SUMPRODUCT((Responses!PG2:PG8000&lt;&gt;"")/COUNTIF(Responses!PG2:PG8000,Responses!PG2:PG8000&amp;""))/COUNTA(Responses!PG2:PG8000),0)</f>
        <v>0</v>
      </c>
      <c r="PH1">
        <f>IFERROR(SUMPRODUCT((Responses!PH2:PH8000&lt;&gt;"")/COUNTIF(Responses!PH2:PH8000,Responses!PH2:PH8000&amp;""))/COUNTA(Responses!PH2:PH8000),0)</f>
        <v>0</v>
      </c>
      <c r="PI1">
        <f>IFERROR(SUMPRODUCT((Responses!PI2:PI8000&lt;&gt;"")/COUNTIF(Responses!PI2:PI8000,Responses!PI2:PI8000&amp;""))/COUNTA(Responses!PI2:PI8000),0)</f>
        <v>0</v>
      </c>
      <c r="PJ1">
        <f>IFERROR(SUMPRODUCT((Responses!PJ2:PJ8000&lt;&gt;"")/COUNTIF(Responses!PJ2:PJ8000,Responses!PJ2:PJ8000&amp;""))/COUNTA(Responses!PJ2:PJ8000),0)</f>
        <v>0</v>
      </c>
      <c r="PK1">
        <f>IFERROR(SUMPRODUCT((Responses!PK2:PK8000&lt;&gt;"")/COUNTIF(Responses!PK2:PK8000,Responses!PK2:PK8000&amp;""))/COUNTA(Responses!PK2:PK8000),0)</f>
        <v>0</v>
      </c>
      <c r="PL1">
        <f>IFERROR(SUMPRODUCT((Responses!PL2:PL8000&lt;&gt;"")/COUNTIF(Responses!PL2:PL8000,Responses!PL2:PL8000&amp;""))/COUNTA(Responses!PL2:PL8000),0)</f>
        <v>0</v>
      </c>
      <c r="PM1">
        <f>IFERROR(SUMPRODUCT((Responses!PM2:PM8000&lt;&gt;"")/COUNTIF(Responses!PM2:PM8000,Responses!PM2:PM8000&amp;""))/COUNTA(Responses!PM2:PM8000),0)</f>
        <v>0</v>
      </c>
      <c r="PN1">
        <f>IFERROR(SUMPRODUCT((Responses!PN2:PN8000&lt;&gt;"")/COUNTIF(Responses!PN2:PN8000,Responses!PN2:PN8000&amp;""))/COUNTA(Responses!PN2:PN8000),0)</f>
        <v>0</v>
      </c>
      <c r="PO1">
        <f>IFERROR(SUMPRODUCT((Responses!PO2:PO8000&lt;&gt;"")/COUNTIF(Responses!PO2:PO8000,Responses!PO2:PO8000&amp;""))/COUNTA(Responses!PO2:PO8000),0)</f>
        <v>0</v>
      </c>
      <c r="PP1">
        <f>IFERROR(SUMPRODUCT((Responses!PP2:PP8000&lt;&gt;"")/COUNTIF(Responses!PP2:PP8000,Responses!PP2:PP8000&amp;""))/COUNTA(Responses!PP2:PP8000),0)</f>
        <v>0</v>
      </c>
      <c r="PQ1">
        <f>IFERROR(SUMPRODUCT((Responses!PQ2:PQ8000&lt;&gt;"")/COUNTIF(Responses!PQ2:PQ8000,Responses!PQ2:PQ8000&amp;""))/COUNTA(Responses!PQ2:PQ8000),0)</f>
        <v>0</v>
      </c>
      <c r="PR1">
        <f>IFERROR(SUMPRODUCT((Responses!PR2:PR8000&lt;&gt;"")/COUNTIF(Responses!PR2:PR8000,Responses!PR2:PR8000&amp;""))/COUNTA(Responses!PR2:PR8000),0)</f>
        <v>0</v>
      </c>
      <c r="PS1">
        <f>IFERROR(SUMPRODUCT((Responses!PS2:PS8000&lt;&gt;"")/COUNTIF(Responses!PS2:PS8000,Responses!PS2:PS8000&amp;""))/COUNTA(Responses!PS2:PS8000),0)</f>
        <v>0</v>
      </c>
      <c r="PT1">
        <f>IFERROR(SUMPRODUCT((Responses!PT2:PT8000&lt;&gt;"")/COUNTIF(Responses!PT2:PT8000,Responses!PT2:PT8000&amp;""))/COUNTA(Responses!PT2:PT8000),0)</f>
        <v>0</v>
      </c>
      <c r="PU1">
        <f>IFERROR(SUMPRODUCT((Responses!PU2:PU8000&lt;&gt;"")/COUNTIF(Responses!PU2:PU8000,Responses!PU2:PU8000&amp;""))/COUNTA(Responses!PU2:PU8000),0)</f>
        <v>0</v>
      </c>
      <c r="PV1">
        <f>IFERROR(SUMPRODUCT((Responses!PV2:PV8000&lt;&gt;"")/COUNTIF(Responses!PV2:PV8000,Responses!PV2:PV8000&amp;""))/COUNTA(Responses!PV2:PV8000),0)</f>
        <v>0</v>
      </c>
      <c r="PW1">
        <f>IFERROR(SUMPRODUCT((Responses!PW2:PW8000&lt;&gt;"")/COUNTIF(Responses!PW2:PW8000,Responses!PW2:PW8000&amp;""))/COUNTA(Responses!PW2:PW8000),0)</f>
        <v>0</v>
      </c>
      <c r="PX1">
        <f>IFERROR(SUMPRODUCT((Responses!PX2:PX8000&lt;&gt;"")/COUNTIF(Responses!PX2:PX8000,Responses!PX2:PX8000&amp;""))/COUNTA(Responses!PX2:PX8000),0)</f>
        <v>0</v>
      </c>
      <c r="PY1">
        <f>IFERROR(SUMPRODUCT((Responses!PY2:PY8000&lt;&gt;"")/COUNTIF(Responses!PY2:PY8000,Responses!PY2:PY8000&amp;""))/COUNTA(Responses!PY2:PY8000),0)</f>
        <v>0</v>
      </c>
      <c r="PZ1">
        <f>IFERROR(SUMPRODUCT((Responses!PZ2:PZ8000&lt;&gt;"")/COUNTIF(Responses!PZ2:PZ8000,Responses!PZ2:PZ8000&amp;""))/COUNTA(Responses!PZ2:PZ8000),0)</f>
        <v>0</v>
      </c>
      <c r="QA1">
        <f>IFERROR(SUMPRODUCT((Responses!QA2:QA8000&lt;&gt;"")/COUNTIF(Responses!QA2:QA8000,Responses!QA2:QA8000&amp;""))/COUNTA(Responses!QA2:QA8000),0)</f>
        <v>0</v>
      </c>
      <c r="QB1">
        <f>IFERROR(SUMPRODUCT((Responses!QB2:QB8000&lt;&gt;"")/COUNTIF(Responses!QB2:QB8000,Responses!QB2:QB8000&amp;""))/COUNTA(Responses!QB2:QB8000),0)</f>
        <v>0</v>
      </c>
      <c r="QC1">
        <f>IFERROR(SUMPRODUCT((Responses!QC2:QC8000&lt;&gt;"")/COUNTIF(Responses!QC2:QC8000,Responses!QC2:QC8000&amp;""))/COUNTA(Responses!QC2:QC8000),0)</f>
        <v>0</v>
      </c>
      <c r="QD1">
        <f>IFERROR(SUMPRODUCT((Responses!QD2:QD8000&lt;&gt;"")/COUNTIF(Responses!QD2:QD8000,Responses!QD2:QD8000&amp;""))/COUNTA(Responses!QD2:QD8000),0)</f>
        <v>0</v>
      </c>
      <c r="QE1">
        <f>IFERROR(SUMPRODUCT((Responses!QE2:QE8000&lt;&gt;"")/COUNTIF(Responses!QE2:QE8000,Responses!QE2:QE8000&amp;""))/COUNTA(Responses!QE2:QE8000),0)</f>
        <v>0</v>
      </c>
      <c r="QF1">
        <f>IFERROR(SUMPRODUCT((Responses!QF2:QF8000&lt;&gt;"")/COUNTIF(Responses!QF2:QF8000,Responses!QF2:QF8000&amp;""))/COUNTA(Responses!QF2:QF8000),0)</f>
        <v>0</v>
      </c>
      <c r="QG1">
        <f>IFERROR(SUMPRODUCT((Responses!QG2:QG8000&lt;&gt;"")/COUNTIF(Responses!QG2:QG8000,Responses!QG2:QG8000&amp;""))/COUNTA(Responses!QG2:QG8000),0)</f>
        <v>0</v>
      </c>
      <c r="QH1">
        <f>IFERROR(SUMPRODUCT((Responses!QH2:QH8000&lt;&gt;"")/COUNTIF(Responses!QH2:QH8000,Responses!QH2:QH8000&amp;""))/COUNTA(Responses!QH2:QH8000),0)</f>
        <v>0</v>
      </c>
      <c r="QI1">
        <f>IFERROR(SUMPRODUCT((Responses!QI2:QI8000&lt;&gt;"")/COUNTIF(Responses!QI2:QI8000,Responses!QI2:QI8000&amp;""))/COUNTA(Responses!QI2:QI8000),0)</f>
        <v>0</v>
      </c>
      <c r="QJ1">
        <f>IFERROR(SUMPRODUCT((Responses!QJ2:QJ8000&lt;&gt;"")/COUNTIF(Responses!QJ2:QJ8000,Responses!QJ2:QJ8000&amp;""))/COUNTA(Responses!QJ2:QJ8000),0)</f>
        <v>0</v>
      </c>
      <c r="QK1">
        <f>IFERROR(SUMPRODUCT((Responses!QK2:QK8000&lt;&gt;"")/COUNTIF(Responses!QK2:QK8000,Responses!QK2:QK8000&amp;""))/COUNTA(Responses!QK2:QK8000),0)</f>
        <v>0</v>
      </c>
      <c r="QL1">
        <f>IFERROR(SUMPRODUCT((Responses!QL2:QL8000&lt;&gt;"")/COUNTIF(Responses!QL2:QL8000,Responses!QL2:QL8000&amp;""))/COUNTA(Responses!QL2:QL8000),0)</f>
        <v>0</v>
      </c>
      <c r="QM1">
        <f>IFERROR(SUMPRODUCT((Responses!QM2:QM8000&lt;&gt;"")/COUNTIF(Responses!QM2:QM8000,Responses!QM2:QM8000&amp;""))/COUNTA(Responses!QM2:QM8000),0)</f>
        <v>0</v>
      </c>
      <c r="QN1">
        <f>IFERROR(SUMPRODUCT((Responses!QN2:QN8000&lt;&gt;"")/COUNTIF(Responses!QN2:QN8000,Responses!QN2:QN8000&amp;""))/COUNTA(Responses!QN2:QN8000),0)</f>
        <v>0</v>
      </c>
      <c r="QO1">
        <f>IFERROR(SUMPRODUCT((Responses!QO2:QO8000&lt;&gt;"")/COUNTIF(Responses!QO2:QO8000,Responses!QO2:QO8000&amp;""))/COUNTA(Responses!QO2:QO8000),0)</f>
        <v>0</v>
      </c>
      <c r="QP1">
        <f>IFERROR(SUMPRODUCT((Responses!QP2:QP8000&lt;&gt;"")/COUNTIF(Responses!QP2:QP8000,Responses!QP2:QP8000&amp;""))/COUNTA(Responses!QP2:QP8000),0)</f>
        <v>0</v>
      </c>
      <c r="QQ1">
        <f>IFERROR(SUMPRODUCT((Responses!QQ2:QQ8000&lt;&gt;"")/COUNTIF(Responses!QQ2:QQ8000,Responses!QQ2:QQ8000&amp;""))/COUNTA(Responses!QQ2:QQ8000),0)</f>
        <v>0</v>
      </c>
      <c r="QR1">
        <f>IFERROR(SUMPRODUCT((Responses!QR2:QR8000&lt;&gt;"")/COUNTIF(Responses!QR2:QR8000,Responses!QR2:QR8000&amp;""))/COUNTA(Responses!QR2:QR8000),0)</f>
        <v>0</v>
      </c>
      <c r="QS1">
        <f>IFERROR(SUMPRODUCT((Responses!QS2:QS8000&lt;&gt;"")/COUNTIF(Responses!QS2:QS8000,Responses!QS2:QS8000&amp;""))/COUNTA(Responses!QS2:QS8000),0)</f>
        <v>0</v>
      </c>
      <c r="QT1">
        <f>IFERROR(SUMPRODUCT((Responses!QT2:QT8000&lt;&gt;"")/COUNTIF(Responses!QT2:QT8000,Responses!QT2:QT8000&amp;""))/COUNTA(Responses!QT2:QT8000),0)</f>
        <v>0</v>
      </c>
      <c r="QU1">
        <f>IFERROR(SUMPRODUCT((Responses!QU2:QU8000&lt;&gt;"")/COUNTIF(Responses!QU2:QU8000,Responses!QU2:QU8000&amp;""))/COUNTA(Responses!QU2:QU8000),0)</f>
        <v>0</v>
      </c>
      <c r="QV1">
        <f>IFERROR(SUMPRODUCT((Responses!QV2:QV8000&lt;&gt;"")/COUNTIF(Responses!QV2:QV8000,Responses!QV2:QV8000&amp;""))/COUNTA(Responses!QV2:QV8000),0)</f>
        <v>0</v>
      </c>
      <c r="QW1">
        <f>IFERROR(SUMPRODUCT((Responses!QW2:QW8000&lt;&gt;"")/COUNTIF(Responses!QW2:QW8000,Responses!QW2:QW8000&amp;""))/COUNTA(Responses!QW2:QW8000),0)</f>
        <v>0</v>
      </c>
      <c r="QX1">
        <f>IFERROR(SUMPRODUCT((Responses!QX2:QX8000&lt;&gt;"")/COUNTIF(Responses!QX2:QX8000,Responses!QX2:QX8000&amp;""))/COUNTA(Responses!QX2:QX8000),0)</f>
        <v>0</v>
      </c>
      <c r="QY1">
        <f>IFERROR(SUMPRODUCT((Responses!QY2:QY8000&lt;&gt;"")/COUNTIF(Responses!QY2:QY8000,Responses!QY2:QY8000&amp;""))/COUNTA(Responses!QY2:QY8000),0)</f>
        <v>0</v>
      </c>
      <c r="QZ1">
        <f>IFERROR(SUMPRODUCT((Responses!QZ2:QZ8000&lt;&gt;"")/COUNTIF(Responses!QZ2:QZ8000,Responses!QZ2:QZ8000&amp;""))/COUNTA(Responses!QZ2:QZ8000),0)</f>
        <v>0</v>
      </c>
      <c r="RA1">
        <f>IFERROR(SUMPRODUCT((Responses!RA2:RA8000&lt;&gt;"")/COUNTIF(Responses!RA2:RA8000,Responses!RA2:RA8000&amp;""))/COUNTA(Responses!RA2:RA8000),0)</f>
        <v>0</v>
      </c>
      <c r="RB1">
        <f>IFERROR(SUMPRODUCT((Responses!RB2:RB8000&lt;&gt;"")/COUNTIF(Responses!RB2:RB8000,Responses!RB2:RB8000&amp;""))/COUNTA(Responses!RB2:RB8000),0)</f>
        <v>0</v>
      </c>
      <c r="RC1">
        <f>IFERROR(SUMPRODUCT((Responses!RC2:RC8000&lt;&gt;"")/COUNTIF(Responses!RC2:RC8000,Responses!RC2:RC8000&amp;""))/COUNTA(Responses!RC2:RC8000),0)</f>
        <v>0</v>
      </c>
      <c r="RD1">
        <f>IFERROR(SUMPRODUCT((Responses!RD2:RD8000&lt;&gt;"")/COUNTIF(Responses!RD2:RD8000,Responses!RD2:RD8000&amp;""))/COUNTA(Responses!RD2:RD8000),0)</f>
        <v>0</v>
      </c>
      <c r="RE1">
        <f>IFERROR(SUMPRODUCT((Responses!RE2:RE8000&lt;&gt;"")/COUNTIF(Responses!RE2:RE8000,Responses!RE2:RE8000&amp;""))/COUNTA(Responses!RE2:RE8000),0)</f>
        <v>0</v>
      </c>
      <c r="RF1">
        <f>IFERROR(SUMPRODUCT((Responses!RF2:RF8000&lt;&gt;"")/COUNTIF(Responses!RF2:RF8000,Responses!RF2:RF8000&amp;""))/COUNTA(Responses!RF2:RF8000),0)</f>
        <v>0</v>
      </c>
      <c r="RG1">
        <f>IFERROR(SUMPRODUCT((Responses!RG2:RG8000&lt;&gt;"")/COUNTIF(Responses!RG2:RG8000,Responses!RG2:RG8000&amp;""))/COUNTA(Responses!RG2:RG8000),0)</f>
        <v>0</v>
      </c>
      <c r="RH1">
        <f>IFERROR(SUMPRODUCT((Responses!RH2:RH8000&lt;&gt;"")/COUNTIF(Responses!RH2:RH8000,Responses!RH2:RH8000&amp;""))/COUNTA(Responses!RH2:RH8000),0)</f>
        <v>0</v>
      </c>
      <c r="RI1">
        <f>IFERROR(SUMPRODUCT((Responses!RI2:RI8000&lt;&gt;"")/COUNTIF(Responses!RI2:RI8000,Responses!RI2:RI8000&amp;""))/COUNTA(Responses!RI2:RI8000),0)</f>
        <v>0</v>
      </c>
      <c r="RJ1">
        <f>IFERROR(SUMPRODUCT((Responses!RJ2:RJ8000&lt;&gt;"")/COUNTIF(Responses!RJ2:RJ8000,Responses!RJ2:RJ8000&amp;""))/COUNTA(Responses!RJ2:RJ8000),0)</f>
        <v>0</v>
      </c>
      <c r="RK1">
        <f>IFERROR(SUMPRODUCT((Responses!RK2:RK8000&lt;&gt;"")/COUNTIF(Responses!RK2:RK8000,Responses!RK2:RK8000&amp;""))/COUNTA(Responses!RK2:RK8000),0)</f>
        <v>0</v>
      </c>
      <c r="RL1">
        <f>IFERROR(SUMPRODUCT((Responses!RL2:RL8000&lt;&gt;"")/COUNTIF(Responses!RL2:RL8000,Responses!RL2:RL8000&amp;""))/COUNTA(Responses!RL2:RL8000),0)</f>
        <v>0</v>
      </c>
      <c r="RM1">
        <f>IFERROR(SUMPRODUCT((Responses!RM2:RM8000&lt;&gt;"")/COUNTIF(Responses!RM2:RM8000,Responses!RM2:RM8000&amp;""))/COUNTA(Responses!RM2:RM8000),0)</f>
        <v>0</v>
      </c>
      <c r="RN1">
        <f>IFERROR(SUMPRODUCT((Responses!RN2:RN8000&lt;&gt;"")/COUNTIF(Responses!RN2:RN8000,Responses!RN2:RN8000&amp;""))/COUNTA(Responses!RN2:RN8000),0)</f>
        <v>0</v>
      </c>
      <c r="RO1">
        <f>IFERROR(SUMPRODUCT((Responses!RO2:RO8000&lt;&gt;"")/COUNTIF(Responses!RO2:RO8000,Responses!RO2:RO8000&amp;""))/COUNTA(Responses!RO2:RO8000),0)</f>
        <v>0</v>
      </c>
      <c r="RP1">
        <f>IFERROR(SUMPRODUCT((Responses!RP2:RP8000&lt;&gt;"")/COUNTIF(Responses!RP2:RP8000,Responses!RP2:RP8000&amp;""))/COUNTA(Responses!RP2:RP8000),0)</f>
        <v>0</v>
      </c>
      <c r="RQ1">
        <f>IFERROR(SUMPRODUCT((Responses!RQ2:RQ8000&lt;&gt;"")/COUNTIF(Responses!RQ2:RQ8000,Responses!RQ2:RQ8000&amp;""))/COUNTA(Responses!RQ2:RQ8000),0)</f>
        <v>0</v>
      </c>
      <c r="RR1">
        <f>IFERROR(SUMPRODUCT((Responses!RR2:RR8000&lt;&gt;"")/COUNTIF(Responses!RR2:RR8000,Responses!RR2:RR8000&amp;""))/COUNTA(Responses!RR2:RR8000),0)</f>
        <v>0</v>
      </c>
      <c r="RS1">
        <f>IFERROR(SUMPRODUCT((Responses!RS2:RS8000&lt;&gt;"")/COUNTIF(Responses!RS2:RS8000,Responses!RS2:RS8000&amp;""))/COUNTA(Responses!RS2:RS8000),0)</f>
        <v>0</v>
      </c>
      <c r="RT1">
        <f>IFERROR(SUMPRODUCT((Responses!RT2:RT8000&lt;&gt;"")/COUNTIF(Responses!RT2:RT8000,Responses!RT2:RT8000&amp;""))/COUNTA(Responses!RT2:RT8000),0)</f>
        <v>0</v>
      </c>
      <c r="RU1">
        <f>IFERROR(SUMPRODUCT((Responses!RU2:RU8000&lt;&gt;"")/COUNTIF(Responses!RU2:RU8000,Responses!RU2:RU8000&amp;""))/COUNTA(Responses!RU2:RU8000),0)</f>
        <v>0</v>
      </c>
      <c r="RV1">
        <f>IFERROR(SUMPRODUCT((Responses!RV2:RV8000&lt;&gt;"")/COUNTIF(Responses!RV2:RV8000,Responses!RV2:RV8000&amp;""))/COUNTA(Responses!RV2:RV8000),0)</f>
        <v>0</v>
      </c>
      <c r="RW1">
        <f>IFERROR(SUMPRODUCT((Responses!RW2:RW8000&lt;&gt;"")/COUNTIF(Responses!RW2:RW8000,Responses!RW2:RW8000&amp;""))/COUNTA(Responses!RW2:RW8000),0)</f>
        <v>0</v>
      </c>
      <c r="RX1">
        <f>IFERROR(SUMPRODUCT((Responses!RX2:RX8000&lt;&gt;"")/COUNTIF(Responses!RX2:RX8000,Responses!RX2:RX8000&amp;""))/COUNTA(Responses!RX2:RX8000),0)</f>
        <v>0</v>
      </c>
      <c r="RY1">
        <f>IFERROR(SUMPRODUCT((Responses!RY2:RY8000&lt;&gt;"")/COUNTIF(Responses!RY2:RY8000,Responses!RY2:RY8000&amp;""))/COUNTA(Responses!RY2:RY8000),0)</f>
        <v>0</v>
      </c>
      <c r="RZ1">
        <f>IFERROR(SUMPRODUCT((Responses!RZ2:RZ8000&lt;&gt;"")/COUNTIF(Responses!RZ2:RZ8000,Responses!RZ2:RZ8000&amp;""))/COUNTA(Responses!RZ2:RZ8000),0)</f>
        <v>0</v>
      </c>
      <c r="SA1">
        <f>IFERROR(SUMPRODUCT((Responses!SA2:SA8000&lt;&gt;"")/COUNTIF(Responses!SA2:SA8000,Responses!SA2:SA8000&amp;""))/COUNTA(Responses!SA2:SA8000),0)</f>
        <v>0</v>
      </c>
      <c r="SB1">
        <f>IFERROR(SUMPRODUCT((Responses!SB2:SB8000&lt;&gt;"")/COUNTIF(Responses!SB2:SB8000,Responses!SB2:SB8000&amp;""))/COUNTA(Responses!SB2:SB8000),0)</f>
        <v>0</v>
      </c>
      <c r="SC1">
        <f>IFERROR(SUMPRODUCT((Responses!SC2:SC8000&lt;&gt;"")/COUNTIF(Responses!SC2:SC8000,Responses!SC2:SC8000&amp;""))/COUNTA(Responses!SC2:SC8000),0)</f>
        <v>0</v>
      </c>
      <c r="SD1">
        <f>IFERROR(SUMPRODUCT((Responses!SD2:SD8000&lt;&gt;"")/COUNTIF(Responses!SD2:SD8000,Responses!SD2:SD8000&amp;""))/COUNTA(Responses!SD2:SD8000),0)</f>
        <v>0</v>
      </c>
      <c r="SE1">
        <f>IFERROR(SUMPRODUCT((Responses!SE2:SE8000&lt;&gt;"")/COUNTIF(Responses!SE2:SE8000,Responses!SE2:SE8000&amp;""))/COUNTA(Responses!SE2:SE8000),0)</f>
        <v>0</v>
      </c>
      <c r="SF1">
        <f>IFERROR(SUMPRODUCT((Responses!SF2:SF8000&lt;&gt;"")/COUNTIF(Responses!SF2:SF8000,Responses!SF2:SF8000&amp;""))/COUNTA(Responses!SF2:SF8000),0)</f>
        <v>0</v>
      </c>
      <c r="SG1">
        <f>IFERROR(SUMPRODUCT((Responses!SG2:SG8000&lt;&gt;"")/COUNTIF(Responses!SG2:SG8000,Responses!SG2:SG8000&amp;""))/COUNTA(Responses!SG2:SG8000),0)</f>
        <v>0</v>
      </c>
      <c r="SH1">
        <f>IFERROR(SUMPRODUCT((Responses!SH2:SH8000&lt;&gt;"")/COUNTIF(Responses!SH2:SH8000,Responses!SH2:SH8000&amp;""))/COUNTA(Responses!SH2:SH8000),0)</f>
        <v>0</v>
      </c>
      <c r="SI1">
        <f>IFERROR(SUMPRODUCT((Responses!SI2:SI8000&lt;&gt;"")/COUNTIF(Responses!SI2:SI8000,Responses!SI2:SI8000&amp;""))/COUNTA(Responses!SI2:SI8000),0)</f>
        <v>0</v>
      </c>
      <c r="SJ1">
        <f>IFERROR(SUMPRODUCT((Responses!SJ2:SJ8000&lt;&gt;"")/COUNTIF(Responses!SJ2:SJ8000,Responses!SJ2:SJ8000&amp;""))/COUNTA(Responses!SJ2:SJ8000),0)</f>
        <v>0</v>
      </c>
      <c r="SK1">
        <f>IFERROR(SUMPRODUCT((Responses!SK2:SK8000&lt;&gt;"")/COUNTIF(Responses!SK2:SK8000,Responses!SK2:SK8000&amp;""))/COUNTA(Responses!SK2:SK8000),0)</f>
        <v>0</v>
      </c>
      <c r="SL1">
        <f>IFERROR(SUMPRODUCT((Responses!SL2:SL8000&lt;&gt;"")/COUNTIF(Responses!SL2:SL8000,Responses!SL2:SL8000&amp;""))/COUNTA(Responses!SL2:SL8000),0)</f>
        <v>0</v>
      </c>
      <c r="SM1">
        <f>IFERROR(SUMPRODUCT((Responses!SM2:SM8000&lt;&gt;"")/COUNTIF(Responses!SM2:SM8000,Responses!SM2:SM8000&amp;""))/COUNTA(Responses!SM2:SM8000),0)</f>
        <v>0</v>
      </c>
      <c r="SN1">
        <f>IFERROR(SUMPRODUCT((Responses!SN2:SN8000&lt;&gt;"")/COUNTIF(Responses!SN2:SN8000,Responses!SN2:SN8000&amp;""))/COUNTA(Responses!SN2:SN8000),0)</f>
        <v>0</v>
      </c>
      <c r="SO1">
        <f>IFERROR(SUMPRODUCT((Responses!SO2:SO8000&lt;&gt;"")/COUNTIF(Responses!SO2:SO8000,Responses!SO2:SO8000&amp;""))/COUNTA(Responses!SO2:SO8000),0)</f>
        <v>0</v>
      </c>
      <c r="SP1">
        <f>IFERROR(SUMPRODUCT((Responses!SP2:SP8000&lt;&gt;"")/COUNTIF(Responses!SP2:SP8000,Responses!SP2:SP8000&amp;""))/COUNTA(Responses!SP2:SP8000),0)</f>
        <v>0</v>
      </c>
      <c r="SQ1">
        <f>IFERROR(SUMPRODUCT((Responses!SQ2:SQ8000&lt;&gt;"")/COUNTIF(Responses!SQ2:SQ8000,Responses!SQ2:SQ8000&amp;""))/COUNTA(Responses!SQ2:SQ8000),0)</f>
        <v>0</v>
      </c>
      <c r="SR1">
        <f>IFERROR(SUMPRODUCT((Responses!SR2:SR8000&lt;&gt;"")/COUNTIF(Responses!SR2:SR8000,Responses!SR2:SR8000&amp;""))/COUNTA(Responses!SR2:SR8000),0)</f>
        <v>0</v>
      </c>
      <c r="SS1">
        <f>IFERROR(SUMPRODUCT((Responses!SS2:SS8000&lt;&gt;"")/COUNTIF(Responses!SS2:SS8000,Responses!SS2:SS8000&amp;""))/COUNTA(Responses!SS2:SS8000),0)</f>
        <v>0</v>
      </c>
      <c r="ST1">
        <f>IFERROR(SUMPRODUCT((Responses!ST2:ST8000&lt;&gt;"")/COUNTIF(Responses!ST2:ST8000,Responses!ST2:ST8000&amp;""))/COUNTA(Responses!ST2:ST8000),0)</f>
        <v>0</v>
      </c>
      <c r="SU1">
        <f>IFERROR(SUMPRODUCT((Responses!SU2:SU8000&lt;&gt;"")/COUNTIF(Responses!SU2:SU8000,Responses!SU2:SU8000&amp;""))/COUNTA(Responses!SU2:SU8000),0)</f>
        <v>0</v>
      </c>
      <c r="SV1">
        <f>IFERROR(SUMPRODUCT((Responses!SV2:SV8000&lt;&gt;"")/COUNTIF(Responses!SV2:SV8000,Responses!SV2:SV8000&amp;""))/COUNTA(Responses!SV2:SV8000),0)</f>
        <v>0</v>
      </c>
      <c r="SW1">
        <f>IFERROR(SUMPRODUCT((Responses!SW2:SW8000&lt;&gt;"")/COUNTIF(Responses!SW2:SW8000,Responses!SW2:SW8000&amp;""))/COUNTA(Responses!SW2:SW8000),0)</f>
        <v>0</v>
      </c>
      <c r="SX1">
        <f>IFERROR(SUMPRODUCT((Responses!SX2:SX8000&lt;&gt;"")/COUNTIF(Responses!SX2:SX8000,Responses!SX2:SX8000&amp;""))/COUNTA(Responses!SX2:SX8000),0)</f>
        <v>0</v>
      </c>
      <c r="SY1">
        <f>IFERROR(SUMPRODUCT((Responses!SY2:SY8000&lt;&gt;"")/COUNTIF(Responses!SY2:SY8000,Responses!SY2:SY8000&amp;""))/COUNTA(Responses!SY2:SY8000),0)</f>
        <v>0</v>
      </c>
      <c r="SZ1">
        <f>IFERROR(SUMPRODUCT((Responses!SZ2:SZ8000&lt;&gt;"")/COUNTIF(Responses!SZ2:SZ8000,Responses!SZ2:SZ8000&amp;""))/COUNTA(Responses!SZ2:SZ8000),0)</f>
        <v>0</v>
      </c>
      <c r="TA1">
        <f>IFERROR(SUMPRODUCT((Responses!TA2:TA8000&lt;&gt;"")/COUNTIF(Responses!TA2:TA8000,Responses!TA2:TA8000&amp;""))/COUNTA(Responses!TA2:TA8000),0)</f>
        <v>0</v>
      </c>
      <c r="TB1">
        <f>IFERROR(SUMPRODUCT((Responses!TB2:TB8000&lt;&gt;"")/COUNTIF(Responses!TB2:TB8000,Responses!TB2:TB8000&amp;""))/COUNTA(Responses!TB2:TB8000),0)</f>
        <v>0</v>
      </c>
      <c r="TC1">
        <f>IFERROR(SUMPRODUCT((Responses!TC2:TC8000&lt;&gt;"")/COUNTIF(Responses!TC2:TC8000,Responses!TC2:TC8000&amp;""))/COUNTA(Responses!TC2:TC8000),0)</f>
        <v>0</v>
      </c>
      <c r="TD1">
        <f>IFERROR(SUMPRODUCT((Responses!TD2:TD8000&lt;&gt;"")/COUNTIF(Responses!TD2:TD8000,Responses!TD2:TD8000&amp;""))/COUNTA(Responses!TD2:TD8000),0)</f>
        <v>0</v>
      </c>
      <c r="TE1">
        <f>IFERROR(SUMPRODUCT((Responses!TE2:TE8000&lt;&gt;"")/COUNTIF(Responses!TE2:TE8000,Responses!TE2:TE8000&amp;""))/COUNTA(Responses!TE2:TE8000),0)</f>
        <v>0</v>
      </c>
      <c r="TF1">
        <f>IFERROR(SUMPRODUCT((Responses!TF2:TF8000&lt;&gt;"")/COUNTIF(Responses!TF2:TF8000,Responses!TF2:TF8000&amp;""))/COUNTA(Responses!TF2:TF8000),0)</f>
        <v>0</v>
      </c>
      <c r="TG1">
        <f>IFERROR(SUMPRODUCT((Responses!TG2:TG8000&lt;&gt;"")/COUNTIF(Responses!TG2:TG8000,Responses!TG2:TG8000&amp;""))/COUNTA(Responses!TG2:TG8000),0)</f>
        <v>0</v>
      </c>
      <c r="TH1">
        <f>IFERROR(SUMPRODUCT((Responses!TH2:TH8000&lt;&gt;"")/COUNTIF(Responses!TH2:TH8000,Responses!TH2:TH8000&amp;""))/COUNTA(Responses!TH2:TH8000),0)</f>
        <v>0</v>
      </c>
      <c r="TI1">
        <f>IFERROR(SUMPRODUCT((Responses!TI2:TI8000&lt;&gt;"")/COUNTIF(Responses!TI2:TI8000,Responses!TI2:TI8000&amp;""))/COUNTA(Responses!TI2:TI8000),0)</f>
        <v>0</v>
      </c>
      <c r="TJ1">
        <f>IFERROR(SUMPRODUCT((Responses!TJ2:TJ8000&lt;&gt;"")/COUNTIF(Responses!TJ2:TJ8000,Responses!TJ2:TJ8000&amp;""))/COUNTA(Responses!TJ2:TJ8000),0)</f>
        <v>0</v>
      </c>
      <c r="TK1">
        <f>IFERROR(SUMPRODUCT((Responses!TK2:TK8000&lt;&gt;"")/COUNTIF(Responses!TK2:TK8000,Responses!TK2:TK8000&amp;""))/COUNTA(Responses!TK2:TK8000),0)</f>
        <v>0</v>
      </c>
      <c r="TL1">
        <f>IFERROR(SUMPRODUCT((Responses!TL2:TL8000&lt;&gt;"")/COUNTIF(Responses!TL2:TL8000,Responses!TL2:TL8000&amp;""))/COUNTA(Responses!TL2:TL8000),0)</f>
        <v>0</v>
      </c>
      <c r="TM1">
        <f>IFERROR(SUMPRODUCT((Responses!TM2:TM8000&lt;&gt;"")/COUNTIF(Responses!TM2:TM8000,Responses!TM2:TM8000&amp;""))/COUNTA(Responses!TM2:TM8000),0)</f>
        <v>0</v>
      </c>
      <c r="TN1">
        <f>IFERROR(SUMPRODUCT((Responses!TN2:TN8000&lt;&gt;"")/COUNTIF(Responses!TN2:TN8000,Responses!TN2:TN8000&amp;""))/COUNTA(Responses!TN2:TN8000),0)</f>
        <v>0</v>
      </c>
      <c r="TO1">
        <f>IFERROR(SUMPRODUCT((Responses!TO2:TO8000&lt;&gt;"")/COUNTIF(Responses!TO2:TO8000,Responses!TO2:TO8000&amp;""))/COUNTA(Responses!TO2:TO8000),0)</f>
        <v>0</v>
      </c>
      <c r="TP1">
        <f>IFERROR(SUMPRODUCT((Responses!TP2:TP8000&lt;&gt;"")/COUNTIF(Responses!TP2:TP8000,Responses!TP2:TP8000&amp;""))/COUNTA(Responses!TP2:TP8000),0)</f>
        <v>0</v>
      </c>
      <c r="TQ1">
        <f>IFERROR(SUMPRODUCT((Responses!TQ2:TQ8000&lt;&gt;"")/COUNTIF(Responses!TQ2:TQ8000,Responses!TQ2:TQ8000&amp;""))/COUNTA(Responses!TQ2:TQ8000),0)</f>
        <v>0</v>
      </c>
      <c r="TR1">
        <f>IFERROR(SUMPRODUCT((Responses!TR2:TR8000&lt;&gt;"")/COUNTIF(Responses!TR2:TR8000,Responses!TR2:TR8000&amp;""))/COUNTA(Responses!TR2:TR8000),0)</f>
        <v>0</v>
      </c>
      <c r="TS1">
        <f>IFERROR(SUMPRODUCT((Responses!TS2:TS8000&lt;&gt;"")/COUNTIF(Responses!TS2:TS8000,Responses!TS2:TS8000&amp;""))/COUNTA(Responses!TS2:TS8000),0)</f>
        <v>0</v>
      </c>
      <c r="TT1">
        <f>IFERROR(SUMPRODUCT((Responses!TT2:TT8000&lt;&gt;"")/COUNTIF(Responses!TT2:TT8000,Responses!TT2:TT8000&amp;""))/COUNTA(Responses!TT2:TT8000),0)</f>
        <v>0</v>
      </c>
      <c r="TU1">
        <f>IFERROR(SUMPRODUCT((Responses!TU2:TU8000&lt;&gt;"")/COUNTIF(Responses!TU2:TU8000,Responses!TU2:TU8000&amp;""))/COUNTA(Responses!TU2:TU8000),0)</f>
        <v>0</v>
      </c>
      <c r="TV1">
        <f>IFERROR(SUMPRODUCT((Responses!TV2:TV8000&lt;&gt;"")/COUNTIF(Responses!TV2:TV8000,Responses!TV2:TV8000&amp;""))/COUNTA(Responses!TV2:TV8000),0)</f>
        <v>0</v>
      </c>
      <c r="TW1">
        <f>IFERROR(SUMPRODUCT((Responses!TW2:TW8000&lt;&gt;"")/COUNTIF(Responses!TW2:TW8000,Responses!TW2:TW8000&amp;""))/COUNTA(Responses!TW2:TW8000),0)</f>
        <v>0</v>
      </c>
      <c r="TX1">
        <f>IFERROR(SUMPRODUCT((Responses!TX2:TX8000&lt;&gt;"")/COUNTIF(Responses!TX2:TX8000,Responses!TX2:TX8000&amp;""))/COUNTA(Responses!TX2:TX8000),0)</f>
        <v>0</v>
      </c>
      <c r="TY1">
        <f>IFERROR(SUMPRODUCT((Responses!TY2:TY8000&lt;&gt;"")/COUNTIF(Responses!TY2:TY8000,Responses!TY2:TY8000&amp;""))/COUNTA(Responses!TY2:TY8000),0)</f>
        <v>0</v>
      </c>
      <c r="TZ1">
        <f>IFERROR(SUMPRODUCT((Responses!TZ2:TZ8000&lt;&gt;"")/COUNTIF(Responses!TZ2:TZ8000,Responses!TZ2:TZ8000&amp;""))/COUNTA(Responses!TZ2:TZ8000),0)</f>
        <v>0</v>
      </c>
      <c r="UA1">
        <f>IFERROR(SUMPRODUCT((Responses!UA2:UA8000&lt;&gt;"")/COUNTIF(Responses!UA2:UA8000,Responses!UA2:UA8000&amp;""))/COUNTA(Responses!UA2:UA8000),0)</f>
        <v>0</v>
      </c>
      <c r="UB1">
        <f>IFERROR(SUMPRODUCT((Responses!UB2:UB8000&lt;&gt;"")/COUNTIF(Responses!UB2:UB8000,Responses!UB2:UB8000&amp;""))/COUNTA(Responses!UB2:UB8000),0)</f>
        <v>0</v>
      </c>
      <c r="UC1">
        <f>IFERROR(SUMPRODUCT((Responses!UC2:UC8000&lt;&gt;"")/COUNTIF(Responses!UC2:UC8000,Responses!UC2:UC8000&amp;""))/COUNTA(Responses!UC2:UC8000),0)</f>
        <v>0</v>
      </c>
      <c r="UD1">
        <f>IFERROR(SUMPRODUCT((Responses!UD2:UD8000&lt;&gt;"")/COUNTIF(Responses!UD2:UD8000,Responses!UD2:UD8000&amp;""))/COUNTA(Responses!UD2:UD8000),0)</f>
        <v>0</v>
      </c>
      <c r="UE1">
        <f>IFERROR(SUMPRODUCT((Responses!UE2:UE8000&lt;&gt;"")/COUNTIF(Responses!UE2:UE8000,Responses!UE2:UE8000&amp;""))/COUNTA(Responses!UE2:UE8000),0)</f>
        <v>0</v>
      </c>
      <c r="UF1">
        <f>IFERROR(SUMPRODUCT((Responses!UF2:UF8000&lt;&gt;"")/COUNTIF(Responses!UF2:UF8000,Responses!UF2:UF8000&amp;""))/COUNTA(Responses!UF2:UF8000),0)</f>
        <v>0</v>
      </c>
      <c r="UG1">
        <f>IFERROR(SUMPRODUCT((Responses!UG2:UG8000&lt;&gt;"")/COUNTIF(Responses!UG2:UG8000,Responses!UG2:UG8000&amp;""))/COUNTA(Responses!UG2:UG8000),0)</f>
        <v>0</v>
      </c>
      <c r="UH1">
        <f>IFERROR(SUMPRODUCT((Responses!UH2:UH8000&lt;&gt;"")/COUNTIF(Responses!UH2:UH8000,Responses!UH2:UH8000&amp;""))/COUNTA(Responses!UH2:UH8000),0)</f>
        <v>0</v>
      </c>
      <c r="UI1">
        <f>IFERROR(SUMPRODUCT((Responses!UI2:UI8000&lt;&gt;"")/COUNTIF(Responses!UI2:UI8000,Responses!UI2:UI8000&amp;""))/COUNTA(Responses!UI2:UI8000),0)</f>
        <v>0</v>
      </c>
      <c r="UJ1">
        <f>IFERROR(SUMPRODUCT((Responses!UJ2:UJ8000&lt;&gt;"")/COUNTIF(Responses!UJ2:UJ8000,Responses!UJ2:UJ8000&amp;""))/COUNTA(Responses!UJ2:UJ8000),0)</f>
        <v>0</v>
      </c>
      <c r="UK1">
        <f>IFERROR(SUMPRODUCT((Responses!UK2:UK8000&lt;&gt;"")/COUNTIF(Responses!UK2:UK8000,Responses!UK2:UK8000&amp;""))/COUNTA(Responses!UK2:UK8000),0)</f>
        <v>0</v>
      </c>
      <c r="UL1">
        <f>IFERROR(SUMPRODUCT((Responses!UL2:UL8000&lt;&gt;"")/COUNTIF(Responses!UL2:UL8000,Responses!UL2:UL8000&amp;""))/COUNTA(Responses!UL2:UL8000),0)</f>
        <v>0</v>
      </c>
      <c r="UM1">
        <f>IFERROR(SUMPRODUCT((Responses!UM2:UM8000&lt;&gt;"")/COUNTIF(Responses!UM2:UM8000,Responses!UM2:UM8000&amp;""))/COUNTA(Responses!UM2:UM8000),0)</f>
        <v>0</v>
      </c>
      <c r="UN1">
        <f>IFERROR(SUMPRODUCT((Responses!UN2:UN8000&lt;&gt;"")/COUNTIF(Responses!UN2:UN8000,Responses!UN2:UN8000&amp;""))/COUNTA(Responses!UN2:UN8000),0)</f>
        <v>0</v>
      </c>
      <c r="UO1">
        <f>IFERROR(SUMPRODUCT((Responses!UO2:UO8000&lt;&gt;"")/COUNTIF(Responses!UO2:UO8000,Responses!UO2:UO8000&amp;""))/COUNTA(Responses!UO2:UO8000),0)</f>
        <v>0</v>
      </c>
      <c r="UP1">
        <f>IFERROR(SUMPRODUCT((Responses!UP2:UP8000&lt;&gt;"")/COUNTIF(Responses!UP2:UP8000,Responses!UP2:UP8000&amp;""))/COUNTA(Responses!UP2:UP8000),0)</f>
        <v>0</v>
      </c>
      <c r="UQ1">
        <f>IFERROR(SUMPRODUCT((Responses!UQ2:UQ8000&lt;&gt;"")/COUNTIF(Responses!UQ2:UQ8000,Responses!UQ2:UQ8000&amp;""))/COUNTA(Responses!UQ2:UQ8000),0)</f>
        <v>0</v>
      </c>
      <c r="UR1">
        <f>IFERROR(SUMPRODUCT((Responses!UR2:UR8000&lt;&gt;"")/COUNTIF(Responses!UR2:UR8000,Responses!UR2:UR8000&amp;""))/COUNTA(Responses!UR2:UR8000),0)</f>
        <v>0</v>
      </c>
      <c r="US1">
        <f>IFERROR(SUMPRODUCT((Responses!US2:US8000&lt;&gt;"")/COUNTIF(Responses!US2:US8000,Responses!US2:US8000&amp;""))/COUNTA(Responses!US2:US8000),0)</f>
        <v>0</v>
      </c>
      <c r="UT1">
        <f>IFERROR(SUMPRODUCT((Responses!UT2:UT8000&lt;&gt;"")/COUNTIF(Responses!UT2:UT8000,Responses!UT2:UT8000&amp;""))/COUNTA(Responses!UT2:UT8000),0)</f>
        <v>0</v>
      </c>
      <c r="UU1">
        <f>IFERROR(SUMPRODUCT((Responses!UU2:UU8000&lt;&gt;"")/COUNTIF(Responses!UU2:UU8000,Responses!UU2:UU8000&amp;""))/COUNTA(Responses!UU2:UU8000),0)</f>
        <v>0</v>
      </c>
      <c r="UV1">
        <f>IFERROR(SUMPRODUCT((Responses!UV2:UV8000&lt;&gt;"")/COUNTIF(Responses!UV2:UV8000,Responses!UV2:UV8000&amp;""))/COUNTA(Responses!UV2:UV8000),0)</f>
        <v>0</v>
      </c>
      <c r="UW1">
        <f>IFERROR(SUMPRODUCT((Responses!UW2:UW8000&lt;&gt;"")/COUNTIF(Responses!UW2:UW8000,Responses!UW2:UW8000&amp;""))/COUNTA(Responses!UW2:UW8000),0)</f>
        <v>0</v>
      </c>
      <c r="UX1">
        <f>IFERROR(SUMPRODUCT((Responses!UX2:UX8000&lt;&gt;"")/COUNTIF(Responses!UX2:UX8000,Responses!UX2:UX8000&amp;""))/COUNTA(Responses!UX2:UX8000),0)</f>
        <v>0</v>
      </c>
      <c r="UY1">
        <f>IFERROR(SUMPRODUCT((Responses!UY2:UY8000&lt;&gt;"")/COUNTIF(Responses!UY2:UY8000,Responses!UY2:UY8000&amp;""))/COUNTA(Responses!UY2:UY8000),0)</f>
        <v>0</v>
      </c>
      <c r="UZ1">
        <f>IFERROR(SUMPRODUCT((Responses!UZ2:UZ8000&lt;&gt;"")/COUNTIF(Responses!UZ2:UZ8000,Responses!UZ2:UZ8000&amp;""))/COUNTA(Responses!UZ2:UZ8000),0)</f>
        <v>0</v>
      </c>
      <c r="VA1">
        <f>IFERROR(SUMPRODUCT((Responses!VA2:VA8000&lt;&gt;"")/COUNTIF(Responses!VA2:VA8000,Responses!VA2:VA8000&amp;""))/COUNTA(Responses!VA2:VA8000),0)</f>
        <v>0</v>
      </c>
      <c r="VB1">
        <f>IFERROR(SUMPRODUCT((Responses!VB2:VB8000&lt;&gt;"")/COUNTIF(Responses!VB2:VB8000,Responses!VB2:VB8000&amp;""))/COUNTA(Responses!VB2:VB8000),0)</f>
        <v>0</v>
      </c>
      <c r="VC1">
        <f>IFERROR(SUMPRODUCT((Responses!VC2:VC8000&lt;&gt;"")/COUNTIF(Responses!VC2:VC8000,Responses!VC2:VC8000&amp;""))/COUNTA(Responses!VC2:VC8000),0)</f>
        <v>0</v>
      </c>
      <c r="VD1">
        <f>IFERROR(SUMPRODUCT((Responses!VD2:VD8000&lt;&gt;"")/COUNTIF(Responses!VD2:VD8000,Responses!VD2:VD8000&amp;""))/COUNTA(Responses!VD2:VD8000),0)</f>
        <v>0</v>
      </c>
      <c r="VE1">
        <f>IFERROR(SUMPRODUCT((Responses!VE2:VE8000&lt;&gt;"")/COUNTIF(Responses!VE2:VE8000,Responses!VE2:VE8000&amp;""))/COUNTA(Responses!VE2:VE8000),0)</f>
        <v>0</v>
      </c>
      <c r="VF1">
        <f>IFERROR(SUMPRODUCT((Responses!VF2:VF8000&lt;&gt;"")/COUNTIF(Responses!VF2:VF8000,Responses!VF2:VF8000&amp;""))/COUNTA(Responses!VF2:VF8000),0)</f>
        <v>0</v>
      </c>
      <c r="VG1">
        <f>IFERROR(SUMPRODUCT((Responses!VG2:VG8000&lt;&gt;"")/COUNTIF(Responses!VG2:VG8000,Responses!VG2:VG8000&amp;""))/COUNTA(Responses!VG2:VG8000),0)</f>
        <v>0</v>
      </c>
      <c r="VH1">
        <f>IFERROR(SUMPRODUCT((Responses!VH2:VH8000&lt;&gt;"")/COUNTIF(Responses!VH2:VH8000,Responses!VH2:VH8000&amp;""))/COUNTA(Responses!VH2:VH8000),0)</f>
        <v>0</v>
      </c>
      <c r="VI1">
        <f>IFERROR(SUMPRODUCT((Responses!VI2:VI8000&lt;&gt;"")/COUNTIF(Responses!VI2:VI8000,Responses!VI2:VI8000&amp;""))/COUNTA(Responses!VI2:VI8000),0)</f>
        <v>0</v>
      </c>
      <c r="VJ1">
        <f>IFERROR(SUMPRODUCT((Responses!VJ2:VJ8000&lt;&gt;"")/COUNTIF(Responses!VJ2:VJ8000,Responses!VJ2:VJ8000&amp;""))/COUNTA(Responses!VJ2:VJ8000),0)</f>
        <v>0</v>
      </c>
      <c r="VK1">
        <f>IFERROR(SUMPRODUCT((Responses!VK2:VK8000&lt;&gt;"")/COUNTIF(Responses!VK2:VK8000,Responses!VK2:VK8000&amp;""))/COUNTA(Responses!VK2:VK8000),0)</f>
        <v>0</v>
      </c>
      <c r="VL1">
        <f>IFERROR(SUMPRODUCT((Responses!VL2:VL8000&lt;&gt;"")/COUNTIF(Responses!VL2:VL8000,Responses!VL2:VL8000&amp;""))/COUNTA(Responses!VL2:VL8000),0)</f>
        <v>0</v>
      </c>
      <c r="VM1">
        <f>IFERROR(SUMPRODUCT((Responses!VM2:VM8000&lt;&gt;"")/COUNTIF(Responses!VM2:VM8000,Responses!VM2:VM8000&amp;""))/COUNTA(Responses!VM2:VM8000),0)</f>
        <v>0</v>
      </c>
      <c r="VN1">
        <f>IFERROR(SUMPRODUCT((Responses!VN2:VN8000&lt;&gt;"")/COUNTIF(Responses!VN2:VN8000,Responses!VN2:VN8000&amp;""))/COUNTA(Responses!VN2:VN8000),0)</f>
        <v>0</v>
      </c>
      <c r="VO1">
        <f>IFERROR(SUMPRODUCT((Responses!VO2:VO8000&lt;&gt;"")/COUNTIF(Responses!VO2:VO8000,Responses!VO2:VO8000&amp;""))/COUNTA(Responses!VO2:VO8000),0)</f>
        <v>0</v>
      </c>
      <c r="VP1">
        <f>IFERROR(SUMPRODUCT((Responses!VP2:VP8000&lt;&gt;"")/COUNTIF(Responses!VP2:VP8000,Responses!VP2:VP8000&amp;""))/COUNTA(Responses!VP2:VP8000),0)</f>
        <v>0</v>
      </c>
      <c r="VQ1">
        <f>IFERROR(SUMPRODUCT((Responses!VQ2:VQ8000&lt;&gt;"")/COUNTIF(Responses!VQ2:VQ8000,Responses!VQ2:VQ8000&amp;""))/COUNTA(Responses!VQ2:VQ8000),0)</f>
        <v>0</v>
      </c>
      <c r="VR1">
        <f>IFERROR(SUMPRODUCT((Responses!VR2:VR8000&lt;&gt;"")/COUNTIF(Responses!VR2:VR8000,Responses!VR2:VR8000&amp;""))/COUNTA(Responses!VR2:VR8000),0)</f>
        <v>0</v>
      </c>
      <c r="VS1">
        <f>IFERROR(SUMPRODUCT((Responses!VS2:VS8000&lt;&gt;"")/COUNTIF(Responses!VS2:VS8000,Responses!VS2:VS8000&amp;""))/COUNTA(Responses!VS2:VS8000),0)</f>
        <v>0</v>
      </c>
      <c r="VT1">
        <f>IFERROR(SUMPRODUCT((Responses!VT2:VT8000&lt;&gt;"")/COUNTIF(Responses!VT2:VT8000,Responses!VT2:VT8000&amp;""))/COUNTA(Responses!VT2:VT8000),0)</f>
        <v>0</v>
      </c>
      <c r="VU1">
        <f>IFERROR(SUMPRODUCT((Responses!VU2:VU8000&lt;&gt;"")/COUNTIF(Responses!VU2:VU8000,Responses!VU2:VU8000&amp;""))/COUNTA(Responses!VU2:VU8000),0)</f>
        <v>0</v>
      </c>
      <c r="VV1">
        <f>IFERROR(SUMPRODUCT((Responses!VV2:VV8000&lt;&gt;"")/COUNTIF(Responses!VV2:VV8000,Responses!VV2:VV8000&amp;""))/COUNTA(Responses!VV2:VV8000),0)</f>
        <v>0</v>
      </c>
      <c r="VW1">
        <f>IFERROR(SUMPRODUCT((Responses!VW2:VW8000&lt;&gt;"")/COUNTIF(Responses!VW2:VW8000,Responses!VW2:VW8000&amp;""))/COUNTA(Responses!VW2:VW8000),0)</f>
        <v>0</v>
      </c>
      <c r="VX1">
        <f>IFERROR(SUMPRODUCT((Responses!VX2:VX8000&lt;&gt;"")/COUNTIF(Responses!VX2:VX8000,Responses!VX2:VX8000&amp;""))/COUNTA(Responses!VX2:VX8000),0)</f>
        <v>0</v>
      </c>
      <c r="VY1">
        <f>IFERROR(SUMPRODUCT((Responses!VY2:VY8000&lt;&gt;"")/COUNTIF(Responses!VY2:VY8000,Responses!VY2:VY8000&amp;""))/COUNTA(Responses!VY2:VY8000),0)</f>
        <v>0</v>
      </c>
      <c r="VZ1">
        <f>IFERROR(SUMPRODUCT((Responses!VZ2:VZ8000&lt;&gt;"")/COUNTIF(Responses!VZ2:VZ8000,Responses!VZ2:VZ8000&amp;""))/COUNTA(Responses!VZ2:VZ8000),0)</f>
        <v>0</v>
      </c>
      <c r="WA1">
        <f>IFERROR(SUMPRODUCT((Responses!WA2:WA8000&lt;&gt;"")/COUNTIF(Responses!WA2:WA8000,Responses!WA2:WA8000&amp;""))/COUNTA(Responses!WA2:WA8000),0)</f>
        <v>0</v>
      </c>
      <c r="WB1">
        <f>IFERROR(SUMPRODUCT((Responses!WB2:WB8000&lt;&gt;"")/COUNTIF(Responses!WB2:WB8000,Responses!WB2:WB8000&amp;""))/COUNTA(Responses!WB2:WB8000),0)</f>
        <v>0</v>
      </c>
      <c r="WC1">
        <f>IFERROR(SUMPRODUCT((Responses!WC2:WC8000&lt;&gt;"")/COUNTIF(Responses!WC2:WC8000,Responses!WC2:WC8000&amp;""))/COUNTA(Responses!WC2:WC8000),0)</f>
        <v>0</v>
      </c>
      <c r="WD1">
        <f>IFERROR(SUMPRODUCT((Responses!WD2:WD8000&lt;&gt;"")/COUNTIF(Responses!WD2:WD8000,Responses!WD2:WD8000&amp;""))/COUNTA(Responses!WD2:WD8000),0)</f>
        <v>0</v>
      </c>
      <c r="WE1">
        <f>IFERROR(SUMPRODUCT((Responses!WE2:WE8000&lt;&gt;"")/COUNTIF(Responses!WE2:WE8000,Responses!WE2:WE8000&amp;""))/COUNTA(Responses!WE2:WE8000),0)</f>
        <v>0</v>
      </c>
      <c r="WF1">
        <f>IFERROR(SUMPRODUCT((Responses!WF2:WF8000&lt;&gt;"")/COUNTIF(Responses!WF2:WF8000,Responses!WF2:WF8000&amp;""))/COUNTA(Responses!WF2:WF8000),0)</f>
        <v>0</v>
      </c>
      <c r="WG1">
        <f>IFERROR(SUMPRODUCT((Responses!WG2:WG8000&lt;&gt;"")/COUNTIF(Responses!WG2:WG8000,Responses!WG2:WG8000&amp;""))/COUNTA(Responses!WG2:WG8000),0)</f>
        <v>0</v>
      </c>
      <c r="WH1">
        <f>IFERROR(SUMPRODUCT((Responses!WH2:WH8000&lt;&gt;"")/COUNTIF(Responses!WH2:WH8000,Responses!WH2:WH8000&amp;""))/COUNTA(Responses!WH2:WH8000),0)</f>
        <v>0</v>
      </c>
      <c r="WI1">
        <f>IFERROR(SUMPRODUCT((Responses!WI2:WI8000&lt;&gt;"")/COUNTIF(Responses!WI2:WI8000,Responses!WI2:WI8000&amp;""))/COUNTA(Responses!WI2:WI8000),0)</f>
        <v>0</v>
      </c>
      <c r="WJ1">
        <f>IFERROR(SUMPRODUCT((Responses!WJ2:WJ8000&lt;&gt;"")/COUNTIF(Responses!WJ2:WJ8000,Responses!WJ2:WJ8000&amp;""))/COUNTA(Responses!WJ2:WJ8000),0)</f>
        <v>0</v>
      </c>
      <c r="WK1">
        <f>IFERROR(SUMPRODUCT((Responses!WK2:WK8000&lt;&gt;"")/COUNTIF(Responses!WK2:WK8000,Responses!WK2:WK8000&amp;""))/COUNTA(Responses!WK2:WK8000),0)</f>
        <v>0</v>
      </c>
      <c r="WL1">
        <f>IFERROR(SUMPRODUCT((Responses!WL2:WL8000&lt;&gt;"")/COUNTIF(Responses!WL2:WL8000,Responses!WL2:WL8000&amp;""))/COUNTA(Responses!WL2:WL8000),0)</f>
        <v>0</v>
      </c>
      <c r="WM1">
        <f>IFERROR(SUMPRODUCT((Responses!WM2:WM8000&lt;&gt;"")/COUNTIF(Responses!WM2:WM8000,Responses!WM2:WM8000&amp;""))/COUNTA(Responses!WM2:WM8000),0)</f>
        <v>0</v>
      </c>
      <c r="WN1">
        <f>IFERROR(SUMPRODUCT((Responses!WN2:WN8000&lt;&gt;"")/COUNTIF(Responses!WN2:WN8000,Responses!WN2:WN8000&amp;""))/COUNTA(Responses!WN2:WN8000),0)</f>
        <v>0</v>
      </c>
      <c r="WO1">
        <f>IFERROR(SUMPRODUCT((Responses!WO2:WO8000&lt;&gt;"")/COUNTIF(Responses!WO2:WO8000,Responses!WO2:WO8000&amp;""))/COUNTA(Responses!WO2:WO8000),0)</f>
        <v>0</v>
      </c>
      <c r="WP1">
        <f>IFERROR(SUMPRODUCT((Responses!WP2:WP8000&lt;&gt;"")/COUNTIF(Responses!WP2:WP8000,Responses!WP2:WP8000&amp;""))/COUNTA(Responses!WP2:WP8000),0)</f>
        <v>0</v>
      </c>
      <c r="WQ1">
        <f>IFERROR(SUMPRODUCT((Responses!WQ2:WQ8000&lt;&gt;"")/COUNTIF(Responses!WQ2:WQ8000,Responses!WQ2:WQ8000&amp;""))/COUNTA(Responses!WQ2:WQ8000),0)</f>
        <v>0</v>
      </c>
      <c r="WR1">
        <f>IFERROR(SUMPRODUCT((Responses!WR2:WR8000&lt;&gt;"")/COUNTIF(Responses!WR2:WR8000,Responses!WR2:WR8000&amp;""))/COUNTA(Responses!WR2:WR8000),0)</f>
        <v>0</v>
      </c>
      <c r="WS1">
        <f>IFERROR(SUMPRODUCT((Responses!WS2:WS8000&lt;&gt;"")/COUNTIF(Responses!WS2:WS8000,Responses!WS2:WS8000&amp;""))/COUNTA(Responses!WS2:WS8000),0)</f>
        <v>0</v>
      </c>
      <c r="WT1">
        <f>IFERROR(SUMPRODUCT((Responses!WT2:WT8000&lt;&gt;"")/COUNTIF(Responses!WT2:WT8000,Responses!WT2:WT8000&amp;""))/COUNTA(Responses!WT2:WT8000),0)</f>
        <v>0</v>
      </c>
      <c r="WU1">
        <f>IFERROR(SUMPRODUCT((Responses!WU2:WU8000&lt;&gt;"")/COUNTIF(Responses!WU2:WU8000,Responses!WU2:WU8000&amp;""))/COUNTA(Responses!WU2:WU8000),0)</f>
        <v>0</v>
      </c>
      <c r="WV1">
        <f>IFERROR(SUMPRODUCT((Responses!WV2:WV8000&lt;&gt;"")/COUNTIF(Responses!WV2:WV8000,Responses!WV2:WV8000&amp;""))/COUNTA(Responses!WV2:WV8000),0)</f>
        <v>0</v>
      </c>
      <c r="WW1">
        <f>IFERROR(SUMPRODUCT((Responses!WW2:WW8000&lt;&gt;"")/COUNTIF(Responses!WW2:WW8000,Responses!WW2:WW8000&amp;""))/COUNTA(Responses!WW2:WW8000),0)</f>
        <v>0</v>
      </c>
      <c r="WX1">
        <f>IFERROR(SUMPRODUCT((Responses!WX2:WX8000&lt;&gt;"")/COUNTIF(Responses!WX2:WX8000,Responses!WX2:WX8000&amp;""))/COUNTA(Responses!WX2:WX8000),0)</f>
        <v>0</v>
      </c>
      <c r="WY1">
        <f>IFERROR(SUMPRODUCT((Responses!WY2:WY8000&lt;&gt;"")/COUNTIF(Responses!WY2:WY8000,Responses!WY2:WY8000&amp;""))/COUNTA(Responses!WY2:WY8000),0)</f>
        <v>0</v>
      </c>
      <c r="WZ1">
        <f>IFERROR(SUMPRODUCT((Responses!WZ2:WZ8000&lt;&gt;"")/COUNTIF(Responses!WZ2:WZ8000,Responses!WZ2:WZ8000&amp;""))/COUNTA(Responses!WZ2:WZ8000),0)</f>
        <v>0</v>
      </c>
      <c r="XA1">
        <f>IFERROR(SUMPRODUCT((Responses!XA2:XA8000&lt;&gt;"")/COUNTIF(Responses!XA2:XA8000,Responses!XA2:XA8000&amp;""))/COUNTA(Responses!XA2:XA8000),0)</f>
        <v>0</v>
      </c>
      <c r="XB1">
        <f>IFERROR(SUMPRODUCT((Responses!XB2:XB8000&lt;&gt;"")/COUNTIF(Responses!XB2:XB8000,Responses!XB2:XB8000&amp;""))/COUNTA(Responses!XB2:XB8000),0)</f>
        <v>0</v>
      </c>
      <c r="XC1">
        <f>IFERROR(SUMPRODUCT((Responses!XC2:XC8000&lt;&gt;"")/COUNTIF(Responses!XC2:XC8000,Responses!XC2:XC8000&amp;""))/COUNTA(Responses!XC2:XC8000),0)</f>
        <v>0</v>
      </c>
      <c r="XD1">
        <f>IFERROR(SUMPRODUCT((Responses!XD2:XD8000&lt;&gt;"")/COUNTIF(Responses!XD2:XD8000,Responses!XD2:XD8000&amp;""))/COUNTA(Responses!XD2:XD8000),0)</f>
        <v>0</v>
      </c>
      <c r="XE1">
        <f>IFERROR(SUMPRODUCT((Responses!XE2:XE8000&lt;&gt;"")/COUNTIF(Responses!XE2:XE8000,Responses!XE2:XE8000&amp;""))/COUNTA(Responses!XE2:XE8000),0)</f>
        <v>0</v>
      </c>
      <c r="XF1">
        <f>IFERROR(SUMPRODUCT((Responses!XF2:XF8000&lt;&gt;"")/COUNTIF(Responses!XF2:XF8000,Responses!XF2:XF8000&amp;""))/COUNTA(Responses!XF2:XF8000),0)</f>
        <v>0</v>
      </c>
      <c r="XG1">
        <f>IFERROR(SUMPRODUCT((Responses!XG2:XG8000&lt;&gt;"")/COUNTIF(Responses!XG2:XG8000,Responses!XG2:XG8000&amp;""))/COUNTA(Responses!XG2:XG8000),0)</f>
        <v>0</v>
      </c>
      <c r="XH1">
        <f>IFERROR(SUMPRODUCT((Responses!XH2:XH8000&lt;&gt;"")/COUNTIF(Responses!XH2:XH8000,Responses!XH2:XH8000&amp;""))/COUNTA(Responses!XH2:XH8000),0)</f>
        <v>0</v>
      </c>
      <c r="XI1">
        <f>IFERROR(SUMPRODUCT((Responses!XI2:XI8000&lt;&gt;"")/COUNTIF(Responses!XI2:XI8000,Responses!XI2:XI8000&amp;""))/COUNTA(Responses!XI2:XI8000),0)</f>
        <v>0</v>
      </c>
      <c r="XJ1">
        <f>IFERROR(SUMPRODUCT((Responses!XJ2:XJ8000&lt;&gt;"")/COUNTIF(Responses!XJ2:XJ8000,Responses!XJ2:XJ8000&amp;""))/COUNTA(Responses!XJ2:XJ8000),0)</f>
        <v>0</v>
      </c>
      <c r="XK1">
        <f>IFERROR(SUMPRODUCT((Responses!XK2:XK8000&lt;&gt;"")/COUNTIF(Responses!XK2:XK8000,Responses!XK2:XK8000&amp;""))/COUNTA(Responses!XK2:XK8000),0)</f>
        <v>0</v>
      </c>
      <c r="XL1">
        <f>IFERROR(SUMPRODUCT((Responses!XL2:XL8000&lt;&gt;"")/COUNTIF(Responses!XL2:XL8000,Responses!XL2:XL8000&amp;""))/COUNTA(Responses!XL2:XL8000),0)</f>
        <v>0</v>
      </c>
      <c r="XM1">
        <f>IFERROR(SUMPRODUCT((Responses!XM2:XM8000&lt;&gt;"")/COUNTIF(Responses!XM2:XM8000,Responses!XM2:XM8000&amp;""))/COUNTA(Responses!XM2:XM8000),0)</f>
        <v>0</v>
      </c>
      <c r="XN1">
        <f>IFERROR(SUMPRODUCT((Responses!XN2:XN8000&lt;&gt;"")/COUNTIF(Responses!XN2:XN8000,Responses!XN2:XN8000&amp;""))/COUNTA(Responses!XN2:XN8000),0)</f>
        <v>0</v>
      </c>
      <c r="XO1">
        <f>IFERROR(SUMPRODUCT((Responses!XO2:XO8000&lt;&gt;"")/COUNTIF(Responses!XO2:XO8000,Responses!XO2:XO8000&amp;""))/COUNTA(Responses!XO2:XO8000),0)</f>
        <v>0</v>
      </c>
      <c r="XP1">
        <f>IFERROR(SUMPRODUCT((Responses!XP2:XP8000&lt;&gt;"")/COUNTIF(Responses!XP2:XP8000,Responses!XP2:XP8000&amp;""))/COUNTA(Responses!XP2:XP8000),0)</f>
        <v>0</v>
      </c>
      <c r="XQ1">
        <f>IFERROR(SUMPRODUCT((Responses!XQ2:XQ8000&lt;&gt;"")/COUNTIF(Responses!XQ2:XQ8000,Responses!XQ2:XQ8000&amp;""))/COUNTA(Responses!XQ2:XQ8000),0)</f>
        <v>0</v>
      </c>
      <c r="XR1">
        <f>IFERROR(SUMPRODUCT((Responses!XR2:XR8000&lt;&gt;"")/COUNTIF(Responses!XR2:XR8000,Responses!XR2:XR8000&amp;""))/COUNTA(Responses!XR2:XR8000),0)</f>
        <v>0</v>
      </c>
      <c r="XS1">
        <f>IFERROR(SUMPRODUCT((Responses!XS2:XS8000&lt;&gt;"")/COUNTIF(Responses!XS2:XS8000,Responses!XS2:XS8000&amp;""))/COUNTA(Responses!XS2:XS8000),0)</f>
        <v>0</v>
      </c>
      <c r="XT1">
        <f>IFERROR(SUMPRODUCT((Responses!XT2:XT8000&lt;&gt;"")/COUNTIF(Responses!XT2:XT8000,Responses!XT2:XT8000&amp;""))/COUNTA(Responses!XT2:XT8000),0)</f>
        <v>0</v>
      </c>
      <c r="XU1">
        <f>IFERROR(SUMPRODUCT((Responses!XU2:XU8000&lt;&gt;"")/COUNTIF(Responses!XU2:XU8000,Responses!XU2:XU8000&amp;""))/COUNTA(Responses!XU2:XU8000),0)</f>
        <v>0</v>
      </c>
      <c r="XV1">
        <f>IFERROR(SUMPRODUCT((Responses!XV2:XV8000&lt;&gt;"")/COUNTIF(Responses!XV2:XV8000,Responses!XV2:XV8000&amp;""))/COUNTA(Responses!XV2:XV8000),0)</f>
        <v>0</v>
      </c>
      <c r="XW1">
        <f>IFERROR(SUMPRODUCT((Responses!XW2:XW8000&lt;&gt;"")/COUNTIF(Responses!XW2:XW8000,Responses!XW2:XW8000&amp;""))/COUNTA(Responses!XW2:XW8000),0)</f>
        <v>0</v>
      </c>
      <c r="XX1">
        <f>IFERROR(SUMPRODUCT((Responses!XX2:XX8000&lt;&gt;"")/COUNTIF(Responses!XX2:XX8000,Responses!XX2:XX8000&amp;""))/COUNTA(Responses!XX2:XX8000),0)</f>
        <v>0</v>
      </c>
      <c r="XY1">
        <f>IFERROR(SUMPRODUCT((Responses!XY2:XY8000&lt;&gt;"")/COUNTIF(Responses!XY2:XY8000,Responses!XY2:XY8000&amp;""))/COUNTA(Responses!XY2:XY8000),0)</f>
        <v>0</v>
      </c>
      <c r="XZ1">
        <f>IFERROR(SUMPRODUCT((Responses!XZ2:XZ8000&lt;&gt;"")/COUNTIF(Responses!XZ2:XZ8000,Responses!XZ2:XZ8000&amp;""))/COUNTA(Responses!XZ2:XZ8000),0)</f>
        <v>0</v>
      </c>
      <c r="YA1">
        <f>IFERROR(SUMPRODUCT((Responses!YA2:YA8000&lt;&gt;"")/COUNTIF(Responses!YA2:YA8000,Responses!YA2:YA8000&amp;""))/COUNTA(Responses!YA2:YA8000),0)</f>
        <v>0</v>
      </c>
      <c r="YB1">
        <f>IFERROR(SUMPRODUCT((Responses!YB2:YB8000&lt;&gt;"")/COUNTIF(Responses!YB2:YB8000,Responses!YB2:YB8000&amp;""))/COUNTA(Responses!YB2:YB8000),0)</f>
        <v>0</v>
      </c>
      <c r="YC1">
        <f>IFERROR(SUMPRODUCT((Responses!YC2:YC8000&lt;&gt;"")/COUNTIF(Responses!YC2:YC8000,Responses!YC2:YC8000&amp;""))/COUNTA(Responses!YC2:YC8000),0)</f>
        <v>0</v>
      </c>
      <c r="YD1">
        <f>IFERROR(SUMPRODUCT((Responses!YD2:YD8000&lt;&gt;"")/COUNTIF(Responses!YD2:YD8000,Responses!YD2:YD8000&amp;""))/COUNTA(Responses!YD2:YD8000),0)</f>
        <v>0</v>
      </c>
      <c r="YE1">
        <f>IFERROR(SUMPRODUCT((Responses!YE2:YE8000&lt;&gt;"")/COUNTIF(Responses!YE2:YE8000,Responses!YE2:YE8000&amp;""))/COUNTA(Responses!YE2:YE8000),0)</f>
        <v>0</v>
      </c>
      <c r="YF1">
        <f>IFERROR(SUMPRODUCT((Responses!YF2:YF8000&lt;&gt;"")/COUNTIF(Responses!YF2:YF8000,Responses!YF2:YF8000&amp;""))/COUNTA(Responses!YF2:YF8000),0)</f>
        <v>0</v>
      </c>
      <c r="YG1">
        <f>IFERROR(SUMPRODUCT((Responses!YG2:YG8000&lt;&gt;"")/COUNTIF(Responses!YG2:YG8000,Responses!YG2:YG8000&amp;""))/COUNTA(Responses!YG2:YG8000),0)</f>
        <v>0</v>
      </c>
      <c r="YH1">
        <f>IFERROR(SUMPRODUCT((Responses!YH2:YH8000&lt;&gt;"")/COUNTIF(Responses!YH2:YH8000,Responses!YH2:YH8000&amp;""))/COUNTA(Responses!YH2:YH8000),0)</f>
        <v>0</v>
      </c>
      <c r="YI1">
        <f>IFERROR(SUMPRODUCT((Responses!YI2:YI8000&lt;&gt;"")/COUNTIF(Responses!YI2:YI8000,Responses!YI2:YI8000&amp;""))/COUNTA(Responses!YI2:YI8000),0)</f>
        <v>0</v>
      </c>
      <c r="YJ1">
        <f>IFERROR(SUMPRODUCT((Responses!YJ2:YJ8000&lt;&gt;"")/COUNTIF(Responses!YJ2:YJ8000,Responses!YJ2:YJ8000&amp;""))/COUNTA(Responses!YJ2:YJ8000),0)</f>
        <v>0</v>
      </c>
      <c r="YK1">
        <f>IFERROR(SUMPRODUCT((Responses!YK2:YK8000&lt;&gt;"")/COUNTIF(Responses!YK2:YK8000,Responses!YK2:YK8000&amp;""))/COUNTA(Responses!YK2:YK8000),0)</f>
        <v>0</v>
      </c>
      <c r="YL1">
        <f>IFERROR(SUMPRODUCT((Responses!YL2:YL8000&lt;&gt;"")/COUNTIF(Responses!YL2:YL8000,Responses!YL2:YL8000&amp;""))/COUNTA(Responses!YL2:YL8000),0)</f>
        <v>0</v>
      </c>
      <c r="YM1">
        <f>IFERROR(SUMPRODUCT((Responses!YM2:YM8000&lt;&gt;"")/COUNTIF(Responses!YM2:YM8000,Responses!YM2:YM8000&amp;""))/COUNTA(Responses!YM2:YM8000),0)</f>
        <v>0</v>
      </c>
      <c r="YN1">
        <f>IFERROR(SUMPRODUCT((Responses!YN2:YN8000&lt;&gt;"")/COUNTIF(Responses!YN2:YN8000,Responses!YN2:YN8000&amp;""))/COUNTA(Responses!YN2:YN8000),0)</f>
        <v>0</v>
      </c>
      <c r="YO1">
        <f>IFERROR(SUMPRODUCT((Responses!YO2:YO8000&lt;&gt;"")/COUNTIF(Responses!YO2:YO8000,Responses!YO2:YO8000&amp;""))/COUNTA(Responses!YO2:YO8000),0)</f>
        <v>0</v>
      </c>
      <c r="YP1">
        <f>IFERROR(SUMPRODUCT((Responses!YP2:YP8000&lt;&gt;"")/COUNTIF(Responses!YP2:YP8000,Responses!YP2:YP8000&amp;""))/COUNTA(Responses!YP2:YP8000),0)</f>
        <v>0</v>
      </c>
      <c r="YQ1">
        <f>IFERROR(SUMPRODUCT((Responses!YQ2:YQ8000&lt;&gt;"")/COUNTIF(Responses!YQ2:YQ8000,Responses!YQ2:YQ8000&amp;""))/COUNTA(Responses!YQ2:YQ8000),0)</f>
        <v>0</v>
      </c>
      <c r="YR1">
        <f>IFERROR(SUMPRODUCT((Responses!YR2:YR8000&lt;&gt;"")/COUNTIF(Responses!YR2:YR8000,Responses!YR2:YR8000&amp;""))/COUNTA(Responses!YR2:YR8000),0)</f>
        <v>0</v>
      </c>
      <c r="YS1">
        <f>IFERROR(SUMPRODUCT((Responses!YS2:YS8000&lt;&gt;"")/COUNTIF(Responses!YS2:YS8000,Responses!YS2:YS8000&amp;""))/COUNTA(Responses!YS2:YS8000),0)</f>
        <v>0</v>
      </c>
      <c r="YT1">
        <f>IFERROR(SUMPRODUCT((Responses!YT2:YT8000&lt;&gt;"")/COUNTIF(Responses!YT2:YT8000,Responses!YT2:YT8000&amp;""))/COUNTA(Responses!YT2:YT8000),0)</f>
        <v>0</v>
      </c>
      <c r="YU1">
        <f>IFERROR(SUMPRODUCT((Responses!YU2:YU8000&lt;&gt;"")/COUNTIF(Responses!YU2:YU8000,Responses!YU2:YU8000&amp;""))/COUNTA(Responses!YU2:YU8000),0)</f>
        <v>0</v>
      </c>
      <c r="YV1">
        <f>IFERROR(SUMPRODUCT((Responses!YV2:YV8000&lt;&gt;"")/COUNTIF(Responses!YV2:YV8000,Responses!YV2:YV8000&amp;""))/COUNTA(Responses!YV2:YV8000),0)</f>
        <v>0</v>
      </c>
      <c r="YW1">
        <f>IFERROR(SUMPRODUCT((Responses!YW2:YW8000&lt;&gt;"")/COUNTIF(Responses!YW2:YW8000,Responses!YW2:YW8000&amp;""))/COUNTA(Responses!YW2:YW8000),0)</f>
        <v>0</v>
      </c>
      <c r="YX1">
        <f>IFERROR(SUMPRODUCT((Responses!YX2:YX8000&lt;&gt;"")/COUNTIF(Responses!YX2:YX8000,Responses!YX2:YX8000&amp;""))/COUNTA(Responses!YX2:YX8000),0)</f>
        <v>0</v>
      </c>
      <c r="YY1">
        <f>IFERROR(SUMPRODUCT((Responses!YY2:YY8000&lt;&gt;"")/COUNTIF(Responses!YY2:YY8000,Responses!YY2:YY8000&amp;""))/COUNTA(Responses!YY2:YY8000),0)</f>
        <v>0</v>
      </c>
      <c r="YZ1">
        <f>IFERROR(SUMPRODUCT((Responses!YZ2:YZ8000&lt;&gt;"")/COUNTIF(Responses!YZ2:YZ8000,Responses!YZ2:YZ8000&amp;""))/COUNTA(Responses!YZ2:YZ8000),0)</f>
        <v>0</v>
      </c>
      <c r="ZA1">
        <f>IFERROR(SUMPRODUCT((Responses!ZA2:ZA8000&lt;&gt;"")/COUNTIF(Responses!ZA2:ZA8000,Responses!ZA2:ZA8000&amp;""))/COUNTA(Responses!ZA2:ZA8000),0)</f>
        <v>0</v>
      </c>
      <c r="ZB1">
        <f>IFERROR(SUMPRODUCT((Responses!ZB2:ZB8000&lt;&gt;"")/COUNTIF(Responses!ZB2:ZB8000,Responses!ZB2:ZB8000&amp;""))/COUNTA(Responses!ZB2:ZB8000),0)</f>
        <v>0</v>
      </c>
      <c r="ZC1">
        <f>IFERROR(SUMPRODUCT((Responses!ZC2:ZC8000&lt;&gt;"")/COUNTIF(Responses!ZC2:ZC8000,Responses!ZC2:ZC8000&amp;""))/COUNTA(Responses!ZC2:ZC8000),0)</f>
        <v>0</v>
      </c>
      <c r="ZD1">
        <f>IFERROR(SUMPRODUCT((Responses!ZD2:ZD8000&lt;&gt;"")/COUNTIF(Responses!ZD2:ZD8000,Responses!ZD2:ZD8000&amp;""))/COUNTA(Responses!ZD2:ZD8000),0)</f>
        <v>0</v>
      </c>
      <c r="ZE1">
        <f>IFERROR(SUMPRODUCT((Responses!ZE2:ZE8000&lt;&gt;"")/COUNTIF(Responses!ZE2:ZE8000,Responses!ZE2:ZE8000&amp;""))/COUNTA(Responses!ZE2:ZE8000),0)</f>
        <v>0</v>
      </c>
      <c r="ZF1">
        <f>IFERROR(SUMPRODUCT((Responses!ZF2:ZF8000&lt;&gt;"")/COUNTIF(Responses!ZF2:ZF8000,Responses!ZF2:ZF8000&amp;""))/COUNTA(Responses!ZF2:ZF8000),0)</f>
        <v>0</v>
      </c>
      <c r="ZG1">
        <f>IFERROR(SUMPRODUCT((Responses!ZG2:ZG8000&lt;&gt;"")/COUNTIF(Responses!ZG2:ZG8000,Responses!ZG2:ZG8000&amp;""))/COUNTA(Responses!ZG2:ZG8000),0)</f>
        <v>0</v>
      </c>
      <c r="ZH1">
        <f>IFERROR(SUMPRODUCT((Responses!ZH2:ZH8000&lt;&gt;"")/COUNTIF(Responses!ZH2:ZH8000,Responses!ZH2:ZH8000&amp;""))/COUNTA(Responses!ZH2:ZH8000),0)</f>
        <v>0</v>
      </c>
      <c r="ZI1">
        <f>IFERROR(SUMPRODUCT((Responses!ZI2:ZI8000&lt;&gt;"")/COUNTIF(Responses!ZI2:ZI8000,Responses!ZI2:ZI8000&amp;""))/COUNTA(Responses!ZI2:ZI8000),0)</f>
        <v>0</v>
      </c>
      <c r="ZJ1">
        <f>IFERROR(SUMPRODUCT((Responses!ZJ2:ZJ8000&lt;&gt;"")/COUNTIF(Responses!ZJ2:ZJ8000,Responses!ZJ2:ZJ8000&amp;""))/COUNTA(Responses!ZJ2:ZJ8000),0)</f>
        <v>0</v>
      </c>
      <c r="ZK1">
        <f>IFERROR(SUMPRODUCT((Responses!ZK2:ZK8000&lt;&gt;"")/COUNTIF(Responses!ZK2:ZK8000,Responses!ZK2:ZK8000&amp;""))/COUNTA(Responses!ZK2:ZK8000),0)</f>
        <v>0</v>
      </c>
      <c r="ZL1">
        <f>IFERROR(SUMPRODUCT((Responses!ZL2:ZL8000&lt;&gt;"")/COUNTIF(Responses!ZL2:ZL8000,Responses!ZL2:ZL8000&amp;""))/COUNTA(Responses!ZL2:ZL8000),0)</f>
        <v>0</v>
      </c>
      <c r="ZM1">
        <f>IFERROR(SUMPRODUCT((Responses!ZM2:ZM8000&lt;&gt;"")/COUNTIF(Responses!ZM2:ZM8000,Responses!ZM2:ZM8000&amp;""))/COUNTA(Responses!ZM2:ZM8000),0)</f>
        <v>0</v>
      </c>
      <c r="ZN1">
        <f>IFERROR(SUMPRODUCT((Responses!ZN2:ZN8000&lt;&gt;"")/COUNTIF(Responses!ZN2:ZN8000,Responses!ZN2:ZN8000&amp;""))/COUNTA(Responses!ZN2:ZN8000),0)</f>
        <v>0</v>
      </c>
      <c r="ZO1">
        <f>IFERROR(SUMPRODUCT((Responses!ZO2:ZO8000&lt;&gt;"")/COUNTIF(Responses!ZO2:ZO8000,Responses!ZO2:ZO8000&amp;""))/COUNTA(Responses!ZO2:ZO8000),0)</f>
        <v>0</v>
      </c>
      <c r="ZP1">
        <f>IFERROR(SUMPRODUCT((Responses!ZP2:ZP8000&lt;&gt;"")/COUNTIF(Responses!ZP2:ZP8000,Responses!ZP2:ZP8000&amp;""))/COUNTA(Responses!ZP2:ZP8000),0)</f>
        <v>0</v>
      </c>
      <c r="ZQ1">
        <f>IFERROR(SUMPRODUCT((Responses!ZQ2:ZQ8000&lt;&gt;"")/COUNTIF(Responses!ZQ2:ZQ8000,Responses!ZQ2:ZQ8000&amp;""))/COUNTA(Responses!ZQ2:ZQ8000),0)</f>
        <v>0</v>
      </c>
      <c r="ZR1">
        <f>IFERROR(SUMPRODUCT((Responses!ZR2:ZR8000&lt;&gt;"")/COUNTIF(Responses!ZR2:ZR8000,Responses!ZR2:ZR8000&amp;""))/COUNTA(Responses!ZR2:ZR8000),0)</f>
        <v>0</v>
      </c>
      <c r="ZS1">
        <f>IFERROR(SUMPRODUCT((Responses!ZS2:ZS8000&lt;&gt;"")/COUNTIF(Responses!ZS2:ZS8000,Responses!ZS2:ZS8000&amp;""))/COUNTA(Responses!ZS2:ZS8000),0)</f>
        <v>0</v>
      </c>
      <c r="ZT1">
        <f>IFERROR(SUMPRODUCT((Responses!ZT2:ZT8000&lt;&gt;"")/COUNTIF(Responses!ZT2:ZT8000,Responses!ZT2:ZT8000&amp;""))/COUNTA(Responses!ZT2:ZT8000),0)</f>
        <v>0</v>
      </c>
      <c r="ZU1">
        <f>IFERROR(SUMPRODUCT((Responses!ZU2:ZU8000&lt;&gt;"")/COUNTIF(Responses!ZU2:ZU8000,Responses!ZU2:ZU8000&amp;""))/COUNTA(Responses!ZU2:ZU8000),0)</f>
        <v>0</v>
      </c>
      <c r="ZV1">
        <f>IFERROR(SUMPRODUCT((Responses!ZV2:ZV8000&lt;&gt;"")/COUNTIF(Responses!ZV2:ZV8000,Responses!ZV2:ZV8000&amp;""))/COUNTA(Responses!ZV2:ZV8000),0)</f>
        <v>0</v>
      </c>
      <c r="ZW1">
        <f>IFERROR(SUMPRODUCT((Responses!ZW2:ZW8000&lt;&gt;"")/COUNTIF(Responses!ZW2:ZW8000,Responses!ZW2:ZW8000&amp;""))/COUNTA(Responses!ZW2:ZW8000),0)</f>
        <v>0</v>
      </c>
      <c r="ZX1">
        <f>IFERROR(SUMPRODUCT((Responses!ZX2:ZX8000&lt;&gt;"")/COUNTIF(Responses!ZX2:ZX8000,Responses!ZX2:ZX8000&amp;""))/COUNTA(Responses!ZX2:ZX8000),0)</f>
        <v>0</v>
      </c>
      <c r="ZY1">
        <f>IFERROR(SUMPRODUCT((Responses!ZY2:ZY8000&lt;&gt;"")/COUNTIF(Responses!ZY2:ZY8000,Responses!ZY2:ZY8000&amp;""))/COUNTA(Responses!ZY2:ZY8000),0)</f>
        <v>0</v>
      </c>
      <c r="ZZ1">
        <f>IFERROR(SUMPRODUCT((Responses!ZZ2:ZZ8000&lt;&gt;"")/COUNTIF(Responses!ZZ2:ZZ8000,Responses!ZZ2:ZZ8000&amp;""))/COUNTA(Responses!ZZ2:ZZ8000),0)</f>
        <v>0</v>
      </c>
    </row>
    <row r="2" spans="1:702">
      <c r="A2">
        <f>COUNTA(Responses!A2:A8000)</f>
        <v>0</v>
      </c>
      <c r="B2">
        <f>COUNTA(Responses!B2:B8000)</f>
        <v>0</v>
      </c>
      <c r="C2">
        <f>COUNTA(Responses!C2:C8000)</f>
        <v>0</v>
      </c>
      <c r="D2">
        <f>COUNTA(Responses!D2:D8000)</f>
        <v>0</v>
      </c>
      <c r="E2">
        <f>COUNTA(Responses!E2:E8000)</f>
        <v>0</v>
      </c>
      <c r="F2">
        <f>COUNTA(Responses!F2:F8000)</f>
        <v>0</v>
      </c>
      <c r="G2">
        <f>COUNTA(Responses!G2:G8000)</f>
        <v>0</v>
      </c>
      <c r="H2">
        <f>COUNTA(Responses!H2:H8000)</f>
        <v>0</v>
      </c>
      <c r="I2">
        <f>COUNTA(Responses!I2:I8000)</f>
        <v>0</v>
      </c>
      <c r="J2">
        <f>COUNTA(Responses!J2:J8000)</f>
        <v>0</v>
      </c>
      <c r="K2">
        <f>COUNTA(Responses!K2:K8000)</f>
        <v>0</v>
      </c>
      <c r="L2">
        <f>COUNTA(Responses!L2:L8000)</f>
        <v>0</v>
      </c>
      <c r="M2">
        <f>COUNTA(Responses!M2:M8000)</f>
        <v>0</v>
      </c>
      <c r="N2">
        <f>COUNTA(Responses!N2:N8000)</f>
        <v>0</v>
      </c>
      <c r="O2">
        <f>COUNTA(Responses!O2:O8000)</f>
        <v>0</v>
      </c>
      <c r="P2">
        <f>COUNTA(Responses!P2:P8000)</f>
        <v>0</v>
      </c>
      <c r="Q2">
        <f>COUNTA(Responses!Q2:Q8000)</f>
        <v>0</v>
      </c>
      <c r="R2">
        <f>COUNTA(Responses!R2:R8000)</f>
        <v>0</v>
      </c>
      <c r="S2">
        <f>COUNTA(Responses!S2:S8000)</f>
        <v>0</v>
      </c>
      <c r="T2">
        <f>COUNTA(Responses!T2:T8000)</f>
        <v>0</v>
      </c>
      <c r="U2">
        <f>COUNTA(Responses!U2:U8000)</f>
        <v>0</v>
      </c>
      <c r="V2">
        <f>COUNTA(Responses!V2:V8000)</f>
        <v>0</v>
      </c>
      <c r="W2">
        <f>COUNTA(Responses!W2:W8000)</f>
        <v>0</v>
      </c>
      <c r="X2">
        <f>COUNTA(Responses!X2:X8000)</f>
        <v>0</v>
      </c>
      <c r="Y2">
        <f>COUNTA(Responses!Y2:Y8000)</f>
        <v>0</v>
      </c>
      <c r="Z2">
        <f>COUNTA(Responses!Z2:Z8000)</f>
        <v>0</v>
      </c>
      <c r="AA2">
        <f>COUNTA(Responses!AA2:AA8000)</f>
        <v>0</v>
      </c>
      <c r="AB2">
        <f>COUNTA(Responses!AB2:AB8000)</f>
        <v>0</v>
      </c>
      <c r="AC2">
        <f>COUNTA(Responses!AC2:AC8000)</f>
        <v>0</v>
      </c>
      <c r="AD2">
        <f>COUNTA(Responses!AD2:AD8000)</f>
        <v>0</v>
      </c>
      <c r="AE2">
        <f>COUNTA(Responses!AE2:AE8000)</f>
        <v>0</v>
      </c>
      <c r="AF2">
        <f>COUNTA(Responses!AF2:AF8000)</f>
        <v>0</v>
      </c>
      <c r="AG2">
        <f>COUNTA(Responses!AG2:AG8000)</f>
        <v>0</v>
      </c>
      <c r="AH2">
        <f>COUNTA(Responses!AH2:AH8000)</f>
        <v>0</v>
      </c>
      <c r="AI2">
        <f>COUNTA(Responses!AI2:AI8000)</f>
        <v>0</v>
      </c>
      <c r="AJ2">
        <f>COUNTA(Responses!AJ2:AJ8000)</f>
        <v>0</v>
      </c>
      <c r="AK2">
        <f>COUNTA(Responses!AK2:AK8000)</f>
        <v>0</v>
      </c>
      <c r="AL2">
        <f>COUNTA(Responses!AL2:AL8000)</f>
        <v>0</v>
      </c>
      <c r="AM2">
        <f>COUNTA(Responses!AM2:AM8000)</f>
        <v>0</v>
      </c>
      <c r="AN2">
        <f>COUNTA(Responses!AN2:AN8000)</f>
        <v>0</v>
      </c>
      <c r="AO2">
        <f>COUNTA(Responses!AO2:AO8000)</f>
        <v>0</v>
      </c>
      <c r="AP2">
        <f>COUNTA(Responses!AP2:AP8000)</f>
        <v>0</v>
      </c>
      <c r="AQ2">
        <f>COUNTA(Responses!AQ2:AQ8000)</f>
        <v>0</v>
      </c>
      <c r="AR2">
        <f>COUNTA(Responses!AR2:AR8000)</f>
        <v>0</v>
      </c>
      <c r="AS2">
        <f>COUNTA(Responses!AS2:AS8000)</f>
        <v>0</v>
      </c>
      <c r="AT2">
        <f>COUNTA(Responses!AT2:AT8000)</f>
        <v>0</v>
      </c>
      <c r="AU2">
        <f>COUNTA(Responses!AU2:AU8000)</f>
        <v>0</v>
      </c>
      <c r="AV2">
        <f>COUNTA(Responses!AV2:AV8000)</f>
        <v>0</v>
      </c>
      <c r="AW2">
        <f>COUNTA(Responses!AW2:AW8000)</f>
        <v>0</v>
      </c>
      <c r="AX2">
        <f>COUNTA(Responses!AX2:AX8000)</f>
        <v>0</v>
      </c>
      <c r="AY2">
        <f>COUNTA(Responses!AY2:AY8000)</f>
        <v>0</v>
      </c>
      <c r="AZ2">
        <f>COUNTA(Responses!AZ2:AZ8000)</f>
        <v>0</v>
      </c>
      <c r="BA2">
        <f>COUNTA(Responses!BA2:BA8000)</f>
        <v>0</v>
      </c>
      <c r="BB2">
        <f>COUNTA(Responses!BB2:BB8000)</f>
        <v>0</v>
      </c>
      <c r="BC2">
        <f>COUNTA(Responses!BC2:BC8000)</f>
        <v>0</v>
      </c>
      <c r="BD2">
        <f>COUNTA(Responses!BD2:BD8000)</f>
        <v>0</v>
      </c>
      <c r="BE2">
        <f>COUNTA(Responses!BE2:BE8000)</f>
        <v>0</v>
      </c>
      <c r="BF2">
        <f>COUNTA(Responses!BF2:BF8000)</f>
        <v>0</v>
      </c>
      <c r="BG2">
        <f>COUNTA(Responses!BG2:BG8000)</f>
        <v>0</v>
      </c>
      <c r="BH2">
        <f>COUNTA(Responses!BH2:BH8000)</f>
        <v>0</v>
      </c>
      <c r="BI2">
        <f>COUNTA(Responses!BI2:BI8000)</f>
        <v>0</v>
      </c>
      <c r="BJ2">
        <f>COUNTA(Responses!BJ2:BJ8000)</f>
        <v>0</v>
      </c>
      <c r="BK2">
        <f>COUNTA(Responses!BK2:BK8000)</f>
        <v>0</v>
      </c>
      <c r="BL2">
        <f>COUNTA(Responses!BL2:BL8000)</f>
        <v>0</v>
      </c>
      <c r="BM2">
        <f>COUNTA(Responses!BM2:BM8000)</f>
        <v>0</v>
      </c>
      <c r="BN2">
        <f>COUNTA(Responses!BN2:BN8000)</f>
        <v>0</v>
      </c>
      <c r="BO2">
        <f>COUNTA(Responses!BO2:BO8000)</f>
        <v>0</v>
      </c>
      <c r="BP2">
        <f>COUNTA(Responses!BP2:BP8000)</f>
        <v>0</v>
      </c>
      <c r="BQ2">
        <f>COUNTA(Responses!BQ2:BQ8000)</f>
        <v>0</v>
      </c>
      <c r="BR2">
        <f>COUNTA(Responses!BR2:BR8000)</f>
        <v>0</v>
      </c>
      <c r="BS2">
        <f>COUNTA(Responses!BS2:BS8000)</f>
        <v>0</v>
      </c>
      <c r="BT2">
        <f>COUNTA(Responses!BT2:BT8000)</f>
        <v>0</v>
      </c>
      <c r="BU2">
        <f>COUNTA(Responses!BU2:BU8000)</f>
        <v>0</v>
      </c>
      <c r="BV2">
        <f>COUNTA(Responses!BV2:BV8000)</f>
        <v>0</v>
      </c>
      <c r="BW2">
        <f>COUNTA(Responses!BW2:BW8000)</f>
        <v>0</v>
      </c>
      <c r="BX2">
        <f>COUNTA(Responses!BX2:BX8000)</f>
        <v>0</v>
      </c>
      <c r="BY2">
        <f>COUNTA(Responses!BY2:BY8000)</f>
        <v>0</v>
      </c>
      <c r="BZ2">
        <f>COUNTA(Responses!BZ2:BZ8000)</f>
        <v>0</v>
      </c>
      <c r="CA2">
        <f>COUNTA(Responses!CA2:CA8000)</f>
        <v>0</v>
      </c>
      <c r="CB2">
        <f>COUNTA(Responses!CB2:CB8000)</f>
        <v>0</v>
      </c>
      <c r="CC2">
        <f>COUNTA(Responses!CC2:CC8000)</f>
        <v>0</v>
      </c>
      <c r="CD2">
        <f>COUNTA(Responses!CD2:CD8000)</f>
        <v>0</v>
      </c>
      <c r="CE2">
        <f>COUNTA(Responses!CE2:CE8000)</f>
        <v>0</v>
      </c>
      <c r="CF2">
        <f>COUNTA(Responses!CF2:CF8000)</f>
        <v>0</v>
      </c>
      <c r="CG2">
        <f>COUNTA(Responses!CG2:CG8000)</f>
        <v>0</v>
      </c>
      <c r="CH2">
        <f>COUNTA(Responses!CH2:CH8000)</f>
        <v>0</v>
      </c>
      <c r="CI2">
        <f>COUNTA(Responses!CI2:CI8000)</f>
        <v>0</v>
      </c>
      <c r="CJ2">
        <f>COUNTA(Responses!CJ2:CJ8000)</f>
        <v>0</v>
      </c>
      <c r="CK2">
        <f>COUNTA(Responses!CK2:CK8000)</f>
        <v>0</v>
      </c>
      <c r="CL2">
        <f>COUNTA(Responses!CL2:CL8000)</f>
        <v>0</v>
      </c>
      <c r="CM2">
        <f>COUNTA(Responses!CM2:CM8000)</f>
        <v>0</v>
      </c>
      <c r="CN2">
        <f>COUNTA(Responses!CN2:CN8000)</f>
        <v>0</v>
      </c>
      <c r="CO2">
        <f>COUNTA(Responses!CO2:CO8000)</f>
        <v>0</v>
      </c>
      <c r="CP2">
        <f>COUNTA(Responses!CP2:CP8000)</f>
        <v>0</v>
      </c>
      <c r="CQ2">
        <f>COUNTA(Responses!CQ2:CQ8000)</f>
        <v>0</v>
      </c>
      <c r="CR2">
        <f>COUNTA(Responses!CR2:CR8000)</f>
        <v>0</v>
      </c>
      <c r="CS2">
        <f>COUNTA(Responses!CS2:CS8000)</f>
        <v>0</v>
      </c>
      <c r="CT2">
        <f>COUNTA(Responses!CT2:CT8000)</f>
        <v>0</v>
      </c>
      <c r="CU2">
        <f>COUNTA(Responses!CU2:CU8000)</f>
        <v>0</v>
      </c>
      <c r="CV2">
        <f>COUNTA(Responses!CV2:CV8000)</f>
        <v>0</v>
      </c>
      <c r="CW2">
        <f>COUNTA(Responses!CW2:CW8000)</f>
        <v>0</v>
      </c>
      <c r="CX2">
        <f>COUNTA(Responses!CX2:CX8000)</f>
        <v>0</v>
      </c>
      <c r="CY2">
        <f>COUNTA(Responses!CY2:CY8000)</f>
        <v>0</v>
      </c>
      <c r="CZ2">
        <f>COUNTA(Responses!CZ2:CZ8000)</f>
        <v>0</v>
      </c>
      <c r="DA2">
        <f>COUNTA(Responses!DA2:DA8000)</f>
        <v>0</v>
      </c>
      <c r="DB2">
        <f>COUNTA(Responses!DB2:DB8000)</f>
        <v>0</v>
      </c>
      <c r="DC2">
        <f>COUNTA(Responses!DC2:DC8000)</f>
        <v>0</v>
      </c>
      <c r="DD2">
        <f>COUNTA(Responses!DD2:DD8000)</f>
        <v>0</v>
      </c>
      <c r="DE2">
        <f>COUNTA(Responses!DE2:DE8000)</f>
        <v>0</v>
      </c>
      <c r="DF2">
        <f>COUNTA(Responses!DF2:DF8000)</f>
        <v>0</v>
      </c>
      <c r="DG2">
        <f>COUNTA(Responses!DG2:DG8000)</f>
        <v>0</v>
      </c>
      <c r="DH2">
        <f>COUNTA(Responses!DH2:DH8000)</f>
        <v>0</v>
      </c>
      <c r="DI2">
        <f>COUNTA(Responses!DI2:DI8000)</f>
        <v>0</v>
      </c>
      <c r="DJ2">
        <f>COUNTA(Responses!DJ2:DJ8000)</f>
        <v>0</v>
      </c>
      <c r="DK2">
        <f>COUNTA(Responses!DK2:DK8000)</f>
        <v>0</v>
      </c>
      <c r="DL2">
        <f>COUNTA(Responses!DL2:DL8000)</f>
        <v>0</v>
      </c>
      <c r="DM2">
        <f>COUNTA(Responses!DM2:DM8000)</f>
        <v>0</v>
      </c>
      <c r="DN2">
        <f>COUNTA(Responses!DN2:DN8000)</f>
        <v>0</v>
      </c>
      <c r="DO2">
        <f>COUNTA(Responses!DO2:DO8000)</f>
        <v>0</v>
      </c>
      <c r="DP2">
        <f>COUNTA(Responses!DP2:DP8000)</f>
        <v>0</v>
      </c>
      <c r="DQ2">
        <f>COUNTA(Responses!DQ2:DQ8000)</f>
        <v>0</v>
      </c>
      <c r="DR2">
        <f>COUNTA(Responses!DR2:DR8000)</f>
        <v>0</v>
      </c>
      <c r="DS2">
        <f>COUNTA(Responses!DS2:DS8000)</f>
        <v>0</v>
      </c>
      <c r="DT2">
        <f>COUNTA(Responses!DT2:DT8000)</f>
        <v>0</v>
      </c>
      <c r="DU2">
        <f>COUNTA(Responses!DU2:DU8000)</f>
        <v>0</v>
      </c>
      <c r="DV2">
        <f>COUNTA(Responses!DV2:DV8000)</f>
        <v>0</v>
      </c>
      <c r="DW2">
        <f>COUNTA(Responses!DW2:DW8000)</f>
        <v>0</v>
      </c>
      <c r="DX2">
        <f>COUNTA(Responses!DX2:DX8000)</f>
        <v>0</v>
      </c>
      <c r="DY2">
        <f>COUNTA(Responses!DY2:DY8000)</f>
        <v>0</v>
      </c>
      <c r="DZ2">
        <f>COUNTA(Responses!DZ2:DZ8000)</f>
        <v>0</v>
      </c>
      <c r="EA2">
        <f>COUNTA(Responses!EA2:EA8000)</f>
        <v>0</v>
      </c>
      <c r="EB2">
        <f>COUNTA(Responses!EB2:EB8000)</f>
        <v>0</v>
      </c>
      <c r="EC2">
        <f>COUNTA(Responses!EC2:EC8000)</f>
        <v>0</v>
      </c>
      <c r="ED2">
        <f>COUNTA(Responses!ED2:ED8000)</f>
        <v>0</v>
      </c>
      <c r="EE2">
        <f>COUNTA(Responses!EE2:EE8000)</f>
        <v>0</v>
      </c>
      <c r="EF2">
        <f>COUNTA(Responses!EF2:EF8000)</f>
        <v>0</v>
      </c>
      <c r="EG2">
        <f>COUNTA(Responses!EG2:EG8000)</f>
        <v>0</v>
      </c>
      <c r="EH2">
        <f>COUNTA(Responses!EH2:EH8000)</f>
        <v>0</v>
      </c>
      <c r="EI2">
        <f>COUNTA(Responses!EI2:EI8000)</f>
        <v>0</v>
      </c>
      <c r="EJ2">
        <f>COUNTA(Responses!EJ2:EJ8000)</f>
        <v>0</v>
      </c>
      <c r="EK2">
        <f>COUNTA(Responses!EK2:EK8000)</f>
        <v>0</v>
      </c>
      <c r="EL2">
        <f>COUNTA(Responses!EL2:EL8000)</f>
        <v>0</v>
      </c>
      <c r="EM2">
        <f>COUNTA(Responses!EM2:EM8000)</f>
        <v>0</v>
      </c>
      <c r="EN2">
        <f>COUNTA(Responses!EN2:EN8000)</f>
        <v>0</v>
      </c>
      <c r="EO2">
        <f>COUNTA(Responses!EO2:EO8000)</f>
        <v>0</v>
      </c>
      <c r="EP2">
        <f>COUNTA(Responses!EP2:EP8000)</f>
        <v>0</v>
      </c>
      <c r="EQ2">
        <f>COUNTA(Responses!EQ2:EQ8000)</f>
        <v>0</v>
      </c>
      <c r="ER2">
        <f>COUNTA(Responses!ER2:ER8000)</f>
        <v>0</v>
      </c>
      <c r="ES2">
        <f>COUNTA(Responses!ES2:ES8000)</f>
        <v>0</v>
      </c>
      <c r="ET2">
        <f>COUNTA(Responses!ET2:ET8000)</f>
        <v>0</v>
      </c>
      <c r="EU2">
        <f>COUNTA(Responses!EU2:EU8000)</f>
        <v>0</v>
      </c>
      <c r="EV2">
        <f>COUNTA(Responses!EV2:EV8000)</f>
        <v>0</v>
      </c>
      <c r="EW2">
        <f>COUNTA(Responses!EW2:EW8000)</f>
        <v>0</v>
      </c>
      <c r="EX2">
        <f>COUNTA(Responses!EX2:EX8000)</f>
        <v>0</v>
      </c>
      <c r="EY2">
        <f>COUNTA(Responses!EY2:EY8000)</f>
        <v>0</v>
      </c>
      <c r="EZ2">
        <f>COUNTA(Responses!EZ2:EZ8000)</f>
        <v>0</v>
      </c>
      <c r="FA2">
        <f>COUNTA(Responses!FA2:FA8000)</f>
        <v>0</v>
      </c>
      <c r="FB2">
        <f>COUNTA(Responses!FB2:FB8000)</f>
        <v>0</v>
      </c>
      <c r="FC2">
        <f>COUNTA(Responses!FC2:FC8000)</f>
        <v>0</v>
      </c>
      <c r="FD2">
        <f>COUNTA(Responses!FD2:FD8000)</f>
        <v>0</v>
      </c>
      <c r="FE2">
        <f>COUNTA(Responses!FE2:FE8000)</f>
        <v>0</v>
      </c>
      <c r="FF2">
        <f>COUNTA(Responses!FF2:FF8000)</f>
        <v>0</v>
      </c>
      <c r="FG2">
        <f>COUNTA(Responses!FG2:FG8000)</f>
        <v>0</v>
      </c>
      <c r="FH2">
        <f>COUNTA(Responses!FH2:FH8000)</f>
        <v>0</v>
      </c>
      <c r="FI2">
        <f>COUNTA(Responses!FI2:FI8000)</f>
        <v>0</v>
      </c>
      <c r="FJ2">
        <f>COUNTA(Responses!FJ2:FJ8000)</f>
        <v>0</v>
      </c>
      <c r="FK2">
        <f>COUNTA(Responses!FK2:FK8000)</f>
        <v>0</v>
      </c>
      <c r="FL2">
        <f>COUNTA(Responses!FL2:FL8000)</f>
        <v>0</v>
      </c>
      <c r="FM2">
        <f>COUNTA(Responses!FM2:FM8000)</f>
        <v>0</v>
      </c>
      <c r="FN2">
        <f>COUNTA(Responses!FN2:FN8000)</f>
        <v>0</v>
      </c>
      <c r="FO2">
        <f>COUNTA(Responses!FO2:FO8000)</f>
        <v>0</v>
      </c>
      <c r="FP2">
        <f>COUNTA(Responses!FP2:FP8000)</f>
        <v>0</v>
      </c>
      <c r="FQ2">
        <f>COUNTA(Responses!FQ2:FQ8000)</f>
        <v>0</v>
      </c>
      <c r="FR2">
        <f>COUNTA(Responses!FR2:FR8000)</f>
        <v>0</v>
      </c>
      <c r="FS2">
        <f>COUNTA(Responses!FS2:FS8000)</f>
        <v>0</v>
      </c>
      <c r="FT2">
        <f>COUNTA(Responses!FT2:FT8000)</f>
        <v>0</v>
      </c>
      <c r="FU2">
        <f>COUNTA(Responses!FU2:FU8000)</f>
        <v>0</v>
      </c>
      <c r="FV2">
        <f>COUNTA(Responses!FV2:FV8000)</f>
        <v>0</v>
      </c>
      <c r="FW2">
        <f>COUNTA(Responses!FW2:FW8000)</f>
        <v>0</v>
      </c>
      <c r="FX2">
        <f>COUNTA(Responses!FX2:FX8000)</f>
        <v>0</v>
      </c>
      <c r="FY2">
        <f>COUNTA(Responses!FY2:FY8000)</f>
        <v>0</v>
      </c>
      <c r="FZ2">
        <f>COUNTA(Responses!FZ2:FZ8000)</f>
        <v>0</v>
      </c>
      <c r="GA2">
        <f>COUNTA(Responses!GA2:GA8000)</f>
        <v>0</v>
      </c>
      <c r="GB2">
        <f>COUNTA(Responses!GB2:GB8000)</f>
        <v>0</v>
      </c>
      <c r="GC2">
        <f>COUNTA(Responses!GC2:GC8000)</f>
        <v>0</v>
      </c>
      <c r="GD2">
        <f>COUNTA(Responses!GD2:GD8000)</f>
        <v>0</v>
      </c>
      <c r="GE2">
        <f>COUNTA(Responses!GE2:GE8000)</f>
        <v>0</v>
      </c>
      <c r="GF2">
        <f>COUNTA(Responses!GF2:GF8000)</f>
        <v>0</v>
      </c>
      <c r="GG2">
        <f>COUNTA(Responses!GG2:GG8000)</f>
        <v>0</v>
      </c>
      <c r="GH2">
        <f>COUNTA(Responses!GH2:GH8000)</f>
        <v>0</v>
      </c>
      <c r="GI2">
        <f>COUNTA(Responses!GI2:GI8000)</f>
        <v>0</v>
      </c>
      <c r="GJ2">
        <f>COUNTA(Responses!GJ2:GJ8000)</f>
        <v>0</v>
      </c>
      <c r="GK2">
        <f>COUNTA(Responses!GK2:GK8000)</f>
        <v>0</v>
      </c>
      <c r="GL2">
        <f>COUNTA(Responses!GL2:GL8000)</f>
        <v>0</v>
      </c>
      <c r="GM2">
        <f>COUNTA(Responses!GM2:GM8000)</f>
        <v>0</v>
      </c>
      <c r="GN2">
        <f>COUNTA(Responses!GN2:GN8000)</f>
        <v>0</v>
      </c>
      <c r="GO2">
        <f>COUNTA(Responses!GO2:GO8000)</f>
        <v>0</v>
      </c>
      <c r="GP2">
        <f>COUNTA(Responses!GP2:GP8000)</f>
        <v>0</v>
      </c>
      <c r="GQ2">
        <f>COUNTA(Responses!GQ2:GQ8000)</f>
        <v>0</v>
      </c>
      <c r="GR2">
        <f>COUNTA(Responses!GR2:GR8000)</f>
        <v>0</v>
      </c>
      <c r="GS2">
        <f>COUNTA(Responses!GS2:GS8000)</f>
        <v>0</v>
      </c>
      <c r="GT2">
        <f>COUNTA(Responses!GT2:GT8000)</f>
        <v>0</v>
      </c>
      <c r="GU2">
        <f>COUNTA(Responses!GU2:GU8000)</f>
        <v>0</v>
      </c>
      <c r="GV2">
        <f>COUNTA(Responses!GV2:GV8000)</f>
        <v>0</v>
      </c>
      <c r="GW2">
        <f>COUNTA(Responses!GW2:GW8000)</f>
        <v>0</v>
      </c>
      <c r="GX2">
        <f>COUNTA(Responses!GX2:GX8000)</f>
        <v>0</v>
      </c>
      <c r="GY2">
        <f>COUNTA(Responses!GY2:GY8000)</f>
        <v>0</v>
      </c>
      <c r="GZ2">
        <f>COUNTA(Responses!GZ2:GZ8000)</f>
        <v>0</v>
      </c>
      <c r="HA2">
        <f>COUNTA(Responses!HA2:HA8000)</f>
        <v>0</v>
      </c>
      <c r="HB2">
        <f>COUNTA(Responses!HB2:HB8000)</f>
        <v>0</v>
      </c>
      <c r="HC2">
        <f>COUNTA(Responses!HC2:HC8000)</f>
        <v>0</v>
      </c>
      <c r="HD2">
        <f>COUNTA(Responses!HD2:HD8000)</f>
        <v>0</v>
      </c>
      <c r="HE2">
        <f>COUNTA(Responses!HE2:HE8000)</f>
        <v>0</v>
      </c>
      <c r="HF2">
        <f>COUNTA(Responses!HF2:HF8000)</f>
        <v>0</v>
      </c>
      <c r="HG2">
        <f>COUNTA(Responses!HG2:HG8000)</f>
        <v>0</v>
      </c>
      <c r="HH2">
        <f>COUNTA(Responses!HH2:HH8000)</f>
        <v>0</v>
      </c>
      <c r="HI2">
        <f>COUNTA(Responses!HI2:HI8000)</f>
        <v>0</v>
      </c>
      <c r="HJ2">
        <f>COUNTA(Responses!HJ2:HJ8000)</f>
        <v>0</v>
      </c>
      <c r="HK2">
        <f>COUNTA(Responses!HK2:HK8000)</f>
        <v>0</v>
      </c>
      <c r="HL2">
        <f>COUNTA(Responses!HL2:HL8000)</f>
        <v>0</v>
      </c>
      <c r="HM2">
        <f>COUNTA(Responses!HM2:HM8000)</f>
        <v>0</v>
      </c>
      <c r="HN2">
        <f>COUNTA(Responses!HN2:HN8000)</f>
        <v>0</v>
      </c>
      <c r="HO2">
        <f>COUNTA(Responses!HO2:HO8000)</f>
        <v>0</v>
      </c>
      <c r="HP2">
        <f>COUNTA(Responses!HP2:HP8000)</f>
        <v>0</v>
      </c>
      <c r="HQ2">
        <f>COUNTA(Responses!HQ2:HQ8000)</f>
        <v>0</v>
      </c>
      <c r="HR2">
        <f>COUNTA(Responses!HR2:HR8000)</f>
        <v>0</v>
      </c>
      <c r="HS2">
        <f>COUNTA(Responses!HS2:HS8000)</f>
        <v>0</v>
      </c>
      <c r="HT2">
        <f>COUNTA(Responses!HT2:HT8000)</f>
        <v>0</v>
      </c>
      <c r="HU2">
        <f>COUNTA(Responses!HU2:HU8000)</f>
        <v>0</v>
      </c>
      <c r="HV2">
        <f>COUNTA(Responses!HV2:HV8000)</f>
        <v>0</v>
      </c>
      <c r="HW2">
        <f>COUNTA(Responses!HW2:HW8000)</f>
        <v>0</v>
      </c>
      <c r="HX2">
        <f>COUNTA(Responses!HX2:HX8000)</f>
        <v>0</v>
      </c>
      <c r="HY2">
        <f>COUNTA(Responses!HY2:HY8000)</f>
        <v>0</v>
      </c>
      <c r="HZ2">
        <f>COUNTA(Responses!HZ2:HZ8000)</f>
        <v>0</v>
      </c>
      <c r="IA2">
        <f>COUNTA(Responses!IA2:IA8000)</f>
        <v>0</v>
      </c>
      <c r="IB2">
        <f>COUNTA(Responses!IB2:IB8000)</f>
        <v>0</v>
      </c>
      <c r="IC2">
        <f>COUNTA(Responses!IC2:IC8000)</f>
        <v>0</v>
      </c>
      <c r="ID2">
        <f>COUNTA(Responses!ID2:ID8000)</f>
        <v>0</v>
      </c>
      <c r="IE2">
        <f>COUNTA(Responses!IE2:IE8000)</f>
        <v>0</v>
      </c>
      <c r="IF2">
        <f>COUNTA(Responses!IF2:IF8000)</f>
        <v>0</v>
      </c>
      <c r="IG2">
        <f>COUNTA(Responses!IG2:IG8000)</f>
        <v>0</v>
      </c>
      <c r="IH2">
        <f>COUNTA(Responses!IH2:IH8000)</f>
        <v>0</v>
      </c>
      <c r="II2">
        <f>COUNTA(Responses!II2:II8000)</f>
        <v>0</v>
      </c>
      <c r="IJ2">
        <f>COUNTA(Responses!IJ2:IJ8000)</f>
        <v>0</v>
      </c>
      <c r="IK2">
        <f>COUNTA(Responses!IK2:IK8000)</f>
        <v>0</v>
      </c>
      <c r="IL2">
        <f>COUNTA(Responses!IL2:IL8000)</f>
        <v>0</v>
      </c>
      <c r="IM2">
        <f>COUNTA(Responses!IM2:IM8000)</f>
        <v>0</v>
      </c>
      <c r="IN2">
        <f>COUNTA(Responses!IN2:IN8000)</f>
        <v>0</v>
      </c>
      <c r="IO2">
        <f>COUNTA(Responses!IO2:IO8000)</f>
        <v>0</v>
      </c>
      <c r="IP2">
        <f>COUNTA(Responses!IP2:IP8000)</f>
        <v>0</v>
      </c>
      <c r="IQ2">
        <f>COUNTA(Responses!IQ2:IQ8000)</f>
        <v>0</v>
      </c>
      <c r="IR2">
        <f>COUNTA(Responses!IR2:IR8000)</f>
        <v>0</v>
      </c>
      <c r="IS2">
        <f>COUNTA(Responses!IS2:IS8000)</f>
        <v>0</v>
      </c>
      <c r="IT2">
        <f>COUNTA(Responses!IT2:IT8000)</f>
        <v>0</v>
      </c>
      <c r="IU2">
        <f>COUNTA(Responses!IU2:IU8000)</f>
        <v>0</v>
      </c>
      <c r="IV2">
        <f>COUNTA(Responses!IV2:IV8000)</f>
        <v>0</v>
      </c>
      <c r="IW2">
        <f>COUNTA(Responses!IW2:IW8000)</f>
        <v>0</v>
      </c>
      <c r="IX2">
        <f>COUNTA(Responses!IX2:IX8000)</f>
        <v>0</v>
      </c>
      <c r="IY2">
        <f>COUNTA(Responses!IY2:IY8000)</f>
        <v>0</v>
      </c>
      <c r="IZ2">
        <f>COUNTA(Responses!IZ2:IZ8000)</f>
        <v>0</v>
      </c>
      <c r="JA2">
        <f>COUNTA(Responses!JA2:JA8000)</f>
        <v>0</v>
      </c>
      <c r="JB2">
        <f>COUNTA(Responses!JB2:JB8000)</f>
        <v>0</v>
      </c>
      <c r="JC2">
        <f>COUNTA(Responses!JC2:JC8000)</f>
        <v>0</v>
      </c>
      <c r="JD2">
        <f>COUNTA(Responses!JD2:JD8000)</f>
        <v>0</v>
      </c>
      <c r="JE2">
        <f>COUNTA(Responses!JE2:JE8000)</f>
        <v>0</v>
      </c>
      <c r="JF2">
        <f>COUNTA(Responses!JF2:JF8000)</f>
        <v>0</v>
      </c>
      <c r="JG2">
        <f>COUNTA(Responses!JG2:JG8000)</f>
        <v>0</v>
      </c>
      <c r="JH2">
        <f>COUNTA(Responses!JH2:JH8000)</f>
        <v>0</v>
      </c>
      <c r="JI2">
        <f>COUNTA(Responses!JI2:JI8000)</f>
        <v>0</v>
      </c>
      <c r="JJ2">
        <f>COUNTA(Responses!JJ2:JJ8000)</f>
        <v>0</v>
      </c>
      <c r="JK2">
        <f>COUNTA(Responses!JK2:JK8000)</f>
        <v>0</v>
      </c>
      <c r="JL2">
        <f>COUNTA(Responses!JL2:JL8000)</f>
        <v>0</v>
      </c>
      <c r="JM2">
        <f>COUNTA(Responses!JM2:JM8000)</f>
        <v>0</v>
      </c>
      <c r="JN2">
        <f>COUNTA(Responses!JN2:JN8000)</f>
        <v>0</v>
      </c>
      <c r="JO2">
        <f>COUNTA(Responses!JO2:JO8000)</f>
        <v>0</v>
      </c>
      <c r="JP2">
        <f>COUNTA(Responses!JP2:JP8000)</f>
        <v>0</v>
      </c>
      <c r="JQ2">
        <f>COUNTA(Responses!JQ2:JQ8000)</f>
        <v>0</v>
      </c>
      <c r="JR2">
        <f>COUNTA(Responses!JR2:JR8000)</f>
        <v>0</v>
      </c>
      <c r="JS2">
        <f>COUNTA(Responses!JS2:JS8000)</f>
        <v>0</v>
      </c>
      <c r="JT2">
        <f>COUNTA(Responses!JT2:JT8000)</f>
        <v>0</v>
      </c>
      <c r="JU2">
        <f>COUNTA(Responses!JU2:JU8000)</f>
        <v>0</v>
      </c>
      <c r="JV2">
        <f>COUNTA(Responses!JV2:JV8000)</f>
        <v>0</v>
      </c>
      <c r="JW2">
        <f>COUNTA(Responses!JW2:JW8000)</f>
        <v>0</v>
      </c>
      <c r="JX2">
        <f>COUNTA(Responses!JX2:JX8000)</f>
        <v>0</v>
      </c>
      <c r="JY2">
        <f>COUNTA(Responses!JY2:JY8000)</f>
        <v>0</v>
      </c>
      <c r="JZ2">
        <f>COUNTA(Responses!JZ2:JZ8000)</f>
        <v>0</v>
      </c>
      <c r="KA2">
        <f>COUNTA(Responses!KA2:KA8000)</f>
        <v>0</v>
      </c>
      <c r="KB2">
        <f>COUNTA(Responses!KB2:KB8000)</f>
        <v>0</v>
      </c>
      <c r="KC2">
        <f>COUNTA(Responses!KC2:KC8000)</f>
        <v>0</v>
      </c>
      <c r="KD2">
        <f>COUNTA(Responses!KD2:KD8000)</f>
        <v>0</v>
      </c>
      <c r="KE2">
        <f>COUNTA(Responses!KE2:KE8000)</f>
        <v>0</v>
      </c>
      <c r="KF2">
        <f>COUNTA(Responses!KF2:KF8000)</f>
        <v>0</v>
      </c>
      <c r="KG2">
        <f>COUNTA(Responses!KG2:KG8000)</f>
        <v>0</v>
      </c>
      <c r="KH2">
        <f>COUNTA(Responses!KH2:KH8000)</f>
        <v>0</v>
      </c>
      <c r="KI2">
        <f>COUNTA(Responses!KI2:KI8000)</f>
        <v>0</v>
      </c>
      <c r="KJ2">
        <f>COUNTA(Responses!KJ2:KJ8000)</f>
        <v>0</v>
      </c>
      <c r="KK2">
        <f>COUNTA(Responses!KK2:KK8000)</f>
        <v>0</v>
      </c>
      <c r="KL2">
        <f>COUNTA(Responses!KL2:KL8000)</f>
        <v>0</v>
      </c>
      <c r="KM2">
        <f>COUNTA(Responses!KM2:KM8000)</f>
        <v>0</v>
      </c>
      <c r="KN2">
        <f>COUNTA(Responses!KN2:KN8000)</f>
        <v>0</v>
      </c>
      <c r="KO2">
        <f>COUNTA(Responses!KO2:KO8000)</f>
        <v>0</v>
      </c>
      <c r="KP2">
        <f>COUNTA(Responses!KP2:KP8000)</f>
        <v>0</v>
      </c>
      <c r="KQ2">
        <f>COUNTA(Responses!KQ2:KQ8000)</f>
        <v>0</v>
      </c>
      <c r="KR2">
        <f>COUNTA(Responses!KR2:KR8000)</f>
        <v>0</v>
      </c>
      <c r="KS2">
        <f>COUNTA(Responses!KS2:KS8000)</f>
        <v>0</v>
      </c>
      <c r="KT2">
        <f>COUNTA(Responses!KT2:KT8000)</f>
        <v>0</v>
      </c>
      <c r="KU2">
        <f>COUNTA(Responses!KU2:KU8000)</f>
        <v>0</v>
      </c>
      <c r="KV2">
        <f>COUNTA(Responses!KV2:KV8000)</f>
        <v>0</v>
      </c>
      <c r="KW2">
        <f>COUNTA(Responses!KW2:KW8000)</f>
        <v>0</v>
      </c>
      <c r="KX2">
        <f>COUNTA(Responses!KX2:KX8000)</f>
        <v>0</v>
      </c>
      <c r="KY2">
        <f>COUNTA(Responses!KY2:KY8000)</f>
        <v>0</v>
      </c>
      <c r="KZ2">
        <f>COUNTA(Responses!KZ2:KZ8000)</f>
        <v>0</v>
      </c>
      <c r="LA2">
        <f>COUNTA(Responses!LA2:LA8000)</f>
        <v>0</v>
      </c>
      <c r="LB2">
        <f>COUNTA(Responses!LB2:LB8000)</f>
        <v>0</v>
      </c>
      <c r="LC2">
        <f>COUNTA(Responses!LC2:LC8000)</f>
        <v>0</v>
      </c>
      <c r="LD2">
        <f>COUNTA(Responses!LD2:LD8000)</f>
        <v>0</v>
      </c>
      <c r="LE2">
        <f>COUNTA(Responses!LE2:LE8000)</f>
        <v>0</v>
      </c>
      <c r="LF2">
        <f>COUNTA(Responses!LF2:LF8000)</f>
        <v>0</v>
      </c>
      <c r="LG2">
        <f>COUNTA(Responses!LG2:LG8000)</f>
        <v>0</v>
      </c>
      <c r="LH2">
        <f>COUNTA(Responses!LH2:LH8000)</f>
        <v>0</v>
      </c>
      <c r="LI2">
        <f>COUNTA(Responses!LI2:LI8000)</f>
        <v>0</v>
      </c>
      <c r="LJ2">
        <f>COUNTA(Responses!LJ2:LJ8000)</f>
        <v>0</v>
      </c>
      <c r="LK2">
        <f>COUNTA(Responses!LK2:LK8000)</f>
        <v>0</v>
      </c>
      <c r="LL2">
        <f>COUNTA(Responses!LL2:LL8000)</f>
        <v>0</v>
      </c>
      <c r="LM2">
        <f>COUNTA(Responses!LM2:LM8000)</f>
        <v>0</v>
      </c>
      <c r="LN2">
        <f>COUNTA(Responses!LN2:LN8000)</f>
        <v>0</v>
      </c>
      <c r="LO2">
        <f>COUNTA(Responses!LO2:LO8000)</f>
        <v>0</v>
      </c>
      <c r="LP2">
        <f>COUNTA(Responses!LP2:LP8000)</f>
        <v>0</v>
      </c>
      <c r="LQ2">
        <f>COUNTA(Responses!LQ2:LQ8000)</f>
        <v>0</v>
      </c>
      <c r="LR2">
        <f>COUNTA(Responses!LR2:LR8000)</f>
        <v>0</v>
      </c>
      <c r="LS2">
        <f>COUNTA(Responses!LS2:LS8000)</f>
        <v>0</v>
      </c>
      <c r="LT2">
        <f>COUNTA(Responses!LT2:LT8000)</f>
        <v>0</v>
      </c>
      <c r="LU2">
        <f>COUNTA(Responses!LU2:LU8000)</f>
        <v>0</v>
      </c>
      <c r="LV2">
        <f>COUNTA(Responses!LV2:LV8000)</f>
        <v>0</v>
      </c>
      <c r="LW2">
        <f>COUNTA(Responses!LW2:LW8000)</f>
        <v>0</v>
      </c>
      <c r="LX2">
        <f>COUNTA(Responses!LX2:LX8000)</f>
        <v>0</v>
      </c>
      <c r="LY2">
        <f>COUNTA(Responses!LY2:LY8000)</f>
        <v>0</v>
      </c>
      <c r="LZ2">
        <f>COUNTA(Responses!LZ2:LZ8000)</f>
        <v>0</v>
      </c>
      <c r="MA2">
        <f>COUNTA(Responses!MA2:MA8000)</f>
        <v>0</v>
      </c>
      <c r="MB2">
        <f>COUNTA(Responses!MB2:MB8000)</f>
        <v>0</v>
      </c>
      <c r="MC2">
        <f>COUNTA(Responses!MC2:MC8000)</f>
        <v>0</v>
      </c>
      <c r="MD2">
        <f>COUNTA(Responses!MD2:MD8000)</f>
        <v>0</v>
      </c>
      <c r="ME2">
        <f>COUNTA(Responses!ME2:ME8000)</f>
        <v>0</v>
      </c>
      <c r="MF2">
        <f>COUNTA(Responses!MF2:MF8000)</f>
        <v>0</v>
      </c>
      <c r="MG2">
        <f>COUNTA(Responses!MG2:MG8000)</f>
        <v>0</v>
      </c>
      <c r="MH2">
        <f>COUNTA(Responses!MH2:MH8000)</f>
        <v>0</v>
      </c>
      <c r="MI2">
        <f>COUNTA(Responses!MI2:MI8000)</f>
        <v>0</v>
      </c>
      <c r="MJ2">
        <f>COUNTA(Responses!MJ2:MJ8000)</f>
        <v>0</v>
      </c>
      <c r="MK2">
        <f>COUNTA(Responses!MK2:MK8000)</f>
        <v>0</v>
      </c>
      <c r="ML2">
        <f>COUNTA(Responses!ML2:ML8000)</f>
        <v>0</v>
      </c>
      <c r="MM2">
        <f>COUNTA(Responses!MM2:MM8000)</f>
        <v>0</v>
      </c>
      <c r="MN2">
        <f>COUNTA(Responses!MN2:MN8000)</f>
        <v>0</v>
      </c>
      <c r="MO2">
        <f>COUNTA(Responses!MO2:MO8000)</f>
        <v>0</v>
      </c>
      <c r="MP2">
        <f>COUNTA(Responses!MP2:MP8000)</f>
        <v>0</v>
      </c>
      <c r="MQ2">
        <f>COUNTA(Responses!MQ2:MQ8000)</f>
        <v>0</v>
      </c>
      <c r="MR2">
        <f>COUNTA(Responses!MR2:MR8000)</f>
        <v>0</v>
      </c>
      <c r="MS2">
        <f>COUNTA(Responses!MS2:MS8000)</f>
        <v>0</v>
      </c>
      <c r="MT2">
        <f>COUNTA(Responses!MT2:MT8000)</f>
        <v>0</v>
      </c>
      <c r="MU2">
        <f>COUNTA(Responses!MU2:MU8000)</f>
        <v>0</v>
      </c>
      <c r="MV2">
        <f>COUNTA(Responses!MV2:MV8000)</f>
        <v>0</v>
      </c>
      <c r="MW2">
        <f>COUNTA(Responses!MW2:MW8000)</f>
        <v>0</v>
      </c>
      <c r="MX2">
        <f>COUNTA(Responses!MX2:MX8000)</f>
        <v>0</v>
      </c>
      <c r="MY2">
        <f>COUNTA(Responses!MY2:MY8000)</f>
        <v>0</v>
      </c>
      <c r="MZ2">
        <f>COUNTA(Responses!MZ2:MZ8000)</f>
        <v>0</v>
      </c>
      <c r="NA2">
        <f>COUNTA(Responses!NA2:NA8000)</f>
        <v>0</v>
      </c>
      <c r="NB2">
        <f>COUNTA(Responses!NB2:NB8000)</f>
        <v>0</v>
      </c>
      <c r="NC2">
        <f>COUNTA(Responses!NC2:NC8000)</f>
        <v>0</v>
      </c>
      <c r="ND2">
        <f>COUNTA(Responses!ND2:ND8000)</f>
        <v>0</v>
      </c>
      <c r="NE2">
        <f>COUNTA(Responses!NE2:NE8000)</f>
        <v>0</v>
      </c>
      <c r="NF2">
        <f>COUNTA(Responses!NF2:NF8000)</f>
        <v>0</v>
      </c>
      <c r="NG2">
        <f>COUNTA(Responses!NG2:NG8000)</f>
        <v>0</v>
      </c>
      <c r="NH2">
        <f>COUNTA(Responses!NH2:NH8000)</f>
        <v>0</v>
      </c>
      <c r="NI2">
        <f>COUNTA(Responses!NI2:NI8000)</f>
        <v>0</v>
      </c>
      <c r="NJ2">
        <f>COUNTA(Responses!NJ2:NJ8000)</f>
        <v>0</v>
      </c>
      <c r="NK2">
        <f>COUNTA(Responses!NK2:NK8000)</f>
        <v>0</v>
      </c>
      <c r="NL2">
        <f>COUNTA(Responses!NL2:NL8000)</f>
        <v>0</v>
      </c>
      <c r="NM2">
        <f>COUNTA(Responses!NM2:NM8000)</f>
        <v>0</v>
      </c>
      <c r="NN2">
        <f>COUNTA(Responses!NN2:NN8000)</f>
        <v>0</v>
      </c>
      <c r="NO2">
        <f>COUNTA(Responses!NO2:NO8000)</f>
        <v>0</v>
      </c>
      <c r="NP2">
        <f>COUNTA(Responses!NP2:NP8000)</f>
        <v>0</v>
      </c>
      <c r="NQ2">
        <f>COUNTA(Responses!NQ2:NQ8000)</f>
        <v>0</v>
      </c>
      <c r="NR2">
        <f>COUNTA(Responses!NR2:NR8000)</f>
        <v>0</v>
      </c>
      <c r="NS2">
        <f>COUNTA(Responses!NS2:NS8000)</f>
        <v>0</v>
      </c>
      <c r="NT2">
        <f>COUNTA(Responses!NT2:NT8000)</f>
        <v>0</v>
      </c>
      <c r="NU2">
        <f>COUNTA(Responses!NU2:NU8000)</f>
        <v>0</v>
      </c>
      <c r="NV2">
        <f>COUNTA(Responses!NV2:NV8000)</f>
        <v>0</v>
      </c>
      <c r="NW2">
        <f>COUNTA(Responses!NW2:NW8000)</f>
        <v>0</v>
      </c>
      <c r="NX2">
        <f>COUNTA(Responses!NX2:NX8000)</f>
        <v>0</v>
      </c>
      <c r="NY2">
        <f>COUNTA(Responses!NY2:NY8000)</f>
        <v>0</v>
      </c>
      <c r="NZ2">
        <f>COUNTA(Responses!NZ2:NZ8000)</f>
        <v>0</v>
      </c>
      <c r="OA2">
        <f>COUNTA(Responses!OA2:OA8000)</f>
        <v>0</v>
      </c>
      <c r="OB2">
        <f>COUNTA(Responses!OB2:OB8000)</f>
        <v>0</v>
      </c>
      <c r="OC2">
        <f>COUNTA(Responses!OC2:OC8000)</f>
        <v>0</v>
      </c>
      <c r="OD2">
        <f>COUNTA(Responses!OD2:OD8000)</f>
        <v>0</v>
      </c>
      <c r="OE2">
        <f>COUNTA(Responses!OE2:OE8000)</f>
        <v>0</v>
      </c>
      <c r="OF2">
        <f>COUNTA(Responses!OF2:OF8000)</f>
        <v>0</v>
      </c>
      <c r="OG2">
        <f>COUNTA(Responses!OG2:OG8000)</f>
        <v>0</v>
      </c>
      <c r="OH2">
        <f>COUNTA(Responses!OH2:OH8000)</f>
        <v>0</v>
      </c>
      <c r="OI2">
        <f>COUNTA(Responses!OI2:OI8000)</f>
        <v>0</v>
      </c>
      <c r="OJ2">
        <f>COUNTA(Responses!OJ2:OJ8000)</f>
        <v>0</v>
      </c>
      <c r="OK2">
        <f>COUNTA(Responses!OK2:OK8000)</f>
        <v>0</v>
      </c>
      <c r="OL2">
        <f>COUNTA(Responses!OL2:OL8000)</f>
        <v>0</v>
      </c>
      <c r="OM2">
        <f>COUNTA(Responses!OM2:OM8000)</f>
        <v>0</v>
      </c>
      <c r="ON2">
        <f>COUNTA(Responses!ON2:ON8000)</f>
        <v>0</v>
      </c>
      <c r="OO2">
        <f>COUNTA(Responses!OO2:OO8000)</f>
        <v>0</v>
      </c>
      <c r="OP2">
        <f>COUNTA(Responses!OP2:OP8000)</f>
        <v>0</v>
      </c>
      <c r="OQ2">
        <f>COUNTA(Responses!OQ2:OQ8000)</f>
        <v>0</v>
      </c>
      <c r="OR2">
        <f>COUNTA(Responses!OR2:OR8000)</f>
        <v>0</v>
      </c>
      <c r="OS2">
        <f>COUNTA(Responses!OS2:OS8000)</f>
        <v>0</v>
      </c>
      <c r="OT2">
        <f>COUNTA(Responses!OT2:OT8000)</f>
        <v>0</v>
      </c>
      <c r="OU2">
        <f>COUNTA(Responses!OU2:OU8000)</f>
        <v>0</v>
      </c>
      <c r="OV2">
        <f>COUNTA(Responses!OV2:OV8000)</f>
        <v>0</v>
      </c>
      <c r="OW2">
        <f>COUNTA(Responses!OW2:OW8000)</f>
        <v>0</v>
      </c>
      <c r="OX2">
        <f>COUNTA(Responses!OX2:OX8000)</f>
        <v>0</v>
      </c>
      <c r="OY2">
        <f>COUNTA(Responses!OY2:OY8000)</f>
        <v>0</v>
      </c>
      <c r="OZ2">
        <f>COUNTA(Responses!OZ2:OZ8000)</f>
        <v>0</v>
      </c>
      <c r="PA2">
        <f>COUNTA(Responses!PA2:PA8000)</f>
        <v>0</v>
      </c>
      <c r="PB2">
        <f>COUNTA(Responses!PB2:PB8000)</f>
        <v>0</v>
      </c>
      <c r="PC2">
        <f>COUNTA(Responses!PC2:PC8000)</f>
        <v>0</v>
      </c>
      <c r="PD2">
        <f>COUNTA(Responses!PD2:PD8000)</f>
        <v>0</v>
      </c>
      <c r="PE2">
        <f>COUNTA(Responses!PE2:PE8000)</f>
        <v>0</v>
      </c>
      <c r="PF2">
        <f>COUNTA(Responses!PF2:PF8000)</f>
        <v>0</v>
      </c>
      <c r="PG2">
        <f>COUNTA(Responses!PG2:PG8000)</f>
        <v>0</v>
      </c>
      <c r="PH2">
        <f>COUNTA(Responses!PH2:PH8000)</f>
        <v>0</v>
      </c>
      <c r="PI2">
        <f>COUNTA(Responses!PI2:PI8000)</f>
        <v>0</v>
      </c>
      <c r="PJ2">
        <f>COUNTA(Responses!PJ2:PJ8000)</f>
        <v>0</v>
      </c>
      <c r="PK2">
        <f>COUNTA(Responses!PK2:PK8000)</f>
        <v>0</v>
      </c>
      <c r="PL2">
        <f>COUNTA(Responses!PL2:PL8000)</f>
        <v>0</v>
      </c>
      <c r="PM2">
        <f>COUNTA(Responses!PM2:PM8000)</f>
        <v>0</v>
      </c>
      <c r="PN2">
        <f>COUNTA(Responses!PN2:PN8000)</f>
        <v>0</v>
      </c>
      <c r="PO2">
        <f>COUNTA(Responses!PO2:PO8000)</f>
        <v>0</v>
      </c>
      <c r="PP2">
        <f>COUNTA(Responses!PP2:PP8000)</f>
        <v>0</v>
      </c>
      <c r="PQ2">
        <f>COUNTA(Responses!PQ2:PQ8000)</f>
        <v>0</v>
      </c>
      <c r="PR2">
        <f>COUNTA(Responses!PR2:PR8000)</f>
        <v>0</v>
      </c>
      <c r="PS2">
        <f>COUNTA(Responses!PS2:PS8000)</f>
        <v>0</v>
      </c>
      <c r="PT2">
        <f>COUNTA(Responses!PT2:PT8000)</f>
        <v>0</v>
      </c>
      <c r="PU2">
        <f>COUNTA(Responses!PU2:PU8000)</f>
        <v>0</v>
      </c>
      <c r="PV2">
        <f>COUNTA(Responses!PV2:PV8000)</f>
        <v>0</v>
      </c>
      <c r="PW2">
        <f>COUNTA(Responses!PW2:PW8000)</f>
        <v>0</v>
      </c>
      <c r="PX2">
        <f>COUNTA(Responses!PX2:PX8000)</f>
        <v>0</v>
      </c>
      <c r="PY2">
        <f>COUNTA(Responses!PY2:PY8000)</f>
        <v>0</v>
      </c>
      <c r="PZ2">
        <f>COUNTA(Responses!PZ2:PZ8000)</f>
        <v>0</v>
      </c>
      <c r="QA2">
        <f>COUNTA(Responses!QA2:QA8000)</f>
        <v>0</v>
      </c>
      <c r="QB2">
        <f>COUNTA(Responses!QB2:QB8000)</f>
        <v>0</v>
      </c>
      <c r="QC2">
        <f>COUNTA(Responses!QC2:QC8000)</f>
        <v>0</v>
      </c>
      <c r="QD2">
        <f>COUNTA(Responses!QD2:QD8000)</f>
        <v>0</v>
      </c>
      <c r="QE2">
        <f>COUNTA(Responses!QE2:QE8000)</f>
        <v>0</v>
      </c>
      <c r="QF2">
        <f>COUNTA(Responses!QF2:QF8000)</f>
        <v>0</v>
      </c>
      <c r="QG2">
        <f>COUNTA(Responses!QG2:QG8000)</f>
        <v>0</v>
      </c>
      <c r="QH2">
        <f>COUNTA(Responses!QH2:QH8000)</f>
        <v>0</v>
      </c>
      <c r="QI2">
        <f>COUNTA(Responses!QI2:QI8000)</f>
        <v>0</v>
      </c>
      <c r="QJ2">
        <f>COUNTA(Responses!QJ2:QJ8000)</f>
        <v>0</v>
      </c>
      <c r="QK2">
        <f>COUNTA(Responses!QK2:QK8000)</f>
        <v>0</v>
      </c>
      <c r="QL2">
        <f>COUNTA(Responses!QL2:QL8000)</f>
        <v>0</v>
      </c>
      <c r="QM2">
        <f>COUNTA(Responses!QM2:QM8000)</f>
        <v>0</v>
      </c>
      <c r="QN2">
        <f>COUNTA(Responses!QN2:QN8000)</f>
        <v>0</v>
      </c>
      <c r="QO2">
        <f>COUNTA(Responses!QO2:QO8000)</f>
        <v>0</v>
      </c>
      <c r="QP2">
        <f>COUNTA(Responses!QP2:QP8000)</f>
        <v>0</v>
      </c>
      <c r="QQ2">
        <f>COUNTA(Responses!QQ2:QQ8000)</f>
        <v>0</v>
      </c>
      <c r="QR2">
        <f>COUNTA(Responses!QR2:QR8000)</f>
        <v>0</v>
      </c>
      <c r="QS2">
        <f>COUNTA(Responses!QS2:QS8000)</f>
        <v>0</v>
      </c>
      <c r="QT2">
        <f>COUNTA(Responses!QT2:QT8000)</f>
        <v>0</v>
      </c>
      <c r="QU2">
        <f>COUNTA(Responses!QU2:QU8000)</f>
        <v>0</v>
      </c>
      <c r="QV2">
        <f>COUNTA(Responses!QV2:QV8000)</f>
        <v>0</v>
      </c>
      <c r="QW2">
        <f>COUNTA(Responses!QW2:QW8000)</f>
        <v>0</v>
      </c>
      <c r="QX2">
        <f>COUNTA(Responses!QX2:QX8000)</f>
        <v>0</v>
      </c>
      <c r="QY2">
        <f>COUNTA(Responses!QY2:QY8000)</f>
        <v>0</v>
      </c>
      <c r="QZ2">
        <f>COUNTA(Responses!QZ2:QZ8000)</f>
        <v>0</v>
      </c>
      <c r="RA2">
        <f>COUNTA(Responses!RA2:RA8000)</f>
        <v>0</v>
      </c>
      <c r="RB2">
        <f>COUNTA(Responses!RB2:RB8000)</f>
        <v>0</v>
      </c>
      <c r="RC2">
        <f>COUNTA(Responses!RC2:RC8000)</f>
        <v>0</v>
      </c>
      <c r="RD2">
        <f>COUNTA(Responses!RD2:RD8000)</f>
        <v>0</v>
      </c>
      <c r="RE2">
        <f>COUNTA(Responses!RE2:RE8000)</f>
        <v>0</v>
      </c>
      <c r="RF2">
        <f>COUNTA(Responses!RF2:RF8000)</f>
        <v>0</v>
      </c>
      <c r="RG2">
        <f>COUNTA(Responses!RG2:RG8000)</f>
        <v>0</v>
      </c>
      <c r="RH2">
        <f>COUNTA(Responses!RH2:RH8000)</f>
        <v>0</v>
      </c>
      <c r="RI2">
        <f>COUNTA(Responses!RI2:RI8000)</f>
        <v>0</v>
      </c>
      <c r="RJ2">
        <f>COUNTA(Responses!RJ2:RJ8000)</f>
        <v>0</v>
      </c>
      <c r="RK2">
        <f>COUNTA(Responses!RK2:RK8000)</f>
        <v>0</v>
      </c>
      <c r="RL2">
        <f>COUNTA(Responses!RL2:RL8000)</f>
        <v>0</v>
      </c>
      <c r="RM2">
        <f>COUNTA(Responses!RM2:RM8000)</f>
        <v>0</v>
      </c>
      <c r="RN2">
        <f>COUNTA(Responses!RN2:RN8000)</f>
        <v>0</v>
      </c>
      <c r="RO2">
        <f>COUNTA(Responses!RO2:RO8000)</f>
        <v>0</v>
      </c>
      <c r="RP2">
        <f>COUNTA(Responses!RP2:RP8000)</f>
        <v>0</v>
      </c>
      <c r="RQ2">
        <f>COUNTA(Responses!RQ2:RQ8000)</f>
        <v>0</v>
      </c>
      <c r="RR2">
        <f>COUNTA(Responses!RR2:RR8000)</f>
        <v>0</v>
      </c>
      <c r="RS2">
        <f>COUNTA(Responses!RS2:RS8000)</f>
        <v>0</v>
      </c>
      <c r="RT2">
        <f>COUNTA(Responses!RT2:RT8000)</f>
        <v>0</v>
      </c>
      <c r="RU2">
        <f>COUNTA(Responses!RU2:RU8000)</f>
        <v>0</v>
      </c>
      <c r="RV2">
        <f>COUNTA(Responses!RV2:RV8000)</f>
        <v>0</v>
      </c>
      <c r="RW2">
        <f>COUNTA(Responses!RW2:RW8000)</f>
        <v>0</v>
      </c>
      <c r="RX2">
        <f>COUNTA(Responses!RX2:RX8000)</f>
        <v>0</v>
      </c>
      <c r="RY2">
        <f>COUNTA(Responses!RY2:RY8000)</f>
        <v>0</v>
      </c>
      <c r="RZ2">
        <f>COUNTA(Responses!RZ2:RZ8000)</f>
        <v>0</v>
      </c>
      <c r="SA2">
        <f>COUNTA(Responses!SA2:SA8000)</f>
        <v>0</v>
      </c>
      <c r="SB2">
        <f>COUNTA(Responses!SB2:SB8000)</f>
        <v>0</v>
      </c>
      <c r="SC2">
        <f>COUNTA(Responses!SC2:SC8000)</f>
        <v>0</v>
      </c>
      <c r="SD2">
        <f>COUNTA(Responses!SD2:SD8000)</f>
        <v>0</v>
      </c>
      <c r="SE2">
        <f>COUNTA(Responses!SE2:SE8000)</f>
        <v>0</v>
      </c>
      <c r="SF2">
        <f>COUNTA(Responses!SF2:SF8000)</f>
        <v>0</v>
      </c>
      <c r="SG2">
        <f>COUNTA(Responses!SG2:SG8000)</f>
        <v>0</v>
      </c>
      <c r="SH2">
        <f>COUNTA(Responses!SH2:SH8000)</f>
        <v>0</v>
      </c>
      <c r="SI2">
        <f>COUNTA(Responses!SI2:SI8000)</f>
        <v>0</v>
      </c>
      <c r="SJ2">
        <f>COUNTA(Responses!SJ2:SJ8000)</f>
        <v>0</v>
      </c>
      <c r="SK2">
        <f>COUNTA(Responses!SK2:SK8000)</f>
        <v>0</v>
      </c>
      <c r="SL2">
        <f>COUNTA(Responses!SL2:SL8000)</f>
        <v>0</v>
      </c>
      <c r="SM2">
        <f>COUNTA(Responses!SM2:SM8000)</f>
        <v>0</v>
      </c>
      <c r="SN2">
        <f>COUNTA(Responses!SN2:SN8000)</f>
        <v>0</v>
      </c>
      <c r="SO2">
        <f>COUNTA(Responses!SO2:SO8000)</f>
        <v>0</v>
      </c>
      <c r="SP2">
        <f>COUNTA(Responses!SP2:SP8000)</f>
        <v>0</v>
      </c>
      <c r="SQ2">
        <f>COUNTA(Responses!SQ2:SQ8000)</f>
        <v>0</v>
      </c>
      <c r="SR2">
        <f>COUNTA(Responses!SR2:SR8000)</f>
        <v>0</v>
      </c>
      <c r="SS2">
        <f>COUNTA(Responses!SS2:SS8000)</f>
        <v>0</v>
      </c>
      <c r="ST2">
        <f>COUNTA(Responses!ST2:ST8000)</f>
        <v>0</v>
      </c>
      <c r="SU2">
        <f>COUNTA(Responses!SU2:SU8000)</f>
        <v>0</v>
      </c>
      <c r="SV2">
        <f>COUNTA(Responses!SV2:SV8000)</f>
        <v>0</v>
      </c>
      <c r="SW2">
        <f>COUNTA(Responses!SW2:SW8000)</f>
        <v>0</v>
      </c>
      <c r="SX2">
        <f>COUNTA(Responses!SX2:SX8000)</f>
        <v>0</v>
      </c>
      <c r="SY2">
        <f>COUNTA(Responses!SY2:SY8000)</f>
        <v>0</v>
      </c>
      <c r="SZ2">
        <f>COUNTA(Responses!SZ2:SZ8000)</f>
        <v>0</v>
      </c>
      <c r="TA2">
        <f>COUNTA(Responses!TA2:TA8000)</f>
        <v>0</v>
      </c>
      <c r="TB2">
        <f>COUNTA(Responses!TB2:TB8000)</f>
        <v>0</v>
      </c>
      <c r="TC2">
        <f>COUNTA(Responses!TC2:TC8000)</f>
        <v>0</v>
      </c>
      <c r="TD2">
        <f>COUNTA(Responses!TD2:TD8000)</f>
        <v>0</v>
      </c>
      <c r="TE2">
        <f>COUNTA(Responses!TE2:TE8000)</f>
        <v>0</v>
      </c>
      <c r="TF2">
        <f>COUNTA(Responses!TF2:TF8000)</f>
        <v>0</v>
      </c>
      <c r="TG2">
        <f>COUNTA(Responses!TG2:TG8000)</f>
        <v>0</v>
      </c>
      <c r="TH2">
        <f>COUNTA(Responses!TH2:TH8000)</f>
        <v>0</v>
      </c>
      <c r="TI2">
        <f>COUNTA(Responses!TI2:TI8000)</f>
        <v>0</v>
      </c>
      <c r="TJ2">
        <f>COUNTA(Responses!TJ2:TJ8000)</f>
        <v>0</v>
      </c>
      <c r="TK2">
        <f>COUNTA(Responses!TK2:TK8000)</f>
        <v>0</v>
      </c>
      <c r="TL2">
        <f>COUNTA(Responses!TL2:TL8000)</f>
        <v>0</v>
      </c>
      <c r="TM2">
        <f>COUNTA(Responses!TM2:TM8000)</f>
        <v>0</v>
      </c>
      <c r="TN2">
        <f>COUNTA(Responses!TN2:TN8000)</f>
        <v>0</v>
      </c>
      <c r="TO2">
        <f>COUNTA(Responses!TO2:TO8000)</f>
        <v>0</v>
      </c>
      <c r="TP2">
        <f>COUNTA(Responses!TP2:TP8000)</f>
        <v>0</v>
      </c>
      <c r="TQ2">
        <f>COUNTA(Responses!TQ2:TQ8000)</f>
        <v>0</v>
      </c>
      <c r="TR2">
        <f>COUNTA(Responses!TR2:TR8000)</f>
        <v>0</v>
      </c>
      <c r="TS2">
        <f>COUNTA(Responses!TS2:TS8000)</f>
        <v>0</v>
      </c>
      <c r="TT2">
        <f>COUNTA(Responses!TT2:TT8000)</f>
        <v>0</v>
      </c>
      <c r="TU2">
        <f>COUNTA(Responses!TU2:TU8000)</f>
        <v>0</v>
      </c>
      <c r="TV2">
        <f>COUNTA(Responses!TV2:TV8000)</f>
        <v>0</v>
      </c>
      <c r="TW2">
        <f>COUNTA(Responses!TW2:TW8000)</f>
        <v>0</v>
      </c>
      <c r="TX2">
        <f>COUNTA(Responses!TX2:TX8000)</f>
        <v>0</v>
      </c>
      <c r="TY2">
        <f>COUNTA(Responses!TY2:TY8000)</f>
        <v>0</v>
      </c>
      <c r="TZ2">
        <f>COUNTA(Responses!TZ2:TZ8000)</f>
        <v>0</v>
      </c>
      <c r="UA2">
        <f>COUNTA(Responses!UA2:UA8000)</f>
        <v>0</v>
      </c>
      <c r="UB2">
        <f>COUNTA(Responses!UB2:UB8000)</f>
        <v>0</v>
      </c>
      <c r="UC2">
        <f>COUNTA(Responses!UC2:UC8000)</f>
        <v>0</v>
      </c>
      <c r="UD2">
        <f>COUNTA(Responses!UD2:UD8000)</f>
        <v>0</v>
      </c>
      <c r="UE2">
        <f>COUNTA(Responses!UE2:UE8000)</f>
        <v>0</v>
      </c>
      <c r="UF2">
        <f>COUNTA(Responses!UF2:UF8000)</f>
        <v>0</v>
      </c>
      <c r="UG2">
        <f>COUNTA(Responses!UG2:UG8000)</f>
        <v>0</v>
      </c>
      <c r="UH2">
        <f>COUNTA(Responses!UH2:UH8000)</f>
        <v>0</v>
      </c>
      <c r="UI2">
        <f>COUNTA(Responses!UI2:UI8000)</f>
        <v>0</v>
      </c>
      <c r="UJ2">
        <f>COUNTA(Responses!UJ2:UJ8000)</f>
        <v>0</v>
      </c>
      <c r="UK2">
        <f>COUNTA(Responses!UK2:UK8000)</f>
        <v>0</v>
      </c>
      <c r="UL2">
        <f>COUNTA(Responses!UL2:UL8000)</f>
        <v>0</v>
      </c>
      <c r="UM2">
        <f>COUNTA(Responses!UM2:UM8000)</f>
        <v>0</v>
      </c>
      <c r="UN2">
        <f>COUNTA(Responses!UN2:UN8000)</f>
        <v>0</v>
      </c>
      <c r="UO2">
        <f>COUNTA(Responses!UO2:UO8000)</f>
        <v>0</v>
      </c>
      <c r="UP2">
        <f>COUNTA(Responses!UP2:UP8000)</f>
        <v>0</v>
      </c>
      <c r="UQ2">
        <f>COUNTA(Responses!UQ2:UQ8000)</f>
        <v>0</v>
      </c>
      <c r="UR2">
        <f>COUNTA(Responses!UR2:UR8000)</f>
        <v>0</v>
      </c>
      <c r="US2">
        <f>COUNTA(Responses!US2:US8000)</f>
        <v>0</v>
      </c>
      <c r="UT2">
        <f>COUNTA(Responses!UT2:UT8000)</f>
        <v>0</v>
      </c>
      <c r="UU2">
        <f>COUNTA(Responses!UU2:UU8000)</f>
        <v>0</v>
      </c>
      <c r="UV2">
        <f>COUNTA(Responses!UV2:UV8000)</f>
        <v>0</v>
      </c>
      <c r="UW2">
        <f>COUNTA(Responses!UW2:UW8000)</f>
        <v>0</v>
      </c>
      <c r="UX2">
        <f>COUNTA(Responses!UX2:UX8000)</f>
        <v>0</v>
      </c>
      <c r="UY2">
        <f>COUNTA(Responses!UY2:UY8000)</f>
        <v>0</v>
      </c>
      <c r="UZ2">
        <f>COUNTA(Responses!UZ2:UZ8000)</f>
        <v>0</v>
      </c>
      <c r="VA2">
        <f>COUNTA(Responses!VA2:VA8000)</f>
        <v>0</v>
      </c>
      <c r="VB2">
        <f>COUNTA(Responses!VB2:VB8000)</f>
        <v>0</v>
      </c>
      <c r="VC2">
        <f>COUNTA(Responses!VC2:VC8000)</f>
        <v>0</v>
      </c>
      <c r="VD2">
        <f>COUNTA(Responses!VD2:VD8000)</f>
        <v>0</v>
      </c>
      <c r="VE2">
        <f>COUNTA(Responses!VE2:VE8000)</f>
        <v>0</v>
      </c>
      <c r="VF2">
        <f>COUNTA(Responses!VF2:VF8000)</f>
        <v>0</v>
      </c>
      <c r="VG2">
        <f>COUNTA(Responses!VG2:VG8000)</f>
        <v>0</v>
      </c>
      <c r="VH2">
        <f>COUNTA(Responses!VH2:VH8000)</f>
        <v>0</v>
      </c>
      <c r="VI2">
        <f>COUNTA(Responses!VI2:VI8000)</f>
        <v>0</v>
      </c>
      <c r="VJ2">
        <f>COUNTA(Responses!VJ2:VJ8000)</f>
        <v>0</v>
      </c>
      <c r="VK2">
        <f>COUNTA(Responses!VK2:VK8000)</f>
        <v>0</v>
      </c>
      <c r="VL2">
        <f>COUNTA(Responses!VL2:VL8000)</f>
        <v>0</v>
      </c>
      <c r="VM2">
        <f>COUNTA(Responses!VM2:VM8000)</f>
        <v>0</v>
      </c>
      <c r="VN2">
        <f>COUNTA(Responses!VN2:VN8000)</f>
        <v>0</v>
      </c>
      <c r="VO2">
        <f>COUNTA(Responses!VO2:VO8000)</f>
        <v>0</v>
      </c>
      <c r="VP2">
        <f>COUNTA(Responses!VP2:VP8000)</f>
        <v>0</v>
      </c>
      <c r="VQ2">
        <f>COUNTA(Responses!VQ2:VQ8000)</f>
        <v>0</v>
      </c>
      <c r="VR2">
        <f>COUNTA(Responses!VR2:VR8000)</f>
        <v>0</v>
      </c>
      <c r="VS2">
        <f>COUNTA(Responses!VS2:VS8000)</f>
        <v>0</v>
      </c>
      <c r="VT2">
        <f>COUNTA(Responses!VT2:VT8000)</f>
        <v>0</v>
      </c>
      <c r="VU2">
        <f>COUNTA(Responses!VU2:VU8000)</f>
        <v>0</v>
      </c>
      <c r="VV2">
        <f>COUNTA(Responses!VV2:VV8000)</f>
        <v>0</v>
      </c>
      <c r="VW2">
        <f>COUNTA(Responses!VW2:VW8000)</f>
        <v>0</v>
      </c>
      <c r="VX2">
        <f>COUNTA(Responses!VX2:VX8000)</f>
        <v>0</v>
      </c>
      <c r="VY2">
        <f>COUNTA(Responses!VY2:VY8000)</f>
        <v>0</v>
      </c>
      <c r="VZ2">
        <f>COUNTA(Responses!VZ2:VZ8000)</f>
        <v>0</v>
      </c>
      <c r="WA2">
        <f>COUNTA(Responses!WA2:WA8000)</f>
        <v>0</v>
      </c>
      <c r="WB2">
        <f>COUNTA(Responses!WB2:WB8000)</f>
        <v>0</v>
      </c>
      <c r="WC2">
        <f>COUNTA(Responses!WC2:WC8000)</f>
        <v>0</v>
      </c>
      <c r="WD2">
        <f>COUNTA(Responses!WD2:WD8000)</f>
        <v>0</v>
      </c>
      <c r="WE2">
        <f>COUNTA(Responses!WE2:WE8000)</f>
        <v>0</v>
      </c>
      <c r="WF2">
        <f>COUNTA(Responses!WF2:WF8000)</f>
        <v>0</v>
      </c>
      <c r="WG2">
        <f>COUNTA(Responses!WG2:WG8000)</f>
        <v>0</v>
      </c>
      <c r="WH2">
        <f>COUNTA(Responses!WH2:WH8000)</f>
        <v>0</v>
      </c>
      <c r="WI2">
        <f>COUNTA(Responses!WI2:WI8000)</f>
        <v>0</v>
      </c>
      <c r="WJ2">
        <f>COUNTA(Responses!WJ2:WJ8000)</f>
        <v>0</v>
      </c>
      <c r="WK2">
        <f>COUNTA(Responses!WK2:WK8000)</f>
        <v>0</v>
      </c>
      <c r="WL2">
        <f>COUNTA(Responses!WL2:WL8000)</f>
        <v>0</v>
      </c>
      <c r="WM2">
        <f>COUNTA(Responses!WM2:WM8000)</f>
        <v>0</v>
      </c>
      <c r="WN2">
        <f>COUNTA(Responses!WN2:WN8000)</f>
        <v>0</v>
      </c>
      <c r="WO2">
        <f>COUNTA(Responses!WO2:WO8000)</f>
        <v>0</v>
      </c>
      <c r="WP2">
        <f>COUNTA(Responses!WP2:WP8000)</f>
        <v>0</v>
      </c>
      <c r="WQ2">
        <f>COUNTA(Responses!WQ2:WQ8000)</f>
        <v>0</v>
      </c>
      <c r="WR2">
        <f>COUNTA(Responses!WR2:WR8000)</f>
        <v>0</v>
      </c>
      <c r="WS2">
        <f>COUNTA(Responses!WS2:WS8000)</f>
        <v>0</v>
      </c>
      <c r="WT2">
        <f>COUNTA(Responses!WT2:WT8000)</f>
        <v>0</v>
      </c>
      <c r="WU2">
        <f>COUNTA(Responses!WU2:WU8000)</f>
        <v>0</v>
      </c>
      <c r="WV2">
        <f>COUNTA(Responses!WV2:WV8000)</f>
        <v>0</v>
      </c>
      <c r="WW2">
        <f>COUNTA(Responses!WW2:WW8000)</f>
        <v>0</v>
      </c>
      <c r="WX2">
        <f>COUNTA(Responses!WX2:WX8000)</f>
        <v>0</v>
      </c>
      <c r="WY2">
        <f>COUNTA(Responses!WY2:WY8000)</f>
        <v>0</v>
      </c>
      <c r="WZ2">
        <f>COUNTA(Responses!WZ2:WZ8000)</f>
        <v>0</v>
      </c>
      <c r="XA2">
        <f>COUNTA(Responses!XA2:XA8000)</f>
        <v>0</v>
      </c>
      <c r="XB2">
        <f>COUNTA(Responses!XB2:XB8000)</f>
        <v>0</v>
      </c>
      <c r="XC2">
        <f>COUNTA(Responses!XC2:XC8000)</f>
        <v>0</v>
      </c>
      <c r="XD2">
        <f>COUNTA(Responses!XD2:XD8000)</f>
        <v>0</v>
      </c>
      <c r="XE2">
        <f>COUNTA(Responses!XE2:XE8000)</f>
        <v>0</v>
      </c>
      <c r="XF2">
        <f>COUNTA(Responses!XF2:XF8000)</f>
        <v>0</v>
      </c>
      <c r="XG2">
        <f>COUNTA(Responses!XG2:XG8000)</f>
        <v>0</v>
      </c>
      <c r="XH2">
        <f>COUNTA(Responses!XH2:XH8000)</f>
        <v>0</v>
      </c>
      <c r="XI2">
        <f>COUNTA(Responses!XI2:XI8000)</f>
        <v>0</v>
      </c>
      <c r="XJ2">
        <f>COUNTA(Responses!XJ2:XJ8000)</f>
        <v>0</v>
      </c>
      <c r="XK2">
        <f>COUNTA(Responses!XK2:XK8000)</f>
        <v>0</v>
      </c>
      <c r="XL2">
        <f>COUNTA(Responses!XL2:XL8000)</f>
        <v>0</v>
      </c>
      <c r="XM2">
        <f>COUNTA(Responses!XM2:XM8000)</f>
        <v>0</v>
      </c>
      <c r="XN2">
        <f>COUNTA(Responses!XN2:XN8000)</f>
        <v>0</v>
      </c>
      <c r="XO2">
        <f>COUNTA(Responses!XO2:XO8000)</f>
        <v>0</v>
      </c>
      <c r="XP2">
        <f>COUNTA(Responses!XP2:XP8000)</f>
        <v>0</v>
      </c>
      <c r="XQ2">
        <f>COUNTA(Responses!XQ2:XQ8000)</f>
        <v>0</v>
      </c>
      <c r="XR2">
        <f>COUNTA(Responses!XR2:XR8000)</f>
        <v>0</v>
      </c>
      <c r="XS2">
        <f>COUNTA(Responses!XS2:XS8000)</f>
        <v>0</v>
      </c>
      <c r="XT2">
        <f>COUNTA(Responses!XT2:XT8000)</f>
        <v>0</v>
      </c>
      <c r="XU2">
        <f>COUNTA(Responses!XU2:XU8000)</f>
        <v>0</v>
      </c>
      <c r="XV2">
        <f>COUNTA(Responses!XV2:XV8000)</f>
        <v>0</v>
      </c>
      <c r="XW2">
        <f>COUNTA(Responses!XW2:XW8000)</f>
        <v>0</v>
      </c>
      <c r="XX2">
        <f>COUNTA(Responses!XX2:XX8000)</f>
        <v>0</v>
      </c>
      <c r="XY2">
        <f>COUNTA(Responses!XY2:XY8000)</f>
        <v>0</v>
      </c>
      <c r="XZ2">
        <f>COUNTA(Responses!XZ2:XZ8000)</f>
        <v>0</v>
      </c>
      <c r="YA2">
        <f>COUNTA(Responses!YA2:YA8000)</f>
        <v>0</v>
      </c>
      <c r="YB2">
        <f>COUNTA(Responses!YB2:YB8000)</f>
        <v>0</v>
      </c>
      <c r="YC2">
        <f>COUNTA(Responses!YC2:YC8000)</f>
        <v>0</v>
      </c>
      <c r="YD2">
        <f>COUNTA(Responses!YD2:YD8000)</f>
        <v>0</v>
      </c>
      <c r="YE2">
        <f>COUNTA(Responses!YE2:YE8000)</f>
        <v>0</v>
      </c>
      <c r="YF2">
        <f>COUNTA(Responses!YF2:YF8000)</f>
        <v>0</v>
      </c>
      <c r="YG2">
        <f>COUNTA(Responses!YG2:YG8000)</f>
        <v>0</v>
      </c>
      <c r="YH2">
        <f>COUNTA(Responses!YH2:YH8000)</f>
        <v>0</v>
      </c>
      <c r="YI2">
        <f>COUNTA(Responses!YI2:YI8000)</f>
        <v>0</v>
      </c>
      <c r="YJ2">
        <f>COUNTA(Responses!YJ2:YJ8000)</f>
        <v>0</v>
      </c>
      <c r="YK2">
        <f>COUNTA(Responses!YK2:YK8000)</f>
        <v>0</v>
      </c>
      <c r="YL2">
        <f>COUNTA(Responses!YL2:YL8000)</f>
        <v>0</v>
      </c>
      <c r="YM2">
        <f>COUNTA(Responses!YM2:YM8000)</f>
        <v>0</v>
      </c>
      <c r="YN2">
        <f>COUNTA(Responses!YN2:YN8000)</f>
        <v>0</v>
      </c>
      <c r="YO2">
        <f>COUNTA(Responses!YO2:YO8000)</f>
        <v>0</v>
      </c>
      <c r="YP2">
        <f>COUNTA(Responses!YP2:YP8000)</f>
        <v>0</v>
      </c>
      <c r="YQ2">
        <f>COUNTA(Responses!YQ2:YQ8000)</f>
        <v>0</v>
      </c>
      <c r="YR2">
        <f>COUNTA(Responses!YR2:YR8000)</f>
        <v>0</v>
      </c>
      <c r="YS2">
        <f>COUNTA(Responses!YS2:YS8000)</f>
        <v>0</v>
      </c>
      <c r="YT2">
        <f>COUNTA(Responses!YT2:YT8000)</f>
        <v>0</v>
      </c>
      <c r="YU2">
        <f>COUNTA(Responses!YU2:YU8000)</f>
        <v>0</v>
      </c>
      <c r="YV2">
        <f>COUNTA(Responses!YV2:YV8000)</f>
        <v>0</v>
      </c>
      <c r="YW2">
        <f>COUNTA(Responses!YW2:YW8000)</f>
        <v>0</v>
      </c>
      <c r="YX2">
        <f>COUNTA(Responses!YX2:YX8000)</f>
        <v>0</v>
      </c>
      <c r="YY2">
        <f>COUNTA(Responses!YY2:YY8000)</f>
        <v>0</v>
      </c>
      <c r="YZ2">
        <f>COUNTA(Responses!YZ2:YZ8000)</f>
        <v>0</v>
      </c>
      <c r="ZA2">
        <f>COUNTA(Responses!ZA2:ZA8000)</f>
        <v>0</v>
      </c>
      <c r="ZB2">
        <f>COUNTA(Responses!ZB2:ZB8000)</f>
        <v>0</v>
      </c>
      <c r="ZC2">
        <f>COUNTA(Responses!ZC2:ZC8000)</f>
        <v>0</v>
      </c>
      <c r="ZD2">
        <f>COUNTA(Responses!ZD2:ZD8000)</f>
        <v>0</v>
      </c>
      <c r="ZE2">
        <f>COUNTA(Responses!ZE2:ZE8000)</f>
        <v>0</v>
      </c>
      <c r="ZF2">
        <f>COUNTA(Responses!ZF2:ZF8000)</f>
        <v>0</v>
      </c>
      <c r="ZG2">
        <f>COUNTA(Responses!ZG2:ZG8000)</f>
        <v>0</v>
      </c>
      <c r="ZH2">
        <f>COUNTA(Responses!ZH2:ZH8000)</f>
        <v>0</v>
      </c>
      <c r="ZI2">
        <f>COUNTA(Responses!ZI2:ZI8000)</f>
        <v>0</v>
      </c>
      <c r="ZJ2">
        <f>COUNTA(Responses!ZJ2:ZJ8000)</f>
        <v>0</v>
      </c>
      <c r="ZK2">
        <f>COUNTA(Responses!ZK2:ZK8000)</f>
        <v>0</v>
      </c>
      <c r="ZL2">
        <f>COUNTA(Responses!ZL2:ZL8000)</f>
        <v>0</v>
      </c>
      <c r="ZM2">
        <f>COUNTA(Responses!ZM2:ZM8000)</f>
        <v>0</v>
      </c>
      <c r="ZN2">
        <f>COUNTA(Responses!ZN2:ZN8000)</f>
        <v>0</v>
      </c>
      <c r="ZO2">
        <f>COUNTA(Responses!ZO2:ZO8000)</f>
        <v>0</v>
      </c>
      <c r="ZP2">
        <f>COUNTA(Responses!ZP2:ZP8000)</f>
        <v>0</v>
      </c>
      <c r="ZQ2">
        <f>COUNTA(Responses!ZQ2:ZQ8000)</f>
        <v>0</v>
      </c>
      <c r="ZR2">
        <f>COUNTA(Responses!ZR2:ZR8000)</f>
        <v>0</v>
      </c>
      <c r="ZS2">
        <f>COUNTA(Responses!ZS2:ZS8000)</f>
        <v>0</v>
      </c>
      <c r="ZT2">
        <f>COUNTA(Responses!ZT2:ZT8000)</f>
        <v>0</v>
      </c>
      <c r="ZU2">
        <f>COUNTA(Responses!ZU2:ZU8000)</f>
        <v>0</v>
      </c>
      <c r="ZV2">
        <f>COUNTA(Responses!ZV2:ZV8000)</f>
        <v>0</v>
      </c>
      <c r="ZW2">
        <f>COUNTA(Responses!ZW2:ZW8000)</f>
        <v>0</v>
      </c>
      <c r="ZX2">
        <f>COUNTA(Responses!ZX2:ZX8000)</f>
        <v>0</v>
      </c>
      <c r="ZY2">
        <f>COUNTA(Responses!ZY2:ZY8000)</f>
        <v>0</v>
      </c>
      <c r="ZZ2">
        <f>COUNTA(Responses!ZZ2:ZZ8000)</f>
        <v>0</v>
      </c>
    </row>
    <row r="3" spans="1:702">
      <c r="A3" t="s">
        <v>98</v>
      </c>
    </row>
    <row r="4" spans="1:702">
      <c r="A4" t="s">
        <v>99</v>
      </c>
      <c r="B4" t="s">
        <v>100</v>
      </c>
      <c r="C4" t="s">
        <v>101</v>
      </c>
      <c r="D4" t="s">
        <v>102</v>
      </c>
      <c r="E4" t="s">
        <v>103</v>
      </c>
      <c r="F4" t="s">
        <v>104</v>
      </c>
      <c r="G4" t="s">
        <v>105</v>
      </c>
      <c r="H4" t="s">
        <v>106</v>
      </c>
      <c r="I4" t="s">
        <v>107</v>
      </c>
      <c r="J4" t="s">
        <v>108</v>
      </c>
      <c r="K4" t="s">
        <v>109</v>
      </c>
      <c r="L4" t="s">
        <v>110</v>
      </c>
      <c r="M4" t="s">
        <v>111</v>
      </c>
      <c r="N4" t="s">
        <v>112</v>
      </c>
      <c r="O4" t="s">
        <v>113</v>
      </c>
      <c r="P4" t="s">
        <v>114</v>
      </c>
      <c r="Q4" t="s">
        <v>115</v>
      </c>
      <c r="R4" t="s">
        <v>116</v>
      </c>
      <c r="S4" t="s">
        <v>117</v>
      </c>
      <c r="T4" t="s">
        <v>118</v>
      </c>
      <c r="U4" t="s">
        <v>119</v>
      </c>
      <c r="V4" t="s">
        <v>120</v>
      </c>
      <c r="W4" t="s">
        <v>121</v>
      </c>
      <c r="X4" t="s">
        <v>122</v>
      </c>
      <c r="Y4" t="s">
        <v>123</v>
      </c>
      <c r="Z4" t="s">
        <v>124</v>
      </c>
      <c r="AA4" t="s">
        <v>125</v>
      </c>
      <c r="AB4" t="s">
        <v>126</v>
      </c>
      <c r="AC4" t="s">
        <v>127</v>
      </c>
      <c r="AD4" t="s">
        <v>128</v>
      </c>
      <c r="AE4" t="s">
        <v>129</v>
      </c>
      <c r="AF4" t="s">
        <v>130</v>
      </c>
    </row>
    <row r="5" spans="1:702">
      <c r="A5">
        <f>'Open Questions'!$A$2</f>
        <v>0</v>
      </c>
      <c r="B5">
        <f>IFERROR(INDEX(Responses!$1:$1,1,CHOOSE(LEN(TRIM($A$5)),CODE(TRIM($A$5))-64,(CODE(LEFT(TRIM($A$5),1))-64)*26+(CODE(RIGHT(TRIM($A$5),1))-64),(CODE(LEFT(TRIM($A$5),1))-64)*676+(CODE(MID(TRIM($A$5),2,1))-64)*26+(CODE(RIGHT(TRIM($A$5),1))-64))),"")</f>
        <v>0</v>
      </c>
      <c r="C5">
        <f>LOWER(TRIM(LEFT('Open Questions'!$C$2,200)))</f>
        <v>0</v>
      </c>
      <c r="D5">
        <f>LOWER(TRIM(LEFT($B$5,200)))</f>
        <v>0</v>
      </c>
      <c r="E5">
        <f>MAX(LEN($C$5)-3,0)</f>
        <v>0</v>
      </c>
      <c r="F5">
        <f>MAX(LEN($D$5)-3,0)</f>
        <v>0</v>
      </c>
      <c r="G5" cm="1">
        <f t="array" ref="G5">IF(OR($E$5&lt;=0,$F$5&lt;=0),0,SUMPRODUCT(--ISNUMBER(SEARCH(MID($C$5,_xlfn.SEQUENCE($E$5),4),$D$5))))</f>
        <v>0</v>
      </c>
      <c r="H5">
        <f>IF(OR($A$5="",$C$5="",$D$5="",$E$5&lt;=0,$F$5&lt;=0),"",$G$5/($E$5+$F$5-$G$5))</f>
        <v>0</v>
      </c>
      <c r="I5">
        <f>'Multiple Choice Questions'!$A$2</f>
        <v>0</v>
      </c>
      <c r="J5">
        <f>IFERROR(INDEX(Responses!$1:$1,1,CHOOSE(LEN(TRIM($I$5)),CODE(TRIM($I$5))-64,(CODE(LEFT(TRIM($I$5),1))-64)*26+(CODE(RIGHT(TRIM($I$5),1))-64),(CODE(LEFT(TRIM($I$5),1))-64)*676+(CODE(MID(TRIM($I$5),2,1))-64)*26+(CODE(RIGHT(TRIM($I$5),1))-64))),"")</f>
        <v>0</v>
      </c>
      <c r="K5">
        <f>LOWER(TRIM(LEFT('Multiple Choice Questions'!$C$2,200)))</f>
        <v>0</v>
      </c>
      <c r="L5">
        <f>LOWER(TRIM(LEFT($J$5,200)))</f>
        <v>0</v>
      </c>
      <c r="M5">
        <f>MAX(LEN($K$5)-3,0)</f>
        <v>0</v>
      </c>
      <c r="N5">
        <f>MAX(LEN($L$5)-3,0)</f>
        <v>0</v>
      </c>
      <c r="O5" cm="1">
        <f t="array" ref="O5">IF(OR($M$5&lt;=0,$N$5&lt;=0),0,SUMPRODUCT(--ISNUMBER(SEARCH(MID($K$5,_xlfn.SEQUENCE($M$5),4),$L$5))))</f>
        <v>0</v>
      </c>
      <c r="P5">
        <f>IF(OR($I$5="",$K$5="",$L$5="",$M$5&lt;=0,$N$5&lt;=0),"",$O$5/($M$5+$N$5-$O$5))</f>
        <v>0</v>
      </c>
      <c r="Q5">
        <f>'Hybrid Questions'!$A$2</f>
        <v>0</v>
      </c>
      <c r="R5">
        <f>IFERROR(INDEX(Responses!$1:$1,1,CHOOSE(LEN(TRIM($Q$5)),CODE(TRIM($Q$5))-64,(CODE(LEFT(TRIM($Q$5),1))-64)*26+(CODE(RIGHT(TRIM($Q$5),1))-64),(CODE(LEFT(TRIM($Q$5),1))-64)*676+(CODE(MID(TRIM($Q$5),2,1))-64)*26+(CODE(RIGHT(TRIM($Q$5),1))-64))),"")</f>
        <v>0</v>
      </c>
      <c r="S5">
        <f>LOWER(TRIM(LEFT('Hybrid Questions'!$C$2,200)))</f>
        <v>0</v>
      </c>
      <c r="T5">
        <f>LOWER(TRIM(LEFT($R$5,200)))</f>
        <v>0</v>
      </c>
      <c r="U5">
        <f>MAX(LEN($S$5)-3,0)</f>
        <v>0</v>
      </c>
      <c r="V5">
        <f>MAX(LEN($T$5)-3,0)</f>
        <v>0</v>
      </c>
      <c r="W5" cm="1">
        <f t="array" ref="W5">IF(OR($U$5&lt;=0,$V$5&lt;=0),0,SUMPRODUCT(--ISNUMBER(SEARCH(MID($S$5,_xlfn.SEQUENCE($U$5),4),$T$5))))</f>
        <v>0</v>
      </c>
      <c r="X5">
        <f>IF(OR($Q$5="",$S$5="",$T$5="",$U$5&lt;=0,$V$5&lt;=0),"",$W$5/($U$5+$V$5-$W$5))</f>
        <v>0</v>
      </c>
      <c r="Y5">
        <f>'Hybrid Questions'!$D$2</f>
        <v>0</v>
      </c>
      <c r="Z5">
        <f>IFERROR(INDEX(Responses!$1:$1,1,CHOOSE(LEN(TRIM($Y$5)),CODE(TRIM($Y$5))-64,(CODE(LEFT(TRIM($Y$5),1))-64)*26+(CODE(RIGHT(TRIM($Y$5),1))-64),(CODE(LEFT(TRIM($Y$5),1))-64)*676+(CODE(MID(TRIM($Y$5),2,1))-64)*26+(CODE(RIGHT(TRIM($Y$5),1))-64))),"")</f>
        <v>0</v>
      </c>
      <c r="AA5">
        <f>LOWER(TRIM(LEFT('Hybrid Questions'!$C$2,200)))</f>
        <v>0</v>
      </c>
      <c r="AB5">
        <f>LOWER(TRIM(LEFT($Z$5,200)))</f>
        <v>0</v>
      </c>
      <c r="AC5">
        <f>MAX(LEN($AA$5)-3,0)</f>
        <v>0</v>
      </c>
      <c r="AD5">
        <f>MAX(LEN($AB$5)-3,0)</f>
        <v>0</v>
      </c>
      <c r="AE5" cm="1">
        <f t="array" ref="AE5">IF(OR($AC$5&lt;=0,$AD$5&lt;=0),0,SUMPRODUCT(--ISNUMBER(SEARCH(MID($AA$5,_xlfn.SEQUENCE($AC$5),4),$AB$5))))</f>
        <v>0</v>
      </c>
      <c r="AF5">
        <f>IF(OR($Y$5="",$AA$5="",$AB$5="",$AC$5&lt;=0,$AD$5&lt;=0),"",$AE$5/($AC$5+$AD$5-$AE$5))</f>
        <v>0</v>
      </c>
    </row>
    <row r="6" spans="1:702">
      <c r="A6">
        <f>'Open Questions'!$A$3</f>
        <v>0</v>
      </c>
      <c r="B6">
        <f>IFERROR(INDEX(Responses!$1:$1,1,CHOOSE(LEN(TRIM($A$6)),CODE(TRIM($A$6))-64,(CODE(LEFT(TRIM($A$6),1))-64)*26+(CODE(RIGHT(TRIM($A$6),1))-64),(CODE(LEFT(TRIM($A$6),1))-64)*676+(CODE(MID(TRIM($A$6),2,1))-64)*26+(CODE(RIGHT(TRIM($A$6),1))-64))),"")</f>
        <v>0</v>
      </c>
      <c r="C6">
        <f>LOWER(TRIM(LEFT('Open Questions'!$C$3,200)))</f>
        <v>0</v>
      </c>
      <c r="D6">
        <f>LOWER(TRIM(LEFT($B$6,200)))</f>
        <v>0</v>
      </c>
      <c r="E6">
        <f>MAX(LEN($C$6)-3,0)</f>
        <v>0</v>
      </c>
      <c r="F6">
        <f>MAX(LEN($D$6)-3,0)</f>
        <v>0</v>
      </c>
      <c r="G6" cm="1">
        <f t="array" ref="G6">IF(OR($E$6&lt;=0,$F$6&lt;=0),0,SUMPRODUCT(--ISNUMBER(SEARCH(MID($C$6,_xlfn.SEQUENCE($E$6),4),$D$6))))</f>
        <v>0</v>
      </c>
      <c r="H6">
        <f>IF(OR($A$6="",$C$6="",$D$6="",$E$6&lt;=0,$F$6&lt;=0),"",$G$6/($E$6+$F$6-$G$6))</f>
        <v>0</v>
      </c>
      <c r="I6">
        <f>'Multiple Choice Questions'!$A$3</f>
        <v>0</v>
      </c>
      <c r="J6">
        <f>IFERROR(INDEX(Responses!$1:$1,1,CHOOSE(LEN(TRIM($I$6)),CODE(TRIM($I$6))-64,(CODE(LEFT(TRIM($I$6),1))-64)*26+(CODE(RIGHT(TRIM($I$6),1))-64),(CODE(LEFT(TRIM($I$6),1))-64)*676+(CODE(MID(TRIM($I$6),2,1))-64)*26+(CODE(RIGHT(TRIM($I$6),1))-64))),"")</f>
        <v>0</v>
      </c>
      <c r="K6">
        <f>LOWER(TRIM(LEFT('Multiple Choice Questions'!$C$3,200)))</f>
        <v>0</v>
      </c>
      <c r="L6">
        <f>LOWER(TRIM(LEFT($J$6,200)))</f>
        <v>0</v>
      </c>
      <c r="M6">
        <f>MAX(LEN($K$6)-3,0)</f>
        <v>0</v>
      </c>
      <c r="N6">
        <f>MAX(LEN($L$6)-3,0)</f>
        <v>0</v>
      </c>
      <c r="O6" cm="1">
        <f t="array" ref="O6">IF(OR($M$6&lt;=0,$N$6&lt;=0),0,SUMPRODUCT(--ISNUMBER(SEARCH(MID($K$6,_xlfn.SEQUENCE($M$6),4),$L$6))))</f>
        <v>0</v>
      </c>
      <c r="P6">
        <f>IF(OR($I$6="",$K$6="",$L$6="",$M$6&lt;=0,$N$6&lt;=0),"",$O$6/($M$6+$N$6-$O$6))</f>
        <v>0</v>
      </c>
      <c r="Q6">
        <f>'Hybrid Questions'!$A$3</f>
        <v>0</v>
      </c>
      <c r="R6">
        <f>IFERROR(INDEX(Responses!$1:$1,1,CHOOSE(LEN(TRIM($Q$6)),CODE(TRIM($Q$6))-64,(CODE(LEFT(TRIM($Q$6),1))-64)*26+(CODE(RIGHT(TRIM($Q$6),1))-64),(CODE(LEFT(TRIM($Q$6),1))-64)*676+(CODE(MID(TRIM($Q$6),2,1))-64)*26+(CODE(RIGHT(TRIM($Q$6),1))-64))),"")</f>
        <v>0</v>
      </c>
      <c r="S6">
        <f>LOWER(TRIM(LEFT('Hybrid Questions'!$C$3,200)))</f>
        <v>0</v>
      </c>
      <c r="T6">
        <f>LOWER(TRIM(LEFT($R$6,200)))</f>
        <v>0</v>
      </c>
      <c r="U6">
        <f>MAX(LEN($S$6)-3,0)</f>
        <v>0</v>
      </c>
      <c r="V6">
        <f>MAX(LEN($T$6)-3,0)</f>
        <v>0</v>
      </c>
      <c r="W6" cm="1">
        <f t="array" ref="W6">IF(OR($U$6&lt;=0,$V$6&lt;=0),0,SUMPRODUCT(--ISNUMBER(SEARCH(MID($S$6,_xlfn.SEQUENCE($U$6),4),$T$6))))</f>
        <v>0</v>
      </c>
      <c r="X6">
        <f>IF(OR($Q$6="",$S$6="",$T$6="",$U$6&lt;=0,$V$6&lt;=0),"",$W$6/($U$6+$V$6-$W$6))</f>
        <v>0</v>
      </c>
      <c r="Y6">
        <f>'Hybrid Questions'!$D$3</f>
        <v>0</v>
      </c>
      <c r="Z6">
        <f>IFERROR(INDEX(Responses!$1:$1,1,CHOOSE(LEN(TRIM($Y$6)),CODE(TRIM($Y$6))-64,(CODE(LEFT(TRIM($Y$6),1))-64)*26+(CODE(RIGHT(TRIM($Y$6),1))-64),(CODE(LEFT(TRIM($Y$6),1))-64)*676+(CODE(MID(TRIM($Y$6),2,1))-64)*26+(CODE(RIGHT(TRIM($Y$6),1))-64))),"")</f>
        <v>0</v>
      </c>
      <c r="AA6">
        <f>LOWER(TRIM(LEFT('Hybrid Questions'!$C$3,200)))</f>
        <v>0</v>
      </c>
      <c r="AB6">
        <f>LOWER(TRIM(LEFT($Z$6,200)))</f>
        <v>0</v>
      </c>
      <c r="AC6">
        <f>MAX(LEN($AA$6)-3,0)</f>
        <v>0</v>
      </c>
      <c r="AD6">
        <f>MAX(LEN($AB$6)-3,0)</f>
        <v>0</v>
      </c>
      <c r="AE6" cm="1">
        <f t="array" ref="AE6">IF(OR($AC$6&lt;=0,$AD$6&lt;=0),0,SUMPRODUCT(--ISNUMBER(SEARCH(MID($AA$6,_xlfn.SEQUENCE($AC$6),4),$AB$6))))</f>
        <v>0</v>
      </c>
      <c r="AF6">
        <f>IF(OR($Y$6="",$AA$6="",$AB$6="",$AC$6&lt;=0,$AD$6&lt;=0),"",$AE$6/($AC$6+$AD$6-$AE$6))</f>
        <v>0</v>
      </c>
    </row>
    <row r="7" spans="1:702">
      <c r="A7">
        <f>'Open Questions'!$A$4</f>
        <v>0</v>
      </c>
      <c r="B7">
        <f>IFERROR(INDEX(Responses!$1:$1,1,CHOOSE(LEN(TRIM($A$7)),CODE(TRIM($A$7))-64,(CODE(LEFT(TRIM($A$7),1))-64)*26+(CODE(RIGHT(TRIM($A$7),1))-64),(CODE(LEFT(TRIM($A$7),1))-64)*676+(CODE(MID(TRIM($A$7),2,1))-64)*26+(CODE(RIGHT(TRIM($A$7),1))-64))),"")</f>
        <v>0</v>
      </c>
      <c r="C7">
        <f>LOWER(TRIM(LEFT('Open Questions'!$C$4,200)))</f>
        <v>0</v>
      </c>
      <c r="D7">
        <f>LOWER(TRIM(LEFT($B$7,200)))</f>
        <v>0</v>
      </c>
      <c r="E7">
        <f>MAX(LEN($C$7)-3,0)</f>
        <v>0</v>
      </c>
      <c r="F7">
        <f>MAX(LEN($D$7)-3,0)</f>
        <v>0</v>
      </c>
      <c r="G7" cm="1">
        <f t="array" ref="G7">IF(OR($E$7&lt;=0,$F$7&lt;=0),0,SUMPRODUCT(--ISNUMBER(SEARCH(MID($C$7,_xlfn.SEQUENCE($E$7),4),$D$7))))</f>
        <v>0</v>
      </c>
      <c r="H7">
        <f>IF(OR($A$7="",$C$7="",$D$7="",$E$7&lt;=0,$F$7&lt;=0),"",$G$7/($E$7+$F$7-$G$7))</f>
        <v>0</v>
      </c>
      <c r="I7">
        <f>'Multiple Choice Questions'!$A$4</f>
        <v>0</v>
      </c>
      <c r="J7">
        <f>IFERROR(INDEX(Responses!$1:$1,1,CHOOSE(LEN(TRIM($I$7)),CODE(TRIM($I$7))-64,(CODE(LEFT(TRIM($I$7),1))-64)*26+(CODE(RIGHT(TRIM($I$7),1))-64),(CODE(LEFT(TRIM($I$7),1))-64)*676+(CODE(MID(TRIM($I$7),2,1))-64)*26+(CODE(RIGHT(TRIM($I$7),1))-64))),"")</f>
        <v>0</v>
      </c>
      <c r="K7">
        <f>LOWER(TRIM(LEFT('Multiple Choice Questions'!$C$4,200)))</f>
        <v>0</v>
      </c>
      <c r="L7">
        <f>LOWER(TRIM(LEFT($J$7,200)))</f>
        <v>0</v>
      </c>
      <c r="M7">
        <f>MAX(LEN($K$7)-3,0)</f>
        <v>0</v>
      </c>
      <c r="N7">
        <f>MAX(LEN($L$7)-3,0)</f>
        <v>0</v>
      </c>
      <c r="O7" cm="1">
        <f t="array" ref="O7">IF(OR($M$7&lt;=0,$N$7&lt;=0),0,SUMPRODUCT(--ISNUMBER(SEARCH(MID($K$7,_xlfn.SEQUENCE($M$7),4),$L$7))))</f>
        <v>0</v>
      </c>
      <c r="P7">
        <f>IF(OR($I$7="",$K$7="",$L$7="",$M$7&lt;=0,$N$7&lt;=0),"",$O$7/($M$7+$N$7-$O$7))</f>
        <v>0</v>
      </c>
      <c r="Q7">
        <f>'Hybrid Questions'!$A$4</f>
        <v>0</v>
      </c>
      <c r="R7">
        <f>IFERROR(INDEX(Responses!$1:$1,1,CHOOSE(LEN(TRIM($Q$7)),CODE(TRIM($Q$7))-64,(CODE(LEFT(TRIM($Q$7),1))-64)*26+(CODE(RIGHT(TRIM($Q$7),1))-64),(CODE(LEFT(TRIM($Q$7),1))-64)*676+(CODE(MID(TRIM($Q$7),2,1))-64)*26+(CODE(RIGHT(TRIM($Q$7),1))-64))),"")</f>
        <v>0</v>
      </c>
      <c r="S7">
        <f>LOWER(TRIM(LEFT('Hybrid Questions'!$C$4,200)))</f>
        <v>0</v>
      </c>
      <c r="T7">
        <f>LOWER(TRIM(LEFT($R$7,200)))</f>
        <v>0</v>
      </c>
      <c r="U7">
        <f>MAX(LEN($S$7)-3,0)</f>
        <v>0</v>
      </c>
      <c r="V7">
        <f>MAX(LEN($T$7)-3,0)</f>
        <v>0</v>
      </c>
      <c r="W7" cm="1">
        <f t="array" ref="W7">IF(OR($U$7&lt;=0,$V$7&lt;=0),0,SUMPRODUCT(--ISNUMBER(SEARCH(MID($S$7,_xlfn.SEQUENCE($U$7),4),$T$7))))</f>
        <v>0</v>
      </c>
      <c r="X7">
        <f>IF(OR($Q$7="",$S$7="",$T$7="",$U$7&lt;=0,$V$7&lt;=0),"",$W$7/($U$7+$V$7-$W$7))</f>
        <v>0</v>
      </c>
      <c r="Y7">
        <f>'Hybrid Questions'!$D$4</f>
        <v>0</v>
      </c>
      <c r="Z7">
        <f>IFERROR(INDEX(Responses!$1:$1,1,CHOOSE(LEN(TRIM($Y$7)),CODE(TRIM($Y$7))-64,(CODE(LEFT(TRIM($Y$7),1))-64)*26+(CODE(RIGHT(TRIM($Y$7),1))-64),(CODE(LEFT(TRIM($Y$7),1))-64)*676+(CODE(MID(TRIM($Y$7),2,1))-64)*26+(CODE(RIGHT(TRIM($Y$7),1))-64))),"")</f>
        <v>0</v>
      </c>
      <c r="AA7">
        <f>LOWER(TRIM(LEFT('Hybrid Questions'!$C$4,200)))</f>
        <v>0</v>
      </c>
      <c r="AB7">
        <f>LOWER(TRIM(LEFT($Z$7,200)))</f>
        <v>0</v>
      </c>
      <c r="AC7">
        <f>MAX(LEN($AA$7)-3,0)</f>
        <v>0</v>
      </c>
      <c r="AD7">
        <f>MAX(LEN($AB$7)-3,0)</f>
        <v>0</v>
      </c>
      <c r="AE7" cm="1">
        <f t="array" ref="AE7">IF(OR($AC$7&lt;=0,$AD$7&lt;=0),0,SUMPRODUCT(--ISNUMBER(SEARCH(MID($AA$7,_xlfn.SEQUENCE($AC$7),4),$AB$7))))</f>
        <v>0</v>
      </c>
      <c r="AF7">
        <f>IF(OR($Y$7="",$AA$7="",$AB$7="",$AC$7&lt;=0,$AD$7&lt;=0),"",$AE$7/($AC$7+$AD$7-$AE$7))</f>
        <v>0</v>
      </c>
    </row>
    <row r="8" spans="1:702">
      <c r="A8">
        <f>'Open Questions'!$A$5</f>
        <v>0</v>
      </c>
      <c r="B8">
        <f>IFERROR(INDEX(Responses!$1:$1,1,CHOOSE(LEN(TRIM($A$8)),CODE(TRIM($A$8))-64,(CODE(LEFT(TRIM($A$8),1))-64)*26+(CODE(RIGHT(TRIM($A$8),1))-64),(CODE(LEFT(TRIM($A$8),1))-64)*676+(CODE(MID(TRIM($A$8),2,1))-64)*26+(CODE(RIGHT(TRIM($A$8),1))-64))),"")</f>
        <v>0</v>
      </c>
      <c r="C8">
        <f>LOWER(TRIM(LEFT('Open Questions'!$C$5,200)))</f>
        <v>0</v>
      </c>
      <c r="D8">
        <f>LOWER(TRIM(LEFT($B$8,200)))</f>
        <v>0</v>
      </c>
      <c r="E8">
        <f>MAX(LEN($C$8)-3,0)</f>
        <v>0</v>
      </c>
      <c r="F8">
        <f>MAX(LEN($D$8)-3,0)</f>
        <v>0</v>
      </c>
      <c r="G8" cm="1">
        <f t="array" ref="G8">IF(OR($E$8&lt;=0,$F$8&lt;=0),0,SUMPRODUCT(--ISNUMBER(SEARCH(MID($C$8,_xlfn.SEQUENCE($E$8),4),$D$8))))</f>
        <v>0</v>
      </c>
      <c r="H8">
        <f>IF(OR($A$8="",$C$8="",$D$8="",$E$8&lt;=0,$F$8&lt;=0),"",$G$8/($E$8+$F$8-$G$8))</f>
        <v>0</v>
      </c>
      <c r="I8">
        <f>'Multiple Choice Questions'!$A$5</f>
        <v>0</v>
      </c>
      <c r="J8">
        <f>IFERROR(INDEX(Responses!$1:$1,1,CHOOSE(LEN(TRIM($I$8)),CODE(TRIM($I$8))-64,(CODE(LEFT(TRIM($I$8),1))-64)*26+(CODE(RIGHT(TRIM($I$8),1))-64),(CODE(LEFT(TRIM($I$8),1))-64)*676+(CODE(MID(TRIM($I$8),2,1))-64)*26+(CODE(RIGHT(TRIM($I$8),1))-64))),"")</f>
        <v>0</v>
      </c>
      <c r="K8">
        <f>LOWER(TRIM(LEFT('Multiple Choice Questions'!$C$5,200)))</f>
        <v>0</v>
      </c>
      <c r="L8">
        <f>LOWER(TRIM(LEFT($J$8,200)))</f>
        <v>0</v>
      </c>
      <c r="M8">
        <f>MAX(LEN($K$8)-3,0)</f>
        <v>0</v>
      </c>
      <c r="N8">
        <f>MAX(LEN($L$8)-3,0)</f>
        <v>0</v>
      </c>
      <c r="O8" cm="1">
        <f t="array" ref="O8">IF(OR($M$8&lt;=0,$N$8&lt;=0),0,SUMPRODUCT(--ISNUMBER(SEARCH(MID($K$8,_xlfn.SEQUENCE($M$8),4),$L$8))))</f>
        <v>0</v>
      </c>
      <c r="P8">
        <f>IF(OR($I$8="",$K$8="",$L$8="",$M$8&lt;=0,$N$8&lt;=0),"",$O$8/($M$8+$N$8-$O$8))</f>
        <v>0</v>
      </c>
      <c r="Q8">
        <f>'Hybrid Questions'!$A$5</f>
        <v>0</v>
      </c>
      <c r="R8">
        <f>IFERROR(INDEX(Responses!$1:$1,1,CHOOSE(LEN(TRIM($Q$8)),CODE(TRIM($Q$8))-64,(CODE(LEFT(TRIM($Q$8),1))-64)*26+(CODE(RIGHT(TRIM($Q$8),1))-64),(CODE(LEFT(TRIM($Q$8),1))-64)*676+(CODE(MID(TRIM($Q$8),2,1))-64)*26+(CODE(RIGHT(TRIM($Q$8),1))-64))),"")</f>
        <v>0</v>
      </c>
      <c r="S8">
        <f>LOWER(TRIM(LEFT('Hybrid Questions'!$C$5,200)))</f>
        <v>0</v>
      </c>
      <c r="T8">
        <f>LOWER(TRIM(LEFT($R$8,200)))</f>
        <v>0</v>
      </c>
      <c r="U8">
        <f>MAX(LEN($S$8)-3,0)</f>
        <v>0</v>
      </c>
      <c r="V8">
        <f>MAX(LEN($T$8)-3,0)</f>
        <v>0</v>
      </c>
      <c r="W8" cm="1">
        <f t="array" ref="W8">IF(OR($U$8&lt;=0,$V$8&lt;=0),0,SUMPRODUCT(--ISNUMBER(SEARCH(MID($S$8,_xlfn.SEQUENCE($U$8),4),$T$8))))</f>
        <v>0</v>
      </c>
      <c r="X8">
        <f>IF(OR($Q$8="",$S$8="",$T$8="",$U$8&lt;=0,$V$8&lt;=0),"",$W$8/($U$8+$V$8-$W$8))</f>
        <v>0</v>
      </c>
      <c r="Y8">
        <f>'Hybrid Questions'!$D$5</f>
        <v>0</v>
      </c>
      <c r="Z8">
        <f>IFERROR(INDEX(Responses!$1:$1,1,CHOOSE(LEN(TRIM($Y$8)),CODE(TRIM($Y$8))-64,(CODE(LEFT(TRIM($Y$8),1))-64)*26+(CODE(RIGHT(TRIM($Y$8),1))-64),(CODE(LEFT(TRIM($Y$8),1))-64)*676+(CODE(MID(TRIM($Y$8),2,1))-64)*26+(CODE(RIGHT(TRIM($Y$8),1))-64))),"")</f>
        <v>0</v>
      </c>
      <c r="AA8">
        <f>LOWER(TRIM(LEFT('Hybrid Questions'!$C$5,200)))</f>
        <v>0</v>
      </c>
      <c r="AB8">
        <f>LOWER(TRIM(LEFT($Z$8,200)))</f>
        <v>0</v>
      </c>
      <c r="AC8">
        <f>MAX(LEN($AA$8)-3,0)</f>
        <v>0</v>
      </c>
      <c r="AD8">
        <f>MAX(LEN($AB$8)-3,0)</f>
        <v>0</v>
      </c>
      <c r="AE8" cm="1">
        <f t="array" ref="AE8">IF(OR($AC$8&lt;=0,$AD$8&lt;=0),0,SUMPRODUCT(--ISNUMBER(SEARCH(MID($AA$8,_xlfn.SEQUENCE($AC$8),4),$AB$8))))</f>
        <v>0</v>
      </c>
      <c r="AF8">
        <f>IF(OR($Y$8="",$AA$8="",$AB$8="",$AC$8&lt;=0,$AD$8&lt;=0),"",$AE$8/($AC$8+$AD$8-$AE$8))</f>
        <v>0</v>
      </c>
    </row>
    <row r="9" spans="1:702">
      <c r="A9">
        <f>'Open Questions'!$A$6</f>
        <v>0</v>
      </c>
      <c r="B9">
        <f>IFERROR(INDEX(Responses!$1:$1,1,CHOOSE(LEN(TRIM($A$9)),CODE(TRIM($A$9))-64,(CODE(LEFT(TRIM($A$9),1))-64)*26+(CODE(RIGHT(TRIM($A$9),1))-64),(CODE(LEFT(TRIM($A$9),1))-64)*676+(CODE(MID(TRIM($A$9),2,1))-64)*26+(CODE(RIGHT(TRIM($A$9),1))-64))),"")</f>
        <v>0</v>
      </c>
      <c r="C9">
        <f>LOWER(TRIM(LEFT('Open Questions'!$C$6,200)))</f>
        <v>0</v>
      </c>
      <c r="D9">
        <f>LOWER(TRIM(LEFT($B$9,200)))</f>
        <v>0</v>
      </c>
      <c r="E9">
        <f>MAX(LEN($C$9)-3,0)</f>
        <v>0</v>
      </c>
      <c r="F9">
        <f>MAX(LEN($D$9)-3,0)</f>
        <v>0</v>
      </c>
      <c r="G9" cm="1">
        <f t="array" ref="G9">IF(OR($E$9&lt;=0,$F$9&lt;=0),0,SUMPRODUCT(--ISNUMBER(SEARCH(MID($C$9,_xlfn.SEQUENCE($E$9),4),$D$9))))</f>
        <v>0</v>
      </c>
      <c r="H9">
        <f>IF(OR($A$9="",$C$9="",$D$9="",$E$9&lt;=0,$F$9&lt;=0),"",$G$9/($E$9+$F$9-$G$9))</f>
        <v>0</v>
      </c>
      <c r="I9">
        <f>'Multiple Choice Questions'!$A$6</f>
        <v>0</v>
      </c>
      <c r="J9">
        <f>IFERROR(INDEX(Responses!$1:$1,1,CHOOSE(LEN(TRIM($I$9)),CODE(TRIM($I$9))-64,(CODE(LEFT(TRIM($I$9),1))-64)*26+(CODE(RIGHT(TRIM($I$9),1))-64),(CODE(LEFT(TRIM($I$9),1))-64)*676+(CODE(MID(TRIM($I$9),2,1))-64)*26+(CODE(RIGHT(TRIM($I$9),1))-64))),"")</f>
        <v>0</v>
      </c>
      <c r="K9">
        <f>LOWER(TRIM(LEFT('Multiple Choice Questions'!$C$6,200)))</f>
        <v>0</v>
      </c>
      <c r="L9">
        <f>LOWER(TRIM(LEFT($J$9,200)))</f>
        <v>0</v>
      </c>
      <c r="M9">
        <f>MAX(LEN($K$9)-3,0)</f>
        <v>0</v>
      </c>
      <c r="N9">
        <f>MAX(LEN($L$9)-3,0)</f>
        <v>0</v>
      </c>
      <c r="O9" cm="1">
        <f t="array" ref="O9">IF(OR($M$9&lt;=0,$N$9&lt;=0),0,SUMPRODUCT(--ISNUMBER(SEARCH(MID($K$9,_xlfn.SEQUENCE($M$9),4),$L$9))))</f>
        <v>0</v>
      </c>
      <c r="P9">
        <f>IF(OR($I$9="",$K$9="",$L$9="",$M$9&lt;=0,$N$9&lt;=0),"",$O$9/($M$9+$N$9-$O$9))</f>
        <v>0</v>
      </c>
      <c r="Q9">
        <f>'Hybrid Questions'!$A$6</f>
        <v>0</v>
      </c>
      <c r="R9">
        <f>IFERROR(INDEX(Responses!$1:$1,1,CHOOSE(LEN(TRIM($Q$9)),CODE(TRIM($Q$9))-64,(CODE(LEFT(TRIM($Q$9),1))-64)*26+(CODE(RIGHT(TRIM($Q$9),1))-64),(CODE(LEFT(TRIM($Q$9),1))-64)*676+(CODE(MID(TRIM($Q$9),2,1))-64)*26+(CODE(RIGHT(TRIM($Q$9),1))-64))),"")</f>
        <v>0</v>
      </c>
      <c r="S9">
        <f>LOWER(TRIM(LEFT('Hybrid Questions'!$C$6,200)))</f>
        <v>0</v>
      </c>
      <c r="T9">
        <f>LOWER(TRIM(LEFT($R$9,200)))</f>
        <v>0</v>
      </c>
      <c r="U9">
        <f>MAX(LEN($S$9)-3,0)</f>
        <v>0</v>
      </c>
      <c r="V9">
        <f>MAX(LEN($T$9)-3,0)</f>
        <v>0</v>
      </c>
      <c r="W9" cm="1">
        <f t="array" ref="W9">IF(OR($U$9&lt;=0,$V$9&lt;=0),0,SUMPRODUCT(--ISNUMBER(SEARCH(MID($S$9,_xlfn.SEQUENCE($U$9),4),$T$9))))</f>
        <v>0</v>
      </c>
      <c r="X9">
        <f>IF(OR($Q$9="",$S$9="",$T$9="",$U$9&lt;=0,$V$9&lt;=0),"",$W$9/($U$9+$V$9-$W$9))</f>
        <v>0</v>
      </c>
      <c r="Y9">
        <f>'Hybrid Questions'!$D$6</f>
        <v>0</v>
      </c>
      <c r="Z9">
        <f>IFERROR(INDEX(Responses!$1:$1,1,CHOOSE(LEN(TRIM($Y$9)),CODE(TRIM($Y$9))-64,(CODE(LEFT(TRIM($Y$9),1))-64)*26+(CODE(RIGHT(TRIM($Y$9),1))-64),(CODE(LEFT(TRIM($Y$9),1))-64)*676+(CODE(MID(TRIM($Y$9),2,1))-64)*26+(CODE(RIGHT(TRIM($Y$9),1))-64))),"")</f>
        <v>0</v>
      </c>
      <c r="AA9">
        <f>LOWER(TRIM(LEFT('Hybrid Questions'!$C$6,200)))</f>
        <v>0</v>
      </c>
      <c r="AB9">
        <f>LOWER(TRIM(LEFT($Z$9,200)))</f>
        <v>0</v>
      </c>
      <c r="AC9">
        <f>MAX(LEN($AA$9)-3,0)</f>
        <v>0</v>
      </c>
      <c r="AD9">
        <f>MAX(LEN($AB$9)-3,0)</f>
        <v>0</v>
      </c>
      <c r="AE9" cm="1">
        <f t="array" ref="AE9">IF(OR($AC$9&lt;=0,$AD$9&lt;=0),0,SUMPRODUCT(--ISNUMBER(SEARCH(MID($AA$9,_xlfn.SEQUENCE($AC$9),4),$AB$9))))</f>
        <v>0</v>
      </c>
      <c r="AF9">
        <f>IF(OR($Y$9="",$AA$9="",$AB$9="",$AC$9&lt;=0,$AD$9&lt;=0),"",$AE$9/($AC$9+$AD$9-$AE$9))</f>
        <v>0</v>
      </c>
    </row>
    <row r="10" spans="1:702">
      <c r="A10">
        <f>'Open Questions'!$A$7</f>
        <v>0</v>
      </c>
      <c r="B10">
        <f>IFERROR(INDEX(Responses!$1:$1,1,CHOOSE(LEN(TRIM($A$10)),CODE(TRIM($A$10))-64,(CODE(LEFT(TRIM($A$10),1))-64)*26+(CODE(RIGHT(TRIM($A$10),1))-64),(CODE(LEFT(TRIM($A$10),1))-64)*676+(CODE(MID(TRIM($A$10),2,1))-64)*26+(CODE(RIGHT(TRIM($A$10),1))-64))),"")</f>
        <v>0</v>
      </c>
      <c r="C10">
        <f>LOWER(TRIM(LEFT('Open Questions'!$C$7,200)))</f>
        <v>0</v>
      </c>
      <c r="D10">
        <f>LOWER(TRIM(LEFT($B$10,200)))</f>
        <v>0</v>
      </c>
      <c r="E10">
        <f>MAX(LEN($C$10)-3,0)</f>
        <v>0</v>
      </c>
      <c r="F10">
        <f>MAX(LEN($D$10)-3,0)</f>
        <v>0</v>
      </c>
      <c r="G10" cm="1">
        <f t="array" ref="G10">IF(OR($E$10&lt;=0,$F$10&lt;=0),0,SUMPRODUCT(--ISNUMBER(SEARCH(MID($C$10,_xlfn.SEQUENCE($E$10),4),$D$10))))</f>
        <v>0</v>
      </c>
      <c r="H10">
        <f>IF(OR($A$10="",$C$10="",$D$10="",$E$10&lt;=0,$F$10&lt;=0),"",$G$10/($E$10+$F$10-$G$10))</f>
        <v>0</v>
      </c>
      <c r="I10">
        <f>'Multiple Choice Questions'!$A$7</f>
        <v>0</v>
      </c>
      <c r="J10">
        <f>IFERROR(INDEX(Responses!$1:$1,1,CHOOSE(LEN(TRIM($I$10)),CODE(TRIM($I$10))-64,(CODE(LEFT(TRIM($I$10),1))-64)*26+(CODE(RIGHT(TRIM($I$10),1))-64),(CODE(LEFT(TRIM($I$10),1))-64)*676+(CODE(MID(TRIM($I$10),2,1))-64)*26+(CODE(RIGHT(TRIM($I$10),1))-64))),"")</f>
        <v>0</v>
      </c>
      <c r="K10">
        <f>LOWER(TRIM(LEFT('Multiple Choice Questions'!$C$7,200)))</f>
        <v>0</v>
      </c>
      <c r="L10">
        <f>LOWER(TRIM(LEFT($J$10,200)))</f>
        <v>0</v>
      </c>
      <c r="M10">
        <f>MAX(LEN($K$10)-3,0)</f>
        <v>0</v>
      </c>
      <c r="N10">
        <f>MAX(LEN($L$10)-3,0)</f>
        <v>0</v>
      </c>
      <c r="O10" cm="1">
        <f t="array" ref="O10">IF(OR($M$10&lt;=0,$N$10&lt;=0),0,SUMPRODUCT(--ISNUMBER(SEARCH(MID($K$10,_xlfn.SEQUENCE($M$10),4),$L$10))))</f>
        <v>0</v>
      </c>
      <c r="P10">
        <f>IF(OR($I$10="",$K$10="",$L$10="",$M$10&lt;=0,$N$10&lt;=0),"",$O$10/($M$10+$N$10-$O$10))</f>
        <v>0</v>
      </c>
      <c r="Q10">
        <f>'Hybrid Questions'!$A$7</f>
        <v>0</v>
      </c>
      <c r="R10">
        <f>IFERROR(INDEX(Responses!$1:$1,1,CHOOSE(LEN(TRIM($Q$10)),CODE(TRIM($Q$10))-64,(CODE(LEFT(TRIM($Q$10),1))-64)*26+(CODE(RIGHT(TRIM($Q$10),1))-64),(CODE(LEFT(TRIM($Q$10),1))-64)*676+(CODE(MID(TRIM($Q$10),2,1))-64)*26+(CODE(RIGHT(TRIM($Q$10),1))-64))),"")</f>
        <v>0</v>
      </c>
      <c r="S10">
        <f>LOWER(TRIM(LEFT('Hybrid Questions'!$C$7,200)))</f>
        <v>0</v>
      </c>
      <c r="T10">
        <f>LOWER(TRIM(LEFT($R$10,200)))</f>
        <v>0</v>
      </c>
      <c r="U10">
        <f>MAX(LEN($S$10)-3,0)</f>
        <v>0</v>
      </c>
      <c r="V10">
        <f>MAX(LEN($T$10)-3,0)</f>
        <v>0</v>
      </c>
      <c r="W10" cm="1">
        <f t="array" ref="W10">IF(OR($U$10&lt;=0,$V$10&lt;=0),0,SUMPRODUCT(--ISNUMBER(SEARCH(MID($S$10,_xlfn.SEQUENCE($U$10),4),$T$10))))</f>
        <v>0</v>
      </c>
      <c r="X10">
        <f>IF(OR($Q$10="",$S$10="",$T$10="",$U$10&lt;=0,$V$10&lt;=0),"",$W$10/($U$10+$V$10-$W$10))</f>
        <v>0</v>
      </c>
      <c r="Y10">
        <f>'Hybrid Questions'!$D$7</f>
        <v>0</v>
      </c>
      <c r="Z10">
        <f>IFERROR(INDEX(Responses!$1:$1,1,CHOOSE(LEN(TRIM($Y$10)),CODE(TRIM($Y$10))-64,(CODE(LEFT(TRIM($Y$10),1))-64)*26+(CODE(RIGHT(TRIM($Y$10),1))-64),(CODE(LEFT(TRIM($Y$10),1))-64)*676+(CODE(MID(TRIM($Y$10),2,1))-64)*26+(CODE(RIGHT(TRIM($Y$10),1))-64))),"")</f>
        <v>0</v>
      </c>
      <c r="AA10">
        <f>LOWER(TRIM(LEFT('Hybrid Questions'!$C$7,200)))</f>
        <v>0</v>
      </c>
      <c r="AB10">
        <f>LOWER(TRIM(LEFT($Z$10,200)))</f>
        <v>0</v>
      </c>
      <c r="AC10">
        <f>MAX(LEN($AA$10)-3,0)</f>
        <v>0</v>
      </c>
      <c r="AD10">
        <f>MAX(LEN($AB$10)-3,0)</f>
        <v>0</v>
      </c>
      <c r="AE10" cm="1">
        <f t="array" ref="AE10">IF(OR($AC$10&lt;=0,$AD$10&lt;=0),0,SUMPRODUCT(--ISNUMBER(SEARCH(MID($AA$10,_xlfn.SEQUENCE($AC$10),4),$AB$10))))</f>
        <v>0</v>
      </c>
      <c r="AF10">
        <f>IF(OR($Y$10="",$AA$10="",$AB$10="",$AC$10&lt;=0,$AD$10&lt;=0),"",$AE$10/($AC$10+$AD$10-$AE$10))</f>
        <v>0</v>
      </c>
    </row>
    <row r="11" spans="1:702">
      <c r="A11">
        <f>'Open Questions'!$A$8</f>
        <v>0</v>
      </c>
      <c r="B11">
        <f>IFERROR(INDEX(Responses!$1:$1,1,CHOOSE(LEN(TRIM($A$11)),CODE(TRIM($A$11))-64,(CODE(LEFT(TRIM($A$11),1))-64)*26+(CODE(RIGHT(TRIM($A$11),1))-64),(CODE(LEFT(TRIM($A$11),1))-64)*676+(CODE(MID(TRIM($A$11),2,1))-64)*26+(CODE(RIGHT(TRIM($A$11),1))-64))),"")</f>
        <v>0</v>
      </c>
      <c r="C11">
        <f>LOWER(TRIM(LEFT('Open Questions'!$C$8,200)))</f>
        <v>0</v>
      </c>
      <c r="D11">
        <f>LOWER(TRIM(LEFT($B$11,200)))</f>
        <v>0</v>
      </c>
      <c r="E11">
        <f>MAX(LEN($C$11)-3,0)</f>
        <v>0</v>
      </c>
      <c r="F11">
        <f>MAX(LEN($D$11)-3,0)</f>
        <v>0</v>
      </c>
      <c r="G11" cm="1">
        <f t="array" ref="G11">IF(OR($E$11&lt;=0,$F$11&lt;=0),0,SUMPRODUCT(--ISNUMBER(SEARCH(MID($C$11,_xlfn.SEQUENCE($E$11),4),$D$11))))</f>
        <v>0</v>
      </c>
      <c r="H11">
        <f>IF(OR($A$11="",$C$11="",$D$11="",$E$11&lt;=0,$F$11&lt;=0),"",$G$11/($E$11+$F$11-$G$11))</f>
        <v>0</v>
      </c>
      <c r="I11">
        <f>'Multiple Choice Questions'!$A$8</f>
        <v>0</v>
      </c>
      <c r="J11">
        <f>IFERROR(INDEX(Responses!$1:$1,1,CHOOSE(LEN(TRIM($I$11)),CODE(TRIM($I$11))-64,(CODE(LEFT(TRIM($I$11),1))-64)*26+(CODE(RIGHT(TRIM($I$11),1))-64),(CODE(LEFT(TRIM($I$11),1))-64)*676+(CODE(MID(TRIM($I$11),2,1))-64)*26+(CODE(RIGHT(TRIM($I$11),1))-64))),"")</f>
        <v>0</v>
      </c>
      <c r="K11">
        <f>LOWER(TRIM(LEFT('Multiple Choice Questions'!$C$8,200)))</f>
        <v>0</v>
      </c>
      <c r="L11">
        <f>LOWER(TRIM(LEFT($J$11,200)))</f>
        <v>0</v>
      </c>
      <c r="M11">
        <f>MAX(LEN($K$11)-3,0)</f>
        <v>0</v>
      </c>
      <c r="N11">
        <f>MAX(LEN($L$11)-3,0)</f>
        <v>0</v>
      </c>
      <c r="O11" cm="1">
        <f t="array" ref="O11">IF(OR($M$11&lt;=0,$N$11&lt;=0),0,SUMPRODUCT(--ISNUMBER(SEARCH(MID($K$11,_xlfn.SEQUENCE($M$11),4),$L$11))))</f>
        <v>0</v>
      </c>
      <c r="P11">
        <f>IF(OR($I$11="",$K$11="",$L$11="",$M$11&lt;=0,$N$11&lt;=0),"",$O$11/($M$11+$N$11-$O$11))</f>
        <v>0</v>
      </c>
      <c r="Q11">
        <f>'Hybrid Questions'!$A$8</f>
        <v>0</v>
      </c>
      <c r="R11">
        <f>IFERROR(INDEX(Responses!$1:$1,1,CHOOSE(LEN(TRIM($Q$11)),CODE(TRIM($Q$11))-64,(CODE(LEFT(TRIM($Q$11),1))-64)*26+(CODE(RIGHT(TRIM($Q$11),1))-64),(CODE(LEFT(TRIM($Q$11),1))-64)*676+(CODE(MID(TRIM($Q$11),2,1))-64)*26+(CODE(RIGHT(TRIM($Q$11),1))-64))),"")</f>
        <v>0</v>
      </c>
      <c r="S11">
        <f>LOWER(TRIM(LEFT('Hybrid Questions'!$C$8,200)))</f>
        <v>0</v>
      </c>
      <c r="T11">
        <f>LOWER(TRIM(LEFT($R$11,200)))</f>
        <v>0</v>
      </c>
      <c r="U11">
        <f>MAX(LEN($S$11)-3,0)</f>
        <v>0</v>
      </c>
      <c r="V11">
        <f>MAX(LEN($T$11)-3,0)</f>
        <v>0</v>
      </c>
      <c r="W11" cm="1">
        <f t="array" ref="W11">IF(OR($U$11&lt;=0,$V$11&lt;=0),0,SUMPRODUCT(--ISNUMBER(SEARCH(MID($S$11,_xlfn.SEQUENCE($U$11),4),$T$11))))</f>
        <v>0</v>
      </c>
      <c r="X11">
        <f>IF(OR($Q$11="",$S$11="",$T$11="",$U$11&lt;=0,$V$11&lt;=0),"",$W$11/($U$11+$V$11-$W$11))</f>
        <v>0</v>
      </c>
      <c r="Y11">
        <f>'Hybrid Questions'!$D$8</f>
        <v>0</v>
      </c>
      <c r="Z11">
        <f>IFERROR(INDEX(Responses!$1:$1,1,CHOOSE(LEN(TRIM($Y$11)),CODE(TRIM($Y$11))-64,(CODE(LEFT(TRIM($Y$11),1))-64)*26+(CODE(RIGHT(TRIM($Y$11),1))-64),(CODE(LEFT(TRIM($Y$11),1))-64)*676+(CODE(MID(TRIM($Y$11),2,1))-64)*26+(CODE(RIGHT(TRIM($Y$11),1))-64))),"")</f>
        <v>0</v>
      </c>
      <c r="AA11">
        <f>LOWER(TRIM(LEFT('Hybrid Questions'!$C$8,200)))</f>
        <v>0</v>
      </c>
      <c r="AB11">
        <f>LOWER(TRIM(LEFT($Z$11,200)))</f>
        <v>0</v>
      </c>
      <c r="AC11">
        <f>MAX(LEN($AA$11)-3,0)</f>
        <v>0</v>
      </c>
      <c r="AD11">
        <f>MAX(LEN($AB$11)-3,0)</f>
        <v>0</v>
      </c>
      <c r="AE11" cm="1">
        <f t="array" ref="AE11">IF(OR($AC$11&lt;=0,$AD$11&lt;=0),0,SUMPRODUCT(--ISNUMBER(SEARCH(MID($AA$11,_xlfn.SEQUENCE($AC$11),4),$AB$11))))</f>
        <v>0</v>
      </c>
      <c r="AF11">
        <f>IF(OR($Y$11="",$AA$11="",$AB$11="",$AC$11&lt;=0,$AD$11&lt;=0),"",$AE$11/($AC$11+$AD$11-$AE$11))</f>
        <v>0</v>
      </c>
    </row>
    <row r="12" spans="1:702">
      <c r="A12">
        <f>'Open Questions'!$A$9</f>
        <v>0</v>
      </c>
      <c r="B12">
        <f>IFERROR(INDEX(Responses!$1:$1,1,CHOOSE(LEN(TRIM($A$12)),CODE(TRIM($A$12))-64,(CODE(LEFT(TRIM($A$12),1))-64)*26+(CODE(RIGHT(TRIM($A$12),1))-64),(CODE(LEFT(TRIM($A$12),1))-64)*676+(CODE(MID(TRIM($A$12),2,1))-64)*26+(CODE(RIGHT(TRIM($A$12),1))-64))),"")</f>
        <v>0</v>
      </c>
      <c r="C12">
        <f>LOWER(TRIM(LEFT('Open Questions'!$C$9,200)))</f>
        <v>0</v>
      </c>
      <c r="D12">
        <f>LOWER(TRIM(LEFT($B$12,200)))</f>
        <v>0</v>
      </c>
      <c r="E12">
        <f>MAX(LEN($C$12)-3,0)</f>
        <v>0</v>
      </c>
      <c r="F12">
        <f>MAX(LEN($D$12)-3,0)</f>
        <v>0</v>
      </c>
      <c r="G12" cm="1">
        <f t="array" ref="G12">IF(OR($E$12&lt;=0,$F$12&lt;=0),0,SUMPRODUCT(--ISNUMBER(SEARCH(MID($C$12,_xlfn.SEQUENCE($E$12),4),$D$12))))</f>
        <v>0</v>
      </c>
      <c r="H12">
        <f>IF(OR($A$12="",$C$12="",$D$12="",$E$12&lt;=0,$F$12&lt;=0),"",$G$12/($E$12+$F$12-$G$12))</f>
        <v>0</v>
      </c>
      <c r="I12">
        <f>'Multiple Choice Questions'!$A$9</f>
        <v>0</v>
      </c>
      <c r="J12">
        <f>IFERROR(INDEX(Responses!$1:$1,1,CHOOSE(LEN(TRIM($I$12)),CODE(TRIM($I$12))-64,(CODE(LEFT(TRIM($I$12),1))-64)*26+(CODE(RIGHT(TRIM($I$12),1))-64),(CODE(LEFT(TRIM($I$12),1))-64)*676+(CODE(MID(TRIM($I$12),2,1))-64)*26+(CODE(RIGHT(TRIM($I$12),1))-64))),"")</f>
        <v>0</v>
      </c>
      <c r="K12">
        <f>LOWER(TRIM(LEFT('Multiple Choice Questions'!$C$9,200)))</f>
        <v>0</v>
      </c>
      <c r="L12">
        <f>LOWER(TRIM(LEFT($J$12,200)))</f>
        <v>0</v>
      </c>
      <c r="M12">
        <f>MAX(LEN($K$12)-3,0)</f>
        <v>0</v>
      </c>
      <c r="N12">
        <f>MAX(LEN($L$12)-3,0)</f>
        <v>0</v>
      </c>
      <c r="O12" cm="1">
        <f t="array" ref="O12">IF(OR($M$12&lt;=0,$N$12&lt;=0),0,SUMPRODUCT(--ISNUMBER(SEARCH(MID($K$12,_xlfn.SEQUENCE($M$12),4),$L$12))))</f>
        <v>0</v>
      </c>
      <c r="P12">
        <f>IF(OR($I$12="",$K$12="",$L$12="",$M$12&lt;=0,$N$12&lt;=0),"",$O$12/($M$12+$N$12-$O$12))</f>
        <v>0</v>
      </c>
      <c r="Q12">
        <f>'Hybrid Questions'!$A$9</f>
        <v>0</v>
      </c>
      <c r="R12">
        <f>IFERROR(INDEX(Responses!$1:$1,1,CHOOSE(LEN(TRIM($Q$12)),CODE(TRIM($Q$12))-64,(CODE(LEFT(TRIM($Q$12),1))-64)*26+(CODE(RIGHT(TRIM($Q$12),1))-64),(CODE(LEFT(TRIM($Q$12),1))-64)*676+(CODE(MID(TRIM($Q$12),2,1))-64)*26+(CODE(RIGHT(TRIM($Q$12),1))-64))),"")</f>
        <v>0</v>
      </c>
      <c r="S12">
        <f>LOWER(TRIM(LEFT('Hybrid Questions'!$C$9,200)))</f>
        <v>0</v>
      </c>
      <c r="T12">
        <f>LOWER(TRIM(LEFT($R$12,200)))</f>
        <v>0</v>
      </c>
      <c r="U12">
        <f>MAX(LEN($S$12)-3,0)</f>
        <v>0</v>
      </c>
      <c r="V12">
        <f>MAX(LEN($T$12)-3,0)</f>
        <v>0</v>
      </c>
      <c r="W12" cm="1">
        <f t="array" ref="W12">IF(OR($U$12&lt;=0,$V$12&lt;=0),0,SUMPRODUCT(--ISNUMBER(SEARCH(MID($S$12,_xlfn.SEQUENCE($U$12),4),$T$12))))</f>
        <v>0</v>
      </c>
      <c r="X12">
        <f>IF(OR($Q$12="",$S$12="",$T$12="",$U$12&lt;=0,$V$12&lt;=0),"",$W$12/($U$12+$V$12-$W$12))</f>
        <v>0</v>
      </c>
      <c r="Y12">
        <f>'Hybrid Questions'!$D$9</f>
        <v>0</v>
      </c>
      <c r="Z12">
        <f>IFERROR(INDEX(Responses!$1:$1,1,CHOOSE(LEN(TRIM($Y$12)),CODE(TRIM($Y$12))-64,(CODE(LEFT(TRIM($Y$12),1))-64)*26+(CODE(RIGHT(TRIM($Y$12),1))-64),(CODE(LEFT(TRIM($Y$12),1))-64)*676+(CODE(MID(TRIM($Y$12),2,1))-64)*26+(CODE(RIGHT(TRIM($Y$12),1))-64))),"")</f>
        <v>0</v>
      </c>
      <c r="AA12">
        <f>LOWER(TRIM(LEFT('Hybrid Questions'!$C$9,200)))</f>
        <v>0</v>
      </c>
      <c r="AB12">
        <f>LOWER(TRIM(LEFT($Z$12,200)))</f>
        <v>0</v>
      </c>
      <c r="AC12">
        <f>MAX(LEN($AA$12)-3,0)</f>
        <v>0</v>
      </c>
      <c r="AD12">
        <f>MAX(LEN($AB$12)-3,0)</f>
        <v>0</v>
      </c>
      <c r="AE12" cm="1">
        <f t="array" ref="AE12">IF(OR($AC$12&lt;=0,$AD$12&lt;=0),0,SUMPRODUCT(--ISNUMBER(SEARCH(MID($AA$12,_xlfn.SEQUENCE($AC$12),4),$AB$12))))</f>
        <v>0</v>
      </c>
      <c r="AF12">
        <f>IF(OR($Y$12="",$AA$12="",$AB$12="",$AC$12&lt;=0,$AD$12&lt;=0),"",$AE$12/($AC$12+$AD$12-$AE$12))</f>
        <v>0</v>
      </c>
    </row>
    <row r="13" spans="1:702">
      <c r="A13">
        <f>'Open Questions'!$A$10</f>
        <v>0</v>
      </c>
      <c r="B13">
        <f>IFERROR(INDEX(Responses!$1:$1,1,CHOOSE(LEN(TRIM($A$13)),CODE(TRIM($A$13))-64,(CODE(LEFT(TRIM($A$13),1))-64)*26+(CODE(RIGHT(TRIM($A$13),1))-64),(CODE(LEFT(TRIM($A$13),1))-64)*676+(CODE(MID(TRIM($A$13),2,1))-64)*26+(CODE(RIGHT(TRIM($A$13),1))-64))),"")</f>
        <v>0</v>
      </c>
      <c r="C13">
        <f>LOWER(TRIM(LEFT('Open Questions'!$C$10,200)))</f>
        <v>0</v>
      </c>
      <c r="D13">
        <f>LOWER(TRIM(LEFT($B$13,200)))</f>
        <v>0</v>
      </c>
      <c r="E13">
        <f>MAX(LEN($C$13)-3,0)</f>
        <v>0</v>
      </c>
      <c r="F13">
        <f>MAX(LEN($D$13)-3,0)</f>
        <v>0</v>
      </c>
      <c r="G13" cm="1">
        <f t="array" ref="G13">IF(OR($E$13&lt;=0,$F$13&lt;=0),0,SUMPRODUCT(--ISNUMBER(SEARCH(MID($C$13,_xlfn.SEQUENCE($E$13),4),$D$13))))</f>
        <v>0</v>
      </c>
      <c r="H13">
        <f>IF(OR($A$13="",$C$13="",$D$13="",$E$13&lt;=0,$F$13&lt;=0),"",$G$13/($E$13+$F$13-$G$13))</f>
        <v>0</v>
      </c>
      <c r="I13">
        <f>'Multiple Choice Questions'!$A$10</f>
        <v>0</v>
      </c>
      <c r="J13">
        <f>IFERROR(INDEX(Responses!$1:$1,1,CHOOSE(LEN(TRIM($I$13)),CODE(TRIM($I$13))-64,(CODE(LEFT(TRIM($I$13),1))-64)*26+(CODE(RIGHT(TRIM($I$13),1))-64),(CODE(LEFT(TRIM($I$13),1))-64)*676+(CODE(MID(TRIM($I$13),2,1))-64)*26+(CODE(RIGHT(TRIM($I$13),1))-64))),"")</f>
        <v>0</v>
      </c>
      <c r="K13">
        <f>LOWER(TRIM(LEFT('Multiple Choice Questions'!$C$10,200)))</f>
        <v>0</v>
      </c>
      <c r="L13">
        <f>LOWER(TRIM(LEFT($J$13,200)))</f>
        <v>0</v>
      </c>
      <c r="M13">
        <f>MAX(LEN($K$13)-3,0)</f>
        <v>0</v>
      </c>
      <c r="N13">
        <f>MAX(LEN($L$13)-3,0)</f>
        <v>0</v>
      </c>
      <c r="O13" cm="1">
        <f t="array" ref="O13">IF(OR($M$13&lt;=0,$N$13&lt;=0),0,SUMPRODUCT(--ISNUMBER(SEARCH(MID($K$13,_xlfn.SEQUENCE($M$13),4),$L$13))))</f>
        <v>0</v>
      </c>
      <c r="P13">
        <f>IF(OR($I$13="",$K$13="",$L$13="",$M$13&lt;=0,$N$13&lt;=0),"",$O$13/($M$13+$N$13-$O$13))</f>
        <v>0</v>
      </c>
      <c r="Q13">
        <f>'Hybrid Questions'!$A$10</f>
        <v>0</v>
      </c>
      <c r="R13">
        <f>IFERROR(INDEX(Responses!$1:$1,1,CHOOSE(LEN(TRIM($Q$13)),CODE(TRIM($Q$13))-64,(CODE(LEFT(TRIM($Q$13),1))-64)*26+(CODE(RIGHT(TRIM($Q$13),1))-64),(CODE(LEFT(TRIM($Q$13),1))-64)*676+(CODE(MID(TRIM($Q$13),2,1))-64)*26+(CODE(RIGHT(TRIM($Q$13),1))-64))),"")</f>
        <v>0</v>
      </c>
      <c r="S13">
        <f>LOWER(TRIM(LEFT('Hybrid Questions'!$C$10,200)))</f>
        <v>0</v>
      </c>
      <c r="T13">
        <f>LOWER(TRIM(LEFT($R$13,200)))</f>
        <v>0</v>
      </c>
      <c r="U13">
        <f>MAX(LEN($S$13)-3,0)</f>
        <v>0</v>
      </c>
      <c r="V13">
        <f>MAX(LEN($T$13)-3,0)</f>
        <v>0</v>
      </c>
      <c r="W13" cm="1">
        <f t="array" ref="W13">IF(OR($U$13&lt;=0,$V$13&lt;=0),0,SUMPRODUCT(--ISNUMBER(SEARCH(MID($S$13,_xlfn.SEQUENCE($U$13),4),$T$13))))</f>
        <v>0</v>
      </c>
      <c r="X13">
        <f>IF(OR($Q$13="",$S$13="",$T$13="",$U$13&lt;=0,$V$13&lt;=0),"",$W$13/($U$13+$V$13-$W$13))</f>
        <v>0</v>
      </c>
      <c r="Y13">
        <f>'Hybrid Questions'!$D$10</f>
        <v>0</v>
      </c>
      <c r="Z13">
        <f>IFERROR(INDEX(Responses!$1:$1,1,CHOOSE(LEN(TRIM($Y$13)),CODE(TRIM($Y$13))-64,(CODE(LEFT(TRIM($Y$13),1))-64)*26+(CODE(RIGHT(TRIM($Y$13),1))-64),(CODE(LEFT(TRIM($Y$13),1))-64)*676+(CODE(MID(TRIM($Y$13),2,1))-64)*26+(CODE(RIGHT(TRIM($Y$13),1))-64))),"")</f>
        <v>0</v>
      </c>
      <c r="AA13">
        <f>LOWER(TRIM(LEFT('Hybrid Questions'!$C$10,200)))</f>
        <v>0</v>
      </c>
      <c r="AB13">
        <f>LOWER(TRIM(LEFT($Z$13,200)))</f>
        <v>0</v>
      </c>
      <c r="AC13">
        <f>MAX(LEN($AA$13)-3,0)</f>
        <v>0</v>
      </c>
      <c r="AD13">
        <f>MAX(LEN($AB$13)-3,0)</f>
        <v>0</v>
      </c>
      <c r="AE13" cm="1">
        <f t="array" ref="AE13">IF(OR($AC$13&lt;=0,$AD$13&lt;=0),0,SUMPRODUCT(--ISNUMBER(SEARCH(MID($AA$13,_xlfn.SEQUENCE($AC$13),4),$AB$13))))</f>
        <v>0</v>
      </c>
      <c r="AF13">
        <f>IF(OR($Y$13="",$AA$13="",$AB$13="",$AC$13&lt;=0,$AD$13&lt;=0),"",$AE$13/($AC$13+$AD$13-$AE$13))</f>
        <v>0</v>
      </c>
    </row>
    <row r="14" spans="1:702">
      <c r="A14">
        <f>'Open Questions'!$A$11</f>
        <v>0</v>
      </c>
      <c r="B14">
        <f>IFERROR(INDEX(Responses!$1:$1,1,CHOOSE(LEN(TRIM($A$14)),CODE(TRIM($A$14))-64,(CODE(LEFT(TRIM($A$14),1))-64)*26+(CODE(RIGHT(TRIM($A$14),1))-64),(CODE(LEFT(TRIM($A$14),1))-64)*676+(CODE(MID(TRIM($A$14),2,1))-64)*26+(CODE(RIGHT(TRIM($A$14),1))-64))),"")</f>
        <v>0</v>
      </c>
      <c r="C14">
        <f>LOWER(TRIM(LEFT('Open Questions'!$C$11,200)))</f>
        <v>0</v>
      </c>
      <c r="D14">
        <f>LOWER(TRIM(LEFT($B$14,200)))</f>
        <v>0</v>
      </c>
      <c r="E14">
        <f>MAX(LEN($C$14)-3,0)</f>
        <v>0</v>
      </c>
      <c r="F14">
        <f>MAX(LEN($D$14)-3,0)</f>
        <v>0</v>
      </c>
      <c r="G14" cm="1">
        <f t="array" ref="G14">IF(OR($E$14&lt;=0,$F$14&lt;=0),0,SUMPRODUCT(--ISNUMBER(SEARCH(MID($C$14,_xlfn.SEQUENCE($E$14),4),$D$14))))</f>
        <v>0</v>
      </c>
      <c r="H14">
        <f>IF(OR($A$14="",$C$14="",$D$14="",$E$14&lt;=0,$F$14&lt;=0),"",$G$14/($E$14+$F$14-$G$14))</f>
        <v>0</v>
      </c>
      <c r="I14">
        <f>'Multiple Choice Questions'!$A$11</f>
        <v>0</v>
      </c>
      <c r="J14">
        <f>IFERROR(INDEX(Responses!$1:$1,1,CHOOSE(LEN(TRIM($I$14)),CODE(TRIM($I$14))-64,(CODE(LEFT(TRIM($I$14),1))-64)*26+(CODE(RIGHT(TRIM($I$14),1))-64),(CODE(LEFT(TRIM($I$14),1))-64)*676+(CODE(MID(TRIM($I$14),2,1))-64)*26+(CODE(RIGHT(TRIM($I$14),1))-64))),"")</f>
        <v>0</v>
      </c>
      <c r="K14">
        <f>LOWER(TRIM(LEFT('Multiple Choice Questions'!$C$11,200)))</f>
        <v>0</v>
      </c>
      <c r="L14">
        <f>LOWER(TRIM(LEFT($J$14,200)))</f>
        <v>0</v>
      </c>
      <c r="M14">
        <f>MAX(LEN($K$14)-3,0)</f>
        <v>0</v>
      </c>
      <c r="N14">
        <f>MAX(LEN($L$14)-3,0)</f>
        <v>0</v>
      </c>
      <c r="O14" cm="1">
        <f t="array" ref="O14">IF(OR($M$14&lt;=0,$N$14&lt;=0),0,SUMPRODUCT(--ISNUMBER(SEARCH(MID($K$14,_xlfn.SEQUENCE($M$14),4),$L$14))))</f>
        <v>0</v>
      </c>
      <c r="P14">
        <f>IF(OR($I$14="",$K$14="",$L$14="",$M$14&lt;=0,$N$14&lt;=0),"",$O$14/($M$14+$N$14-$O$14))</f>
        <v>0</v>
      </c>
      <c r="Q14">
        <f>'Hybrid Questions'!$A$11</f>
        <v>0</v>
      </c>
      <c r="R14">
        <f>IFERROR(INDEX(Responses!$1:$1,1,CHOOSE(LEN(TRIM($Q$14)),CODE(TRIM($Q$14))-64,(CODE(LEFT(TRIM($Q$14),1))-64)*26+(CODE(RIGHT(TRIM($Q$14),1))-64),(CODE(LEFT(TRIM($Q$14),1))-64)*676+(CODE(MID(TRIM($Q$14),2,1))-64)*26+(CODE(RIGHT(TRIM($Q$14),1))-64))),"")</f>
        <v>0</v>
      </c>
      <c r="S14">
        <f>LOWER(TRIM(LEFT('Hybrid Questions'!$C$11,200)))</f>
        <v>0</v>
      </c>
      <c r="T14">
        <f>LOWER(TRIM(LEFT($R$14,200)))</f>
        <v>0</v>
      </c>
      <c r="U14">
        <f>MAX(LEN($S$14)-3,0)</f>
        <v>0</v>
      </c>
      <c r="V14">
        <f>MAX(LEN($T$14)-3,0)</f>
        <v>0</v>
      </c>
      <c r="W14" cm="1">
        <f t="array" ref="W14">IF(OR($U$14&lt;=0,$V$14&lt;=0),0,SUMPRODUCT(--ISNUMBER(SEARCH(MID($S$14,_xlfn.SEQUENCE($U$14),4),$T$14))))</f>
        <v>0</v>
      </c>
      <c r="X14">
        <f>IF(OR($Q$14="",$S$14="",$T$14="",$U$14&lt;=0,$V$14&lt;=0),"",$W$14/($U$14+$V$14-$W$14))</f>
        <v>0</v>
      </c>
      <c r="Y14">
        <f>'Hybrid Questions'!$D$11</f>
        <v>0</v>
      </c>
      <c r="Z14">
        <f>IFERROR(INDEX(Responses!$1:$1,1,CHOOSE(LEN(TRIM($Y$14)),CODE(TRIM($Y$14))-64,(CODE(LEFT(TRIM($Y$14),1))-64)*26+(CODE(RIGHT(TRIM($Y$14),1))-64),(CODE(LEFT(TRIM($Y$14),1))-64)*676+(CODE(MID(TRIM($Y$14),2,1))-64)*26+(CODE(RIGHT(TRIM($Y$14),1))-64))),"")</f>
        <v>0</v>
      </c>
      <c r="AA14">
        <f>LOWER(TRIM(LEFT('Hybrid Questions'!$C$11,200)))</f>
        <v>0</v>
      </c>
      <c r="AB14">
        <f>LOWER(TRIM(LEFT($Z$14,200)))</f>
        <v>0</v>
      </c>
      <c r="AC14">
        <f>MAX(LEN($AA$14)-3,0)</f>
        <v>0</v>
      </c>
      <c r="AD14">
        <f>MAX(LEN($AB$14)-3,0)</f>
        <v>0</v>
      </c>
      <c r="AE14" cm="1">
        <f t="array" ref="AE14">IF(OR($AC$14&lt;=0,$AD$14&lt;=0),0,SUMPRODUCT(--ISNUMBER(SEARCH(MID($AA$14,_xlfn.SEQUENCE($AC$14),4),$AB$14))))</f>
        <v>0</v>
      </c>
      <c r="AF14">
        <f>IF(OR($Y$14="",$AA$14="",$AB$14="",$AC$14&lt;=0,$AD$14&lt;=0),"",$AE$14/($AC$14+$AD$14-$AE$14))</f>
        <v>0</v>
      </c>
    </row>
    <row r="15" spans="1:702">
      <c r="A15">
        <f>'Open Questions'!$A$12</f>
        <v>0</v>
      </c>
      <c r="B15">
        <f>IFERROR(INDEX(Responses!$1:$1,1,CHOOSE(LEN(TRIM($A$15)),CODE(TRIM($A$15))-64,(CODE(LEFT(TRIM($A$15),1))-64)*26+(CODE(RIGHT(TRIM($A$15),1))-64),(CODE(LEFT(TRIM($A$15),1))-64)*676+(CODE(MID(TRIM($A$15),2,1))-64)*26+(CODE(RIGHT(TRIM($A$15),1))-64))),"")</f>
        <v>0</v>
      </c>
      <c r="C15">
        <f>LOWER(TRIM(LEFT('Open Questions'!$C$12,200)))</f>
        <v>0</v>
      </c>
      <c r="D15">
        <f>LOWER(TRIM(LEFT($B$15,200)))</f>
        <v>0</v>
      </c>
      <c r="E15">
        <f>MAX(LEN($C$15)-3,0)</f>
        <v>0</v>
      </c>
      <c r="F15">
        <f>MAX(LEN($D$15)-3,0)</f>
        <v>0</v>
      </c>
      <c r="G15" cm="1">
        <f t="array" ref="G15">IF(OR($E$15&lt;=0,$F$15&lt;=0),0,SUMPRODUCT(--ISNUMBER(SEARCH(MID($C$15,_xlfn.SEQUENCE($E$15),4),$D$15))))</f>
        <v>0</v>
      </c>
      <c r="H15">
        <f>IF(OR($A$15="",$C$15="",$D$15="",$E$15&lt;=0,$F$15&lt;=0),"",$G$15/($E$15+$F$15-$G$15))</f>
        <v>0</v>
      </c>
      <c r="I15">
        <f>'Multiple Choice Questions'!$A$12</f>
        <v>0</v>
      </c>
      <c r="J15">
        <f>IFERROR(INDEX(Responses!$1:$1,1,CHOOSE(LEN(TRIM($I$15)),CODE(TRIM($I$15))-64,(CODE(LEFT(TRIM($I$15),1))-64)*26+(CODE(RIGHT(TRIM($I$15),1))-64),(CODE(LEFT(TRIM($I$15),1))-64)*676+(CODE(MID(TRIM($I$15),2,1))-64)*26+(CODE(RIGHT(TRIM($I$15),1))-64))),"")</f>
        <v>0</v>
      </c>
      <c r="K15">
        <f>LOWER(TRIM(LEFT('Multiple Choice Questions'!$C$12,200)))</f>
        <v>0</v>
      </c>
      <c r="L15">
        <f>LOWER(TRIM(LEFT($J$15,200)))</f>
        <v>0</v>
      </c>
      <c r="M15">
        <f>MAX(LEN($K$15)-3,0)</f>
        <v>0</v>
      </c>
      <c r="N15">
        <f>MAX(LEN($L$15)-3,0)</f>
        <v>0</v>
      </c>
      <c r="O15" cm="1">
        <f t="array" ref="O15">IF(OR($M$15&lt;=0,$N$15&lt;=0),0,SUMPRODUCT(--ISNUMBER(SEARCH(MID($K$15,_xlfn.SEQUENCE($M$15),4),$L$15))))</f>
        <v>0</v>
      </c>
      <c r="P15">
        <f>IF(OR($I$15="",$K$15="",$L$15="",$M$15&lt;=0,$N$15&lt;=0),"",$O$15/($M$15+$N$15-$O$15))</f>
        <v>0</v>
      </c>
      <c r="Q15">
        <f>'Hybrid Questions'!$A$12</f>
        <v>0</v>
      </c>
      <c r="R15">
        <f>IFERROR(INDEX(Responses!$1:$1,1,CHOOSE(LEN(TRIM($Q$15)),CODE(TRIM($Q$15))-64,(CODE(LEFT(TRIM($Q$15),1))-64)*26+(CODE(RIGHT(TRIM($Q$15),1))-64),(CODE(LEFT(TRIM($Q$15),1))-64)*676+(CODE(MID(TRIM($Q$15),2,1))-64)*26+(CODE(RIGHT(TRIM($Q$15),1))-64))),"")</f>
        <v>0</v>
      </c>
      <c r="S15">
        <f>LOWER(TRIM(LEFT('Hybrid Questions'!$C$12,200)))</f>
        <v>0</v>
      </c>
      <c r="T15">
        <f>LOWER(TRIM(LEFT($R$15,200)))</f>
        <v>0</v>
      </c>
      <c r="U15">
        <f>MAX(LEN($S$15)-3,0)</f>
        <v>0</v>
      </c>
      <c r="V15">
        <f>MAX(LEN($T$15)-3,0)</f>
        <v>0</v>
      </c>
      <c r="W15" cm="1">
        <f t="array" ref="W15">IF(OR($U$15&lt;=0,$V$15&lt;=0),0,SUMPRODUCT(--ISNUMBER(SEARCH(MID($S$15,_xlfn.SEQUENCE($U$15),4),$T$15))))</f>
        <v>0</v>
      </c>
      <c r="X15">
        <f>IF(OR($Q$15="",$S$15="",$T$15="",$U$15&lt;=0,$V$15&lt;=0),"",$W$15/($U$15+$V$15-$W$15))</f>
        <v>0</v>
      </c>
      <c r="Y15">
        <f>'Hybrid Questions'!$D$12</f>
        <v>0</v>
      </c>
      <c r="Z15">
        <f>IFERROR(INDEX(Responses!$1:$1,1,CHOOSE(LEN(TRIM($Y$15)),CODE(TRIM($Y$15))-64,(CODE(LEFT(TRIM($Y$15),1))-64)*26+(CODE(RIGHT(TRIM($Y$15),1))-64),(CODE(LEFT(TRIM($Y$15),1))-64)*676+(CODE(MID(TRIM($Y$15),2,1))-64)*26+(CODE(RIGHT(TRIM($Y$15),1))-64))),"")</f>
        <v>0</v>
      </c>
      <c r="AA15">
        <f>LOWER(TRIM(LEFT('Hybrid Questions'!$C$12,200)))</f>
        <v>0</v>
      </c>
      <c r="AB15">
        <f>LOWER(TRIM(LEFT($Z$15,200)))</f>
        <v>0</v>
      </c>
      <c r="AC15">
        <f>MAX(LEN($AA$15)-3,0)</f>
        <v>0</v>
      </c>
      <c r="AD15">
        <f>MAX(LEN($AB$15)-3,0)</f>
        <v>0</v>
      </c>
      <c r="AE15" cm="1">
        <f t="array" ref="AE15">IF(OR($AC$15&lt;=0,$AD$15&lt;=0),0,SUMPRODUCT(--ISNUMBER(SEARCH(MID($AA$15,_xlfn.SEQUENCE($AC$15),4),$AB$15))))</f>
        <v>0</v>
      </c>
      <c r="AF15">
        <f>IF(OR($Y$15="",$AA$15="",$AB$15="",$AC$15&lt;=0,$AD$15&lt;=0),"",$AE$15/($AC$15+$AD$15-$AE$15))</f>
        <v>0</v>
      </c>
    </row>
    <row r="16" spans="1:702">
      <c r="A16">
        <f>'Open Questions'!$A$13</f>
        <v>0</v>
      </c>
      <c r="B16">
        <f>IFERROR(INDEX(Responses!$1:$1,1,CHOOSE(LEN(TRIM($A$16)),CODE(TRIM($A$16))-64,(CODE(LEFT(TRIM($A$16),1))-64)*26+(CODE(RIGHT(TRIM($A$16),1))-64),(CODE(LEFT(TRIM($A$16),1))-64)*676+(CODE(MID(TRIM($A$16),2,1))-64)*26+(CODE(RIGHT(TRIM($A$16),1))-64))),"")</f>
        <v>0</v>
      </c>
      <c r="C16">
        <f>LOWER(TRIM(LEFT('Open Questions'!$C$13,200)))</f>
        <v>0</v>
      </c>
      <c r="D16">
        <f>LOWER(TRIM(LEFT($B$16,200)))</f>
        <v>0</v>
      </c>
      <c r="E16">
        <f>MAX(LEN($C$16)-3,0)</f>
        <v>0</v>
      </c>
      <c r="F16">
        <f>MAX(LEN($D$16)-3,0)</f>
        <v>0</v>
      </c>
      <c r="G16" cm="1">
        <f t="array" ref="G16">IF(OR($E$16&lt;=0,$F$16&lt;=0),0,SUMPRODUCT(--ISNUMBER(SEARCH(MID($C$16,_xlfn.SEQUENCE($E$16),4),$D$16))))</f>
        <v>0</v>
      </c>
      <c r="H16">
        <f>IF(OR($A$16="",$C$16="",$D$16="",$E$16&lt;=0,$F$16&lt;=0),"",$G$16/($E$16+$F$16-$G$16))</f>
        <v>0</v>
      </c>
      <c r="I16">
        <f>'Multiple Choice Questions'!$A$13</f>
        <v>0</v>
      </c>
      <c r="J16">
        <f>IFERROR(INDEX(Responses!$1:$1,1,CHOOSE(LEN(TRIM($I$16)),CODE(TRIM($I$16))-64,(CODE(LEFT(TRIM($I$16),1))-64)*26+(CODE(RIGHT(TRIM($I$16),1))-64),(CODE(LEFT(TRIM($I$16),1))-64)*676+(CODE(MID(TRIM($I$16),2,1))-64)*26+(CODE(RIGHT(TRIM($I$16),1))-64))),"")</f>
        <v>0</v>
      </c>
      <c r="K16">
        <f>LOWER(TRIM(LEFT('Multiple Choice Questions'!$C$13,200)))</f>
        <v>0</v>
      </c>
      <c r="L16">
        <f>LOWER(TRIM(LEFT($J$16,200)))</f>
        <v>0</v>
      </c>
      <c r="M16">
        <f>MAX(LEN($K$16)-3,0)</f>
        <v>0</v>
      </c>
      <c r="N16">
        <f>MAX(LEN($L$16)-3,0)</f>
        <v>0</v>
      </c>
      <c r="O16" cm="1">
        <f t="array" ref="O16">IF(OR($M$16&lt;=0,$N$16&lt;=0),0,SUMPRODUCT(--ISNUMBER(SEARCH(MID($K$16,_xlfn.SEQUENCE($M$16),4),$L$16))))</f>
        <v>0</v>
      </c>
      <c r="P16">
        <f>IF(OR($I$16="",$K$16="",$L$16="",$M$16&lt;=0,$N$16&lt;=0),"",$O$16/($M$16+$N$16-$O$16))</f>
        <v>0</v>
      </c>
      <c r="Q16">
        <f>'Hybrid Questions'!$A$13</f>
        <v>0</v>
      </c>
      <c r="R16">
        <f>IFERROR(INDEX(Responses!$1:$1,1,CHOOSE(LEN(TRIM($Q$16)),CODE(TRIM($Q$16))-64,(CODE(LEFT(TRIM($Q$16),1))-64)*26+(CODE(RIGHT(TRIM($Q$16),1))-64),(CODE(LEFT(TRIM($Q$16),1))-64)*676+(CODE(MID(TRIM($Q$16),2,1))-64)*26+(CODE(RIGHT(TRIM($Q$16),1))-64))),"")</f>
        <v>0</v>
      </c>
      <c r="S16">
        <f>LOWER(TRIM(LEFT('Hybrid Questions'!$C$13,200)))</f>
        <v>0</v>
      </c>
      <c r="T16">
        <f>LOWER(TRIM(LEFT($R$16,200)))</f>
        <v>0</v>
      </c>
      <c r="U16">
        <f>MAX(LEN($S$16)-3,0)</f>
        <v>0</v>
      </c>
      <c r="V16">
        <f>MAX(LEN($T$16)-3,0)</f>
        <v>0</v>
      </c>
      <c r="W16" cm="1">
        <f t="array" ref="W16">IF(OR($U$16&lt;=0,$V$16&lt;=0),0,SUMPRODUCT(--ISNUMBER(SEARCH(MID($S$16,_xlfn.SEQUENCE($U$16),4),$T$16))))</f>
        <v>0</v>
      </c>
      <c r="X16">
        <f>IF(OR($Q$16="",$S$16="",$T$16="",$U$16&lt;=0,$V$16&lt;=0),"",$W$16/($U$16+$V$16-$W$16))</f>
        <v>0</v>
      </c>
      <c r="Y16">
        <f>'Hybrid Questions'!$D$13</f>
        <v>0</v>
      </c>
      <c r="Z16">
        <f>IFERROR(INDEX(Responses!$1:$1,1,CHOOSE(LEN(TRIM($Y$16)),CODE(TRIM($Y$16))-64,(CODE(LEFT(TRIM($Y$16),1))-64)*26+(CODE(RIGHT(TRIM($Y$16),1))-64),(CODE(LEFT(TRIM($Y$16),1))-64)*676+(CODE(MID(TRIM($Y$16),2,1))-64)*26+(CODE(RIGHT(TRIM($Y$16),1))-64))),"")</f>
        <v>0</v>
      </c>
      <c r="AA16">
        <f>LOWER(TRIM(LEFT('Hybrid Questions'!$C$13,200)))</f>
        <v>0</v>
      </c>
      <c r="AB16">
        <f>LOWER(TRIM(LEFT($Z$16,200)))</f>
        <v>0</v>
      </c>
      <c r="AC16">
        <f>MAX(LEN($AA$16)-3,0)</f>
        <v>0</v>
      </c>
      <c r="AD16">
        <f>MAX(LEN($AB$16)-3,0)</f>
        <v>0</v>
      </c>
      <c r="AE16" cm="1">
        <f t="array" ref="AE16">IF(OR($AC$16&lt;=0,$AD$16&lt;=0),0,SUMPRODUCT(--ISNUMBER(SEARCH(MID($AA$16,_xlfn.SEQUENCE($AC$16),4),$AB$16))))</f>
        <v>0</v>
      </c>
      <c r="AF16">
        <f>IF(OR($Y$16="",$AA$16="",$AB$16="",$AC$16&lt;=0,$AD$16&lt;=0),"",$AE$16/($AC$16+$AD$16-$AE$16))</f>
        <v>0</v>
      </c>
    </row>
    <row r="17" spans="1:32">
      <c r="A17">
        <f>'Open Questions'!$A$14</f>
        <v>0</v>
      </c>
      <c r="B17">
        <f>IFERROR(INDEX(Responses!$1:$1,1,CHOOSE(LEN(TRIM($A$17)),CODE(TRIM($A$17))-64,(CODE(LEFT(TRIM($A$17),1))-64)*26+(CODE(RIGHT(TRIM($A$17),1))-64),(CODE(LEFT(TRIM($A$17),1))-64)*676+(CODE(MID(TRIM($A$17),2,1))-64)*26+(CODE(RIGHT(TRIM($A$17),1))-64))),"")</f>
        <v>0</v>
      </c>
      <c r="C17">
        <f>LOWER(TRIM(LEFT('Open Questions'!$C$14,200)))</f>
        <v>0</v>
      </c>
      <c r="D17">
        <f>LOWER(TRIM(LEFT($B$17,200)))</f>
        <v>0</v>
      </c>
      <c r="E17">
        <f>MAX(LEN($C$17)-3,0)</f>
        <v>0</v>
      </c>
      <c r="F17">
        <f>MAX(LEN($D$17)-3,0)</f>
        <v>0</v>
      </c>
      <c r="G17" cm="1">
        <f t="array" ref="G17">IF(OR($E$17&lt;=0,$F$17&lt;=0),0,SUMPRODUCT(--ISNUMBER(SEARCH(MID($C$17,_xlfn.SEQUENCE($E$17),4),$D$17))))</f>
        <v>0</v>
      </c>
      <c r="H17">
        <f>IF(OR($A$17="",$C$17="",$D$17="",$E$17&lt;=0,$F$17&lt;=0),"",$G$17/($E$17+$F$17-$G$17))</f>
        <v>0</v>
      </c>
      <c r="I17">
        <f>'Multiple Choice Questions'!$A$14</f>
        <v>0</v>
      </c>
      <c r="J17">
        <f>IFERROR(INDEX(Responses!$1:$1,1,CHOOSE(LEN(TRIM($I$17)),CODE(TRIM($I$17))-64,(CODE(LEFT(TRIM($I$17),1))-64)*26+(CODE(RIGHT(TRIM($I$17),1))-64),(CODE(LEFT(TRIM($I$17),1))-64)*676+(CODE(MID(TRIM($I$17),2,1))-64)*26+(CODE(RIGHT(TRIM($I$17),1))-64))),"")</f>
        <v>0</v>
      </c>
      <c r="K17">
        <f>LOWER(TRIM(LEFT('Multiple Choice Questions'!$C$14,200)))</f>
        <v>0</v>
      </c>
      <c r="L17">
        <f>LOWER(TRIM(LEFT($J$17,200)))</f>
        <v>0</v>
      </c>
      <c r="M17">
        <f>MAX(LEN($K$17)-3,0)</f>
        <v>0</v>
      </c>
      <c r="N17">
        <f>MAX(LEN($L$17)-3,0)</f>
        <v>0</v>
      </c>
      <c r="O17" cm="1">
        <f t="array" ref="O17">IF(OR($M$17&lt;=0,$N$17&lt;=0),0,SUMPRODUCT(--ISNUMBER(SEARCH(MID($K$17,_xlfn.SEQUENCE($M$17),4),$L$17))))</f>
        <v>0</v>
      </c>
      <c r="P17">
        <f>IF(OR($I$17="",$K$17="",$L$17="",$M$17&lt;=0,$N$17&lt;=0),"",$O$17/($M$17+$N$17-$O$17))</f>
        <v>0</v>
      </c>
      <c r="Q17">
        <f>'Hybrid Questions'!$A$14</f>
        <v>0</v>
      </c>
      <c r="R17">
        <f>IFERROR(INDEX(Responses!$1:$1,1,CHOOSE(LEN(TRIM($Q$17)),CODE(TRIM($Q$17))-64,(CODE(LEFT(TRIM($Q$17),1))-64)*26+(CODE(RIGHT(TRIM($Q$17),1))-64),(CODE(LEFT(TRIM($Q$17),1))-64)*676+(CODE(MID(TRIM($Q$17),2,1))-64)*26+(CODE(RIGHT(TRIM($Q$17),1))-64))),"")</f>
        <v>0</v>
      </c>
      <c r="S17">
        <f>LOWER(TRIM(LEFT('Hybrid Questions'!$C$14,200)))</f>
        <v>0</v>
      </c>
      <c r="T17">
        <f>LOWER(TRIM(LEFT($R$17,200)))</f>
        <v>0</v>
      </c>
      <c r="U17">
        <f>MAX(LEN($S$17)-3,0)</f>
        <v>0</v>
      </c>
      <c r="V17">
        <f>MAX(LEN($T$17)-3,0)</f>
        <v>0</v>
      </c>
      <c r="W17" cm="1">
        <f t="array" ref="W17">IF(OR($U$17&lt;=0,$V$17&lt;=0),0,SUMPRODUCT(--ISNUMBER(SEARCH(MID($S$17,_xlfn.SEQUENCE($U$17),4),$T$17))))</f>
        <v>0</v>
      </c>
      <c r="X17">
        <f>IF(OR($Q$17="",$S$17="",$T$17="",$U$17&lt;=0,$V$17&lt;=0),"",$W$17/($U$17+$V$17-$W$17))</f>
        <v>0</v>
      </c>
      <c r="Y17">
        <f>'Hybrid Questions'!$D$14</f>
        <v>0</v>
      </c>
      <c r="Z17">
        <f>IFERROR(INDEX(Responses!$1:$1,1,CHOOSE(LEN(TRIM($Y$17)),CODE(TRIM($Y$17))-64,(CODE(LEFT(TRIM($Y$17),1))-64)*26+(CODE(RIGHT(TRIM($Y$17),1))-64),(CODE(LEFT(TRIM($Y$17),1))-64)*676+(CODE(MID(TRIM($Y$17),2,1))-64)*26+(CODE(RIGHT(TRIM($Y$17),1))-64))),"")</f>
        <v>0</v>
      </c>
      <c r="AA17">
        <f>LOWER(TRIM(LEFT('Hybrid Questions'!$C$14,200)))</f>
        <v>0</v>
      </c>
      <c r="AB17">
        <f>LOWER(TRIM(LEFT($Z$17,200)))</f>
        <v>0</v>
      </c>
      <c r="AC17">
        <f>MAX(LEN($AA$17)-3,0)</f>
        <v>0</v>
      </c>
      <c r="AD17">
        <f>MAX(LEN($AB$17)-3,0)</f>
        <v>0</v>
      </c>
      <c r="AE17" cm="1">
        <f t="array" ref="AE17">IF(OR($AC$17&lt;=0,$AD$17&lt;=0),0,SUMPRODUCT(--ISNUMBER(SEARCH(MID($AA$17,_xlfn.SEQUENCE($AC$17),4),$AB$17))))</f>
        <v>0</v>
      </c>
      <c r="AF17">
        <f>IF(OR($Y$17="",$AA$17="",$AB$17="",$AC$17&lt;=0,$AD$17&lt;=0),"",$AE$17/($AC$17+$AD$17-$AE$17))</f>
        <v>0</v>
      </c>
    </row>
    <row r="18" spans="1:32">
      <c r="A18">
        <f>'Open Questions'!$A$15</f>
        <v>0</v>
      </c>
      <c r="B18">
        <f>IFERROR(INDEX(Responses!$1:$1,1,CHOOSE(LEN(TRIM($A$18)),CODE(TRIM($A$18))-64,(CODE(LEFT(TRIM($A$18),1))-64)*26+(CODE(RIGHT(TRIM($A$18),1))-64),(CODE(LEFT(TRIM($A$18),1))-64)*676+(CODE(MID(TRIM($A$18),2,1))-64)*26+(CODE(RIGHT(TRIM($A$18),1))-64))),"")</f>
        <v>0</v>
      </c>
      <c r="C18">
        <f>LOWER(TRIM(LEFT('Open Questions'!$C$15,200)))</f>
        <v>0</v>
      </c>
      <c r="D18">
        <f>LOWER(TRIM(LEFT($B$18,200)))</f>
        <v>0</v>
      </c>
      <c r="E18">
        <f>MAX(LEN($C$18)-3,0)</f>
        <v>0</v>
      </c>
      <c r="F18">
        <f>MAX(LEN($D$18)-3,0)</f>
        <v>0</v>
      </c>
      <c r="G18" cm="1">
        <f t="array" ref="G18">IF(OR($E$18&lt;=0,$F$18&lt;=0),0,SUMPRODUCT(--ISNUMBER(SEARCH(MID($C$18,_xlfn.SEQUENCE($E$18),4),$D$18))))</f>
        <v>0</v>
      </c>
      <c r="H18">
        <f>IF(OR($A$18="",$C$18="",$D$18="",$E$18&lt;=0,$F$18&lt;=0),"",$G$18/($E$18+$F$18-$G$18))</f>
        <v>0</v>
      </c>
      <c r="I18">
        <f>'Multiple Choice Questions'!$A$15</f>
        <v>0</v>
      </c>
      <c r="J18">
        <f>IFERROR(INDEX(Responses!$1:$1,1,CHOOSE(LEN(TRIM($I$18)),CODE(TRIM($I$18))-64,(CODE(LEFT(TRIM($I$18),1))-64)*26+(CODE(RIGHT(TRIM($I$18),1))-64),(CODE(LEFT(TRIM($I$18),1))-64)*676+(CODE(MID(TRIM($I$18),2,1))-64)*26+(CODE(RIGHT(TRIM($I$18),1))-64))),"")</f>
        <v>0</v>
      </c>
      <c r="K18">
        <f>LOWER(TRIM(LEFT('Multiple Choice Questions'!$C$15,200)))</f>
        <v>0</v>
      </c>
      <c r="L18">
        <f>LOWER(TRIM(LEFT($J$18,200)))</f>
        <v>0</v>
      </c>
      <c r="M18">
        <f>MAX(LEN($K$18)-3,0)</f>
        <v>0</v>
      </c>
      <c r="N18">
        <f>MAX(LEN($L$18)-3,0)</f>
        <v>0</v>
      </c>
      <c r="O18" cm="1">
        <f t="array" ref="O18">IF(OR($M$18&lt;=0,$N$18&lt;=0),0,SUMPRODUCT(--ISNUMBER(SEARCH(MID($K$18,_xlfn.SEQUENCE($M$18),4),$L$18))))</f>
        <v>0</v>
      </c>
      <c r="P18">
        <f>IF(OR($I$18="",$K$18="",$L$18="",$M$18&lt;=0,$N$18&lt;=0),"",$O$18/($M$18+$N$18-$O$18))</f>
        <v>0</v>
      </c>
      <c r="Q18">
        <f>'Hybrid Questions'!$A$15</f>
        <v>0</v>
      </c>
      <c r="R18">
        <f>IFERROR(INDEX(Responses!$1:$1,1,CHOOSE(LEN(TRIM($Q$18)),CODE(TRIM($Q$18))-64,(CODE(LEFT(TRIM($Q$18),1))-64)*26+(CODE(RIGHT(TRIM($Q$18),1))-64),(CODE(LEFT(TRIM($Q$18),1))-64)*676+(CODE(MID(TRIM($Q$18),2,1))-64)*26+(CODE(RIGHT(TRIM($Q$18),1))-64))),"")</f>
        <v>0</v>
      </c>
      <c r="S18">
        <f>LOWER(TRIM(LEFT('Hybrid Questions'!$C$15,200)))</f>
        <v>0</v>
      </c>
      <c r="T18">
        <f>LOWER(TRIM(LEFT($R$18,200)))</f>
        <v>0</v>
      </c>
      <c r="U18">
        <f>MAX(LEN($S$18)-3,0)</f>
        <v>0</v>
      </c>
      <c r="V18">
        <f>MAX(LEN($T$18)-3,0)</f>
        <v>0</v>
      </c>
      <c r="W18" cm="1">
        <f t="array" ref="W18">IF(OR($U$18&lt;=0,$V$18&lt;=0),0,SUMPRODUCT(--ISNUMBER(SEARCH(MID($S$18,_xlfn.SEQUENCE($U$18),4),$T$18))))</f>
        <v>0</v>
      </c>
      <c r="X18">
        <f>IF(OR($Q$18="",$S$18="",$T$18="",$U$18&lt;=0,$V$18&lt;=0),"",$W$18/($U$18+$V$18-$W$18))</f>
        <v>0</v>
      </c>
      <c r="Y18">
        <f>'Hybrid Questions'!$D$15</f>
        <v>0</v>
      </c>
      <c r="Z18">
        <f>IFERROR(INDEX(Responses!$1:$1,1,CHOOSE(LEN(TRIM($Y$18)),CODE(TRIM($Y$18))-64,(CODE(LEFT(TRIM($Y$18),1))-64)*26+(CODE(RIGHT(TRIM($Y$18),1))-64),(CODE(LEFT(TRIM($Y$18),1))-64)*676+(CODE(MID(TRIM($Y$18),2,1))-64)*26+(CODE(RIGHT(TRIM($Y$18),1))-64))),"")</f>
        <v>0</v>
      </c>
      <c r="AA18">
        <f>LOWER(TRIM(LEFT('Hybrid Questions'!$C$15,200)))</f>
        <v>0</v>
      </c>
      <c r="AB18">
        <f>LOWER(TRIM(LEFT($Z$18,200)))</f>
        <v>0</v>
      </c>
      <c r="AC18">
        <f>MAX(LEN($AA$18)-3,0)</f>
        <v>0</v>
      </c>
      <c r="AD18">
        <f>MAX(LEN($AB$18)-3,0)</f>
        <v>0</v>
      </c>
      <c r="AE18" cm="1">
        <f t="array" ref="AE18">IF(OR($AC$18&lt;=0,$AD$18&lt;=0),0,SUMPRODUCT(--ISNUMBER(SEARCH(MID($AA$18,_xlfn.SEQUENCE($AC$18),4),$AB$18))))</f>
        <v>0</v>
      </c>
      <c r="AF18">
        <f>IF(OR($Y$18="",$AA$18="",$AB$18="",$AC$18&lt;=0,$AD$18&lt;=0),"",$AE$18/($AC$18+$AD$18-$AE$18))</f>
        <v>0</v>
      </c>
    </row>
    <row r="19" spans="1:32">
      <c r="A19">
        <f>'Open Questions'!$A$16</f>
        <v>0</v>
      </c>
      <c r="B19">
        <f>IFERROR(INDEX(Responses!$1:$1,1,CHOOSE(LEN(TRIM($A$19)),CODE(TRIM($A$19))-64,(CODE(LEFT(TRIM($A$19),1))-64)*26+(CODE(RIGHT(TRIM($A$19),1))-64),(CODE(LEFT(TRIM($A$19),1))-64)*676+(CODE(MID(TRIM($A$19),2,1))-64)*26+(CODE(RIGHT(TRIM($A$19),1))-64))),"")</f>
        <v>0</v>
      </c>
      <c r="C19">
        <f>LOWER(TRIM(LEFT('Open Questions'!$C$16,200)))</f>
        <v>0</v>
      </c>
      <c r="D19">
        <f>LOWER(TRIM(LEFT($B$19,200)))</f>
        <v>0</v>
      </c>
      <c r="E19">
        <f>MAX(LEN($C$19)-3,0)</f>
        <v>0</v>
      </c>
      <c r="F19">
        <f>MAX(LEN($D$19)-3,0)</f>
        <v>0</v>
      </c>
      <c r="G19" cm="1">
        <f t="array" ref="G19">IF(OR($E$19&lt;=0,$F$19&lt;=0),0,SUMPRODUCT(--ISNUMBER(SEARCH(MID($C$19,_xlfn.SEQUENCE($E$19),4),$D$19))))</f>
        <v>0</v>
      </c>
      <c r="H19">
        <f>IF(OR($A$19="",$C$19="",$D$19="",$E$19&lt;=0,$F$19&lt;=0),"",$G$19/($E$19+$F$19-$G$19))</f>
        <v>0</v>
      </c>
      <c r="I19">
        <f>'Multiple Choice Questions'!$A$16</f>
        <v>0</v>
      </c>
      <c r="J19">
        <f>IFERROR(INDEX(Responses!$1:$1,1,CHOOSE(LEN(TRIM($I$19)),CODE(TRIM($I$19))-64,(CODE(LEFT(TRIM($I$19),1))-64)*26+(CODE(RIGHT(TRIM($I$19),1))-64),(CODE(LEFT(TRIM($I$19),1))-64)*676+(CODE(MID(TRIM($I$19),2,1))-64)*26+(CODE(RIGHT(TRIM($I$19),1))-64))),"")</f>
        <v>0</v>
      </c>
      <c r="K19">
        <f>LOWER(TRIM(LEFT('Multiple Choice Questions'!$C$16,200)))</f>
        <v>0</v>
      </c>
      <c r="L19">
        <f>LOWER(TRIM(LEFT($J$19,200)))</f>
        <v>0</v>
      </c>
      <c r="M19">
        <f>MAX(LEN($K$19)-3,0)</f>
        <v>0</v>
      </c>
      <c r="N19">
        <f>MAX(LEN($L$19)-3,0)</f>
        <v>0</v>
      </c>
      <c r="O19" cm="1">
        <f t="array" ref="O19">IF(OR($M$19&lt;=0,$N$19&lt;=0),0,SUMPRODUCT(--ISNUMBER(SEARCH(MID($K$19,_xlfn.SEQUENCE($M$19),4),$L$19))))</f>
        <v>0</v>
      </c>
      <c r="P19">
        <f>IF(OR($I$19="",$K$19="",$L$19="",$M$19&lt;=0,$N$19&lt;=0),"",$O$19/($M$19+$N$19-$O$19))</f>
        <v>0</v>
      </c>
      <c r="Q19">
        <f>'Hybrid Questions'!$A$16</f>
        <v>0</v>
      </c>
      <c r="R19">
        <f>IFERROR(INDEX(Responses!$1:$1,1,CHOOSE(LEN(TRIM($Q$19)),CODE(TRIM($Q$19))-64,(CODE(LEFT(TRIM($Q$19),1))-64)*26+(CODE(RIGHT(TRIM($Q$19),1))-64),(CODE(LEFT(TRIM($Q$19),1))-64)*676+(CODE(MID(TRIM($Q$19),2,1))-64)*26+(CODE(RIGHT(TRIM($Q$19),1))-64))),"")</f>
        <v>0</v>
      </c>
      <c r="S19">
        <f>LOWER(TRIM(LEFT('Hybrid Questions'!$C$16,200)))</f>
        <v>0</v>
      </c>
      <c r="T19">
        <f>LOWER(TRIM(LEFT($R$19,200)))</f>
        <v>0</v>
      </c>
      <c r="U19">
        <f>MAX(LEN($S$19)-3,0)</f>
        <v>0</v>
      </c>
      <c r="V19">
        <f>MAX(LEN($T$19)-3,0)</f>
        <v>0</v>
      </c>
      <c r="W19" cm="1">
        <f t="array" ref="W19">IF(OR($U$19&lt;=0,$V$19&lt;=0),0,SUMPRODUCT(--ISNUMBER(SEARCH(MID($S$19,_xlfn.SEQUENCE($U$19),4),$T$19))))</f>
        <v>0</v>
      </c>
      <c r="X19">
        <f>IF(OR($Q$19="",$S$19="",$T$19="",$U$19&lt;=0,$V$19&lt;=0),"",$W$19/($U$19+$V$19-$W$19))</f>
        <v>0</v>
      </c>
      <c r="Y19">
        <f>'Hybrid Questions'!$D$16</f>
        <v>0</v>
      </c>
      <c r="Z19">
        <f>IFERROR(INDEX(Responses!$1:$1,1,CHOOSE(LEN(TRIM($Y$19)),CODE(TRIM($Y$19))-64,(CODE(LEFT(TRIM($Y$19),1))-64)*26+(CODE(RIGHT(TRIM($Y$19),1))-64),(CODE(LEFT(TRIM($Y$19),1))-64)*676+(CODE(MID(TRIM($Y$19),2,1))-64)*26+(CODE(RIGHT(TRIM($Y$19),1))-64))),"")</f>
        <v>0</v>
      </c>
      <c r="AA19">
        <f>LOWER(TRIM(LEFT('Hybrid Questions'!$C$16,200)))</f>
        <v>0</v>
      </c>
      <c r="AB19">
        <f>LOWER(TRIM(LEFT($Z$19,200)))</f>
        <v>0</v>
      </c>
      <c r="AC19">
        <f>MAX(LEN($AA$19)-3,0)</f>
        <v>0</v>
      </c>
      <c r="AD19">
        <f>MAX(LEN($AB$19)-3,0)</f>
        <v>0</v>
      </c>
      <c r="AE19" cm="1">
        <f t="array" ref="AE19">IF(OR($AC$19&lt;=0,$AD$19&lt;=0),0,SUMPRODUCT(--ISNUMBER(SEARCH(MID($AA$19,_xlfn.SEQUENCE($AC$19),4),$AB$19))))</f>
        <v>0</v>
      </c>
      <c r="AF19">
        <f>IF(OR($Y$19="",$AA$19="",$AB$19="",$AC$19&lt;=0,$AD$19&lt;=0),"",$AE$19/($AC$19+$AD$19-$AE$19))</f>
        <v>0</v>
      </c>
    </row>
    <row r="20" spans="1:32">
      <c r="A20">
        <f>'Open Questions'!$A$17</f>
        <v>0</v>
      </c>
      <c r="B20">
        <f>IFERROR(INDEX(Responses!$1:$1,1,CHOOSE(LEN(TRIM($A$20)),CODE(TRIM($A$20))-64,(CODE(LEFT(TRIM($A$20),1))-64)*26+(CODE(RIGHT(TRIM($A$20),1))-64),(CODE(LEFT(TRIM($A$20),1))-64)*676+(CODE(MID(TRIM($A$20),2,1))-64)*26+(CODE(RIGHT(TRIM($A$20),1))-64))),"")</f>
        <v>0</v>
      </c>
      <c r="C20">
        <f>LOWER(TRIM(LEFT('Open Questions'!$C$17,200)))</f>
        <v>0</v>
      </c>
      <c r="D20">
        <f>LOWER(TRIM(LEFT($B$20,200)))</f>
        <v>0</v>
      </c>
      <c r="E20">
        <f>MAX(LEN($C$20)-3,0)</f>
        <v>0</v>
      </c>
      <c r="F20">
        <f>MAX(LEN($D$20)-3,0)</f>
        <v>0</v>
      </c>
      <c r="G20" cm="1">
        <f t="array" ref="G20">IF(OR($E$20&lt;=0,$F$20&lt;=0),0,SUMPRODUCT(--ISNUMBER(SEARCH(MID($C$20,_xlfn.SEQUENCE($E$20),4),$D$20))))</f>
        <v>0</v>
      </c>
      <c r="H20">
        <f>IF(OR($A$20="",$C$20="",$D$20="",$E$20&lt;=0,$F$20&lt;=0),"",$G$20/($E$20+$F$20-$G$20))</f>
        <v>0</v>
      </c>
      <c r="I20">
        <f>'Multiple Choice Questions'!$A$17</f>
        <v>0</v>
      </c>
      <c r="J20">
        <f>IFERROR(INDEX(Responses!$1:$1,1,CHOOSE(LEN(TRIM($I$20)),CODE(TRIM($I$20))-64,(CODE(LEFT(TRIM($I$20),1))-64)*26+(CODE(RIGHT(TRIM($I$20),1))-64),(CODE(LEFT(TRIM($I$20),1))-64)*676+(CODE(MID(TRIM($I$20),2,1))-64)*26+(CODE(RIGHT(TRIM($I$20),1))-64))),"")</f>
        <v>0</v>
      </c>
      <c r="K20">
        <f>LOWER(TRIM(LEFT('Multiple Choice Questions'!$C$17,200)))</f>
        <v>0</v>
      </c>
      <c r="L20">
        <f>LOWER(TRIM(LEFT($J$20,200)))</f>
        <v>0</v>
      </c>
      <c r="M20">
        <f>MAX(LEN($K$20)-3,0)</f>
        <v>0</v>
      </c>
      <c r="N20">
        <f>MAX(LEN($L$20)-3,0)</f>
        <v>0</v>
      </c>
      <c r="O20" cm="1">
        <f t="array" ref="O20">IF(OR($M$20&lt;=0,$N$20&lt;=0),0,SUMPRODUCT(--ISNUMBER(SEARCH(MID($K$20,_xlfn.SEQUENCE($M$20),4),$L$20))))</f>
        <v>0</v>
      </c>
      <c r="P20">
        <f>IF(OR($I$20="",$K$20="",$L$20="",$M$20&lt;=0,$N$20&lt;=0),"",$O$20/($M$20+$N$20-$O$20))</f>
        <v>0</v>
      </c>
      <c r="Q20">
        <f>'Hybrid Questions'!$A$17</f>
        <v>0</v>
      </c>
      <c r="R20">
        <f>IFERROR(INDEX(Responses!$1:$1,1,CHOOSE(LEN(TRIM($Q$20)),CODE(TRIM($Q$20))-64,(CODE(LEFT(TRIM($Q$20),1))-64)*26+(CODE(RIGHT(TRIM($Q$20),1))-64),(CODE(LEFT(TRIM($Q$20),1))-64)*676+(CODE(MID(TRIM($Q$20),2,1))-64)*26+(CODE(RIGHT(TRIM($Q$20),1))-64))),"")</f>
        <v>0</v>
      </c>
      <c r="S20">
        <f>LOWER(TRIM(LEFT('Hybrid Questions'!$C$17,200)))</f>
        <v>0</v>
      </c>
      <c r="T20">
        <f>LOWER(TRIM(LEFT($R$20,200)))</f>
        <v>0</v>
      </c>
      <c r="U20">
        <f>MAX(LEN($S$20)-3,0)</f>
        <v>0</v>
      </c>
      <c r="V20">
        <f>MAX(LEN($T$20)-3,0)</f>
        <v>0</v>
      </c>
      <c r="W20" cm="1">
        <f t="array" ref="W20">IF(OR($U$20&lt;=0,$V$20&lt;=0),0,SUMPRODUCT(--ISNUMBER(SEARCH(MID($S$20,_xlfn.SEQUENCE($U$20),4),$T$20))))</f>
        <v>0</v>
      </c>
      <c r="X20">
        <f>IF(OR($Q$20="",$S$20="",$T$20="",$U$20&lt;=0,$V$20&lt;=0),"",$W$20/($U$20+$V$20-$W$20))</f>
        <v>0</v>
      </c>
      <c r="Y20">
        <f>'Hybrid Questions'!$D$17</f>
        <v>0</v>
      </c>
      <c r="Z20">
        <f>IFERROR(INDEX(Responses!$1:$1,1,CHOOSE(LEN(TRIM($Y$20)),CODE(TRIM($Y$20))-64,(CODE(LEFT(TRIM($Y$20),1))-64)*26+(CODE(RIGHT(TRIM($Y$20),1))-64),(CODE(LEFT(TRIM($Y$20),1))-64)*676+(CODE(MID(TRIM($Y$20),2,1))-64)*26+(CODE(RIGHT(TRIM($Y$20),1))-64))),"")</f>
        <v>0</v>
      </c>
      <c r="AA20">
        <f>LOWER(TRIM(LEFT('Hybrid Questions'!$C$17,200)))</f>
        <v>0</v>
      </c>
      <c r="AB20">
        <f>LOWER(TRIM(LEFT($Z$20,200)))</f>
        <v>0</v>
      </c>
      <c r="AC20">
        <f>MAX(LEN($AA$20)-3,0)</f>
        <v>0</v>
      </c>
      <c r="AD20">
        <f>MAX(LEN($AB$20)-3,0)</f>
        <v>0</v>
      </c>
      <c r="AE20" cm="1">
        <f t="array" ref="AE20">IF(OR($AC$20&lt;=0,$AD$20&lt;=0),0,SUMPRODUCT(--ISNUMBER(SEARCH(MID($AA$20,_xlfn.SEQUENCE($AC$20),4),$AB$20))))</f>
        <v>0</v>
      </c>
      <c r="AF20">
        <f>IF(OR($Y$20="",$AA$20="",$AB$20="",$AC$20&lt;=0,$AD$20&lt;=0),"",$AE$20/($AC$20+$AD$20-$AE$20))</f>
        <v>0</v>
      </c>
    </row>
    <row r="21" spans="1:32">
      <c r="A21">
        <f>'Open Questions'!$A$18</f>
        <v>0</v>
      </c>
      <c r="B21">
        <f>IFERROR(INDEX(Responses!$1:$1,1,CHOOSE(LEN(TRIM($A$21)),CODE(TRIM($A$21))-64,(CODE(LEFT(TRIM($A$21),1))-64)*26+(CODE(RIGHT(TRIM($A$21),1))-64),(CODE(LEFT(TRIM($A$21),1))-64)*676+(CODE(MID(TRIM($A$21),2,1))-64)*26+(CODE(RIGHT(TRIM($A$21),1))-64))),"")</f>
        <v>0</v>
      </c>
      <c r="C21">
        <f>LOWER(TRIM(LEFT('Open Questions'!$C$18,200)))</f>
        <v>0</v>
      </c>
      <c r="D21">
        <f>LOWER(TRIM(LEFT($B$21,200)))</f>
        <v>0</v>
      </c>
      <c r="E21">
        <f>MAX(LEN($C$21)-3,0)</f>
        <v>0</v>
      </c>
      <c r="F21">
        <f>MAX(LEN($D$21)-3,0)</f>
        <v>0</v>
      </c>
      <c r="G21" cm="1">
        <f t="array" ref="G21">IF(OR($E$21&lt;=0,$F$21&lt;=0),0,SUMPRODUCT(--ISNUMBER(SEARCH(MID($C$21,_xlfn.SEQUENCE($E$21),4),$D$21))))</f>
        <v>0</v>
      </c>
      <c r="H21">
        <f>IF(OR($A$21="",$C$21="",$D$21="",$E$21&lt;=0,$F$21&lt;=0),"",$G$21/($E$21+$F$21-$G$21))</f>
        <v>0</v>
      </c>
      <c r="I21">
        <f>'Multiple Choice Questions'!$A$18</f>
        <v>0</v>
      </c>
      <c r="J21">
        <f>IFERROR(INDEX(Responses!$1:$1,1,CHOOSE(LEN(TRIM($I$21)),CODE(TRIM($I$21))-64,(CODE(LEFT(TRIM($I$21),1))-64)*26+(CODE(RIGHT(TRIM($I$21),1))-64),(CODE(LEFT(TRIM($I$21),1))-64)*676+(CODE(MID(TRIM($I$21),2,1))-64)*26+(CODE(RIGHT(TRIM($I$21),1))-64))),"")</f>
        <v>0</v>
      </c>
      <c r="K21">
        <f>LOWER(TRIM(LEFT('Multiple Choice Questions'!$C$18,200)))</f>
        <v>0</v>
      </c>
      <c r="L21">
        <f>LOWER(TRIM(LEFT($J$21,200)))</f>
        <v>0</v>
      </c>
      <c r="M21">
        <f>MAX(LEN($K$21)-3,0)</f>
        <v>0</v>
      </c>
      <c r="N21">
        <f>MAX(LEN($L$21)-3,0)</f>
        <v>0</v>
      </c>
      <c r="O21" cm="1">
        <f t="array" ref="O21">IF(OR($M$21&lt;=0,$N$21&lt;=0),0,SUMPRODUCT(--ISNUMBER(SEARCH(MID($K$21,_xlfn.SEQUENCE($M$21),4),$L$21))))</f>
        <v>0</v>
      </c>
      <c r="P21">
        <f>IF(OR($I$21="",$K$21="",$L$21="",$M$21&lt;=0,$N$21&lt;=0),"",$O$21/($M$21+$N$21-$O$21))</f>
        <v>0</v>
      </c>
      <c r="Q21">
        <f>'Hybrid Questions'!$A$18</f>
        <v>0</v>
      </c>
      <c r="R21">
        <f>IFERROR(INDEX(Responses!$1:$1,1,CHOOSE(LEN(TRIM($Q$21)),CODE(TRIM($Q$21))-64,(CODE(LEFT(TRIM($Q$21),1))-64)*26+(CODE(RIGHT(TRIM($Q$21),1))-64),(CODE(LEFT(TRIM($Q$21),1))-64)*676+(CODE(MID(TRIM($Q$21),2,1))-64)*26+(CODE(RIGHT(TRIM($Q$21),1))-64))),"")</f>
        <v>0</v>
      </c>
      <c r="S21">
        <f>LOWER(TRIM(LEFT('Hybrid Questions'!$C$18,200)))</f>
        <v>0</v>
      </c>
      <c r="T21">
        <f>LOWER(TRIM(LEFT($R$21,200)))</f>
        <v>0</v>
      </c>
      <c r="U21">
        <f>MAX(LEN($S$21)-3,0)</f>
        <v>0</v>
      </c>
      <c r="V21">
        <f>MAX(LEN($T$21)-3,0)</f>
        <v>0</v>
      </c>
      <c r="W21" cm="1">
        <f t="array" ref="W21">IF(OR($U$21&lt;=0,$V$21&lt;=0),0,SUMPRODUCT(--ISNUMBER(SEARCH(MID($S$21,_xlfn.SEQUENCE($U$21),4),$T$21))))</f>
        <v>0</v>
      </c>
      <c r="X21">
        <f>IF(OR($Q$21="",$S$21="",$T$21="",$U$21&lt;=0,$V$21&lt;=0),"",$W$21/($U$21+$V$21-$W$21))</f>
        <v>0</v>
      </c>
      <c r="Y21">
        <f>'Hybrid Questions'!$D$18</f>
        <v>0</v>
      </c>
      <c r="Z21">
        <f>IFERROR(INDEX(Responses!$1:$1,1,CHOOSE(LEN(TRIM($Y$21)),CODE(TRIM($Y$21))-64,(CODE(LEFT(TRIM($Y$21),1))-64)*26+(CODE(RIGHT(TRIM($Y$21),1))-64),(CODE(LEFT(TRIM($Y$21),1))-64)*676+(CODE(MID(TRIM($Y$21),2,1))-64)*26+(CODE(RIGHT(TRIM($Y$21),1))-64))),"")</f>
        <v>0</v>
      </c>
      <c r="AA21">
        <f>LOWER(TRIM(LEFT('Hybrid Questions'!$C$18,200)))</f>
        <v>0</v>
      </c>
      <c r="AB21">
        <f>LOWER(TRIM(LEFT($Z$21,200)))</f>
        <v>0</v>
      </c>
      <c r="AC21">
        <f>MAX(LEN($AA$21)-3,0)</f>
        <v>0</v>
      </c>
      <c r="AD21">
        <f>MAX(LEN($AB$21)-3,0)</f>
        <v>0</v>
      </c>
      <c r="AE21" cm="1">
        <f t="array" ref="AE21">IF(OR($AC$21&lt;=0,$AD$21&lt;=0),0,SUMPRODUCT(--ISNUMBER(SEARCH(MID($AA$21,_xlfn.SEQUENCE($AC$21),4),$AB$21))))</f>
        <v>0</v>
      </c>
      <c r="AF21">
        <f>IF(OR($Y$21="",$AA$21="",$AB$21="",$AC$21&lt;=0,$AD$21&lt;=0),"",$AE$21/($AC$21+$AD$21-$AE$21))</f>
        <v>0</v>
      </c>
    </row>
    <row r="22" spans="1:32">
      <c r="A22">
        <f>'Open Questions'!$A$19</f>
        <v>0</v>
      </c>
      <c r="B22">
        <f>IFERROR(INDEX(Responses!$1:$1,1,CHOOSE(LEN(TRIM($A$22)),CODE(TRIM($A$22))-64,(CODE(LEFT(TRIM($A$22),1))-64)*26+(CODE(RIGHT(TRIM($A$22),1))-64),(CODE(LEFT(TRIM($A$22),1))-64)*676+(CODE(MID(TRIM($A$22),2,1))-64)*26+(CODE(RIGHT(TRIM($A$22),1))-64))),"")</f>
        <v>0</v>
      </c>
      <c r="C22">
        <f>LOWER(TRIM(LEFT('Open Questions'!$C$19,200)))</f>
        <v>0</v>
      </c>
      <c r="D22">
        <f>LOWER(TRIM(LEFT($B$22,200)))</f>
        <v>0</v>
      </c>
      <c r="E22">
        <f>MAX(LEN($C$22)-3,0)</f>
        <v>0</v>
      </c>
      <c r="F22">
        <f>MAX(LEN($D$22)-3,0)</f>
        <v>0</v>
      </c>
      <c r="G22" cm="1">
        <f t="array" ref="G22">IF(OR($E$22&lt;=0,$F$22&lt;=0),0,SUMPRODUCT(--ISNUMBER(SEARCH(MID($C$22,_xlfn.SEQUENCE($E$22),4),$D$22))))</f>
        <v>0</v>
      </c>
      <c r="H22">
        <f>IF(OR($A$22="",$C$22="",$D$22="",$E$22&lt;=0,$F$22&lt;=0),"",$G$22/($E$22+$F$22-$G$22))</f>
        <v>0</v>
      </c>
      <c r="I22">
        <f>'Multiple Choice Questions'!$A$19</f>
        <v>0</v>
      </c>
      <c r="J22">
        <f>IFERROR(INDEX(Responses!$1:$1,1,CHOOSE(LEN(TRIM($I$22)),CODE(TRIM($I$22))-64,(CODE(LEFT(TRIM($I$22),1))-64)*26+(CODE(RIGHT(TRIM($I$22),1))-64),(CODE(LEFT(TRIM($I$22),1))-64)*676+(CODE(MID(TRIM($I$22),2,1))-64)*26+(CODE(RIGHT(TRIM($I$22),1))-64))),"")</f>
        <v>0</v>
      </c>
      <c r="K22">
        <f>LOWER(TRIM(LEFT('Multiple Choice Questions'!$C$19,200)))</f>
        <v>0</v>
      </c>
      <c r="L22">
        <f>LOWER(TRIM(LEFT($J$22,200)))</f>
        <v>0</v>
      </c>
      <c r="M22">
        <f>MAX(LEN($K$22)-3,0)</f>
        <v>0</v>
      </c>
      <c r="N22">
        <f>MAX(LEN($L$22)-3,0)</f>
        <v>0</v>
      </c>
      <c r="O22" cm="1">
        <f t="array" ref="O22">IF(OR($M$22&lt;=0,$N$22&lt;=0),0,SUMPRODUCT(--ISNUMBER(SEARCH(MID($K$22,_xlfn.SEQUENCE($M$22),4),$L$22))))</f>
        <v>0</v>
      </c>
      <c r="P22">
        <f>IF(OR($I$22="",$K$22="",$L$22="",$M$22&lt;=0,$N$22&lt;=0),"",$O$22/($M$22+$N$22-$O$22))</f>
        <v>0</v>
      </c>
      <c r="Q22">
        <f>'Hybrid Questions'!$A$19</f>
        <v>0</v>
      </c>
      <c r="R22">
        <f>IFERROR(INDEX(Responses!$1:$1,1,CHOOSE(LEN(TRIM($Q$22)),CODE(TRIM($Q$22))-64,(CODE(LEFT(TRIM($Q$22),1))-64)*26+(CODE(RIGHT(TRIM($Q$22),1))-64),(CODE(LEFT(TRIM($Q$22),1))-64)*676+(CODE(MID(TRIM($Q$22),2,1))-64)*26+(CODE(RIGHT(TRIM($Q$22),1))-64))),"")</f>
        <v>0</v>
      </c>
      <c r="S22">
        <f>LOWER(TRIM(LEFT('Hybrid Questions'!$C$19,200)))</f>
        <v>0</v>
      </c>
      <c r="T22">
        <f>LOWER(TRIM(LEFT($R$22,200)))</f>
        <v>0</v>
      </c>
      <c r="U22">
        <f>MAX(LEN($S$22)-3,0)</f>
        <v>0</v>
      </c>
      <c r="V22">
        <f>MAX(LEN($T$22)-3,0)</f>
        <v>0</v>
      </c>
      <c r="W22" cm="1">
        <f t="array" ref="W22">IF(OR($U$22&lt;=0,$V$22&lt;=0),0,SUMPRODUCT(--ISNUMBER(SEARCH(MID($S$22,_xlfn.SEQUENCE($U$22),4),$T$22))))</f>
        <v>0</v>
      </c>
      <c r="X22">
        <f>IF(OR($Q$22="",$S$22="",$T$22="",$U$22&lt;=0,$V$22&lt;=0),"",$W$22/($U$22+$V$22-$W$22))</f>
        <v>0</v>
      </c>
      <c r="Y22">
        <f>'Hybrid Questions'!$D$19</f>
        <v>0</v>
      </c>
      <c r="Z22">
        <f>IFERROR(INDEX(Responses!$1:$1,1,CHOOSE(LEN(TRIM($Y$22)),CODE(TRIM($Y$22))-64,(CODE(LEFT(TRIM($Y$22),1))-64)*26+(CODE(RIGHT(TRIM($Y$22),1))-64),(CODE(LEFT(TRIM($Y$22),1))-64)*676+(CODE(MID(TRIM($Y$22),2,1))-64)*26+(CODE(RIGHT(TRIM($Y$22),1))-64))),"")</f>
        <v>0</v>
      </c>
      <c r="AA22">
        <f>LOWER(TRIM(LEFT('Hybrid Questions'!$C$19,200)))</f>
        <v>0</v>
      </c>
      <c r="AB22">
        <f>LOWER(TRIM(LEFT($Z$22,200)))</f>
        <v>0</v>
      </c>
      <c r="AC22">
        <f>MAX(LEN($AA$22)-3,0)</f>
        <v>0</v>
      </c>
      <c r="AD22">
        <f>MAX(LEN($AB$22)-3,0)</f>
        <v>0</v>
      </c>
      <c r="AE22" cm="1">
        <f t="array" ref="AE22">IF(OR($AC$22&lt;=0,$AD$22&lt;=0),0,SUMPRODUCT(--ISNUMBER(SEARCH(MID($AA$22,_xlfn.SEQUENCE($AC$22),4),$AB$22))))</f>
        <v>0</v>
      </c>
      <c r="AF22">
        <f>IF(OR($Y$22="",$AA$22="",$AB$22="",$AC$22&lt;=0,$AD$22&lt;=0),"",$AE$22/($AC$22+$AD$22-$AE$22))</f>
        <v>0</v>
      </c>
    </row>
    <row r="23" spans="1:32">
      <c r="A23">
        <f>'Open Questions'!$A$20</f>
        <v>0</v>
      </c>
      <c r="B23">
        <f>IFERROR(INDEX(Responses!$1:$1,1,CHOOSE(LEN(TRIM($A$23)),CODE(TRIM($A$23))-64,(CODE(LEFT(TRIM($A$23),1))-64)*26+(CODE(RIGHT(TRIM($A$23),1))-64),(CODE(LEFT(TRIM($A$23),1))-64)*676+(CODE(MID(TRIM($A$23),2,1))-64)*26+(CODE(RIGHT(TRIM($A$23),1))-64))),"")</f>
        <v>0</v>
      </c>
      <c r="C23">
        <f>LOWER(TRIM(LEFT('Open Questions'!$C$20,200)))</f>
        <v>0</v>
      </c>
      <c r="D23">
        <f>LOWER(TRIM(LEFT($B$23,200)))</f>
        <v>0</v>
      </c>
      <c r="E23">
        <f>MAX(LEN($C$23)-3,0)</f>
        <v>0</v>
      </c>
      <c r="F23">
        <f>MAX(LEN($D$23)-3,0)</f>
        <v>0</v>
      </c>
      <c r="G23" cm="1">
        <f t="array" ref="G23">IF(OR($E$23&lt;=0,$F$23&lt;=0),0,SUMPRODUCT(--ISNUMBER(SEARCH(MID($C$23,_xlfn.SEQUENCE($E$23),4),$D$23))))</f>
        <v>0</v>
      </c>
      <c r="H23">
        <f>IF(OR($A$23="",$C$23="",$D$23="",$E$23&lt;=0,$F$23&lt;=0),"",$G$23/($E$23+$F$23-$G$23))</f>
        <v>0</v>
      </c>
      <c r="I23">
        <f>'Multiple Choice Questions'!$A$20</f>
        <v>0</v>
      </c>
      <c r="J23">
        <f>IFERROR(INDEX(Responses!$1:$1,1,CHOOSE(LEN(TRIM($I$23)),CODE(TRIM($I$23))-64,(CODE(LEFT(TRIM($I$23),1))-64)*26+(CODE(RIGHT(TRIM($I$23),1))-64),(CODE(LEFT(TRIM($I$23),1))-64)*676+(CODE(MID(TRIM($I$23),2,1))-64)*26+(CODE(RIGHT(TRIM($I$23),1))-64))),"")</f>
        <v>0</v>
      </c>
      <c r="K23">
        <f>LOWER(TRIM(LEFT('Multiple Choice Questions'!$C$20,200)))</f>
        <v>0</v>
      </c>
      <c r="L23">
        <f>LOWER(TRIM(LEFT($J$23,200)))</f>
        <v>0</v>
      </c>
      <c r="M23">
        <f>MAX(LEN($K$23)-3,0)</f>
        <v>0</v>
      </c>
      <c r="N23">
        <f>MAX(LEN($L$23)-3,0)</f>
        <v>0</v>
      </c>
      <c r="O23" cm="1">
        <f t="array" ref="O23">IF(OR($M$23&lt;=0,$N$23&lt;=0),0,SUMPRODUCT(--ISNUMBER(SEARCH(MID($K$23,_xlfn.SEQUENCE($M$23),4),$L$23))))</f>
        <v>0</v>
      </c>
      <c r="P23">
        <f>IF(OR($I$23="",$K$23="",$L$23="",$M$23&lt;=0,$N$23&lt;=0),"",$O$23/($M$23+$N$23-$O$23))</f>
        <v>0</v>
      </c>
      <c r="Q23">
        <f>'Hybrid Questions'!$A$20</f>
        <v>0</v>
      </c>
      <c r="R23">
        <f>IFERROR(INDEX(Responses!$1:$1,1,CHOOSE(LEN(TRIM($Q$23)),CODE(TRIM($Q$23))-64,(CODE(LEFT(TRIM($Q$23),1))-64)*26+(CODE(RIGHT(TRIM($Q$23),1))-64),(CODE(LEFT(TRIM($Q$23),1))-64)*676+(CODE(MID(TRIM($Q$23),2,1))-64)*26+(CODE(RIGHT(TRIM($Q$23),1))-64))),"")</f>
        <v>0</v>
      </c>
      <c r="S23">
        <f>LOWER(TRIM(LEFT('Hybrid Questions'!$C$20,200)))</f>
        <v>0</v>
      </c>
      <c r="T23">
        <f>LOWER(TRIM(LEFT($R$23,200)))</f>
        <v>0</v>
      </c>
      <c r="U23">
        <f>MAX(LEN($S$23)-3,0)</f>
        <v>0</v>
      </c>
      <c r="V23">
        <f>MAX(LEN($T$23)-3,0)</f>
        <v>0</v>
      </c>
      <c r="W23" cm="1">
        <f t="array" ref="W23">IF(OR($U$23&lt;=0,$V$23&lt;=0),0,SUMPRODUCT(--ISNUMBER(SEARCH(MID($S$23,_xlfn.SEQUENCE($U$23),4),$T$23))))</f>
        <v>0</v>
      </c>
      <c r="X23">
        <f>IF(OR($Q$23="",$S$23="",$T$23="",$U$23&lt;=0,$V$23&lt;=0),"",$W$23/($U$23+$V$23-$W$23))</f>
        <v>0</v>
      </c>
      <c r="Y23">
        <f>'Hybrid Questions'!$D$20</f>
        <v>0</v>
      </c>
      <c r="Z23">
        <f>IFERROR(INDEX(Responses!$1:$1,1,CHOOSE(LEN(TRIM($Y$23)),CODE(TRIM($Y$23))-64,(CODE(LEFT(TRIM($Y$23),1))-64)*26+(CODE(RIGHT(TRIM($Y$23),1))-64),(CODE(LEFT(TRIM($Y$23),1))-64)*676+(CODE(MID(TRIM($Y$23),2,1))-64)*26+(CODE(RIGHT(TRIM($Y$23),1))-64))),"")</f>
        <v>0</v>
      </c>
      <c r="AA23">
        <f>LOWER(TRIM(LEFT('Hybrid Questions'!$C$20,200)))</f>
        <v>0</v>
      </c>
      <c r="AB23">
        <f>LOWER(TRIM(LEFT($Z$23,200)))</f>
        <v>0</v>
      </c>
      <c r="AC23">
        <f>MAX(LEN($AA$23)-3,0)</f>
        <v>0</v>
      </c>
      <c r="AD23">
        <f>MAX(LEN($AB$23)-3,0)</f>
        <v>0</v>
      </c>
      <c r="AE23" cm="1">
        <f t="array" ref="AE23">IF(OR($AC$23&lt;=0,$AD$23&lt;=0),0,SUMPRODUCT(--ISNUMBER(SEARCH(MID($AA$23,_xlfn.SEQUENCE($AC$23),4),$AB$23))))</f>
        <v>0</v>
      </c>
      <c r="AF23">
        <f>IF(OR($Y$23="",$AA$23="",$AB$23="",$AC$23&lt;=0,$AD$23&lt;=0),"",$AE$23/($AC$23+$AD$23-$AE$23))</f>
        <v>0</v>
      </c>
    </row>
    <row r="24" spans="1:32">
      <c r="A24">
        <f>'Open Questions'!$A$21</f>
        <v>0</v>
      </c>
      <c r="B24">
        <f>IFERROR(INDEX(Responses!$1:$1,1,CHOOSE(LEN(TRIM($A$24)),CODE(TRIM($A$24))-64,(CODE(LEFT(TRIM($A$24),1))-64)*26+(CODE(RIGHT(TRIM($A$24),1))-64),(CODE(LEFT(TRIM($A$24),1))-64)*676+(CODE(MID(TRIM($A$24),2,1))-64)*26+(CODE(RIGHT(TRIM($A$24),1))-64))),"")</f>
        <v>0</v>
      </c>
      <c r="C24">
        <f>LOWER(TRIM(LEFT('Open Questions'!$C$21,200)))</f>
        <v>0</v>
      </c>
      <c r="D24">
        <f>LOWER(TRIM(LEFT($B$24,200)))</f>
        <v>0</v>
      </c>
      <c r="E24">
        <f>MAX(LEN($C$24)-3,0)</f>
        <v>0</v>
      </c>
      <c r="F24">
        <f>MAX(LEN($D$24)-3,0)</f>
        <v>0</v>
      </c>
      <c r="G24" cm="1">
        <f t="array" ref="G24">IF(OR($E$24&lt;=0,$F$24&lt;=0),0,SUMPRODUCT(--ISNUMBER(SEARCH(MID($C$24,_xlfn.SEQUENCE($E$24),4),$D$24))))</f>
        <v>0</v>
      </c>
      <c r="H24">
        <f>IF(OR($A$24="",$C$24="",$D$24="",$E$24&lt;=0,$F$24&lt;=0),"",$G$24/($E$24+$F$24-$G$24))</f>
        <v>0</v>
      </c>
      <c r="I24">
        <f>'Multiple Choice Questions'!$A$21</f>
        <v>0</v>
      </c>
      <c r="J24">
        <f>IFERROR(INDEX(Responses!$1:$1,1,CHOOSE(LEN(TRIM($I$24)),CODE(TRIM($I$24))-64,(CODE(LEFT(TRIM($I$24),1))-64)*26+(CODE(RIGHT(TRIM($I$24),1))-64),(CODE(LEFT(TRIM($I$24),1))-64)*676+(CODE(MID(TRIM($I$24),2,1))-64)*26+(CODE(RIGHT(TRIM($I$24),1))-64))),"")</f>
        <v>0</v>
      </c>
      <c r="K24">
        <f>LOWER(TRIM(LEFT('Multiple Choice Questions'!$C$21,200)))</f>
        <v>0</v>
      </c>
      <c r="L24">
        <f>LOWER(TRIM(LEFT($J$24,200)))</f>
        <v>0</v>
      </c>
      <c r="M24">
        <f>MAX(LEN($K$24)-3,0)</f>
        <v>0</v>
      </c>
      <c r="N24">
        <f>MAX(LEN($L$24)-3,0)</f>
        <v>0</v>
      </c>
      <c r="O24" cm="1">
        <f t="array" ref="O24">IF(OR($M$24&lt;=0,$N$24&lt;=0),0,SUMPRODUCT(--ISNUMBER(SEARCH(MID($K$24,_xlfn.SEQUENCE($M$24),4),$L$24))))</f>
        <v>0</v>
      </c>
      <c r="P24">
        <f>IF(OR($I$24="",$K$24="",$L$24="",$M$24&lt;=0,$N$24&lt;=0),"",$O$24/($M$24+$N$24-$O$24))</f>
        <v>0</v>
      </c>
      <c r="Q24">
        <f>'Hybrid Questions'!$A$21</f>
        <v>0</v>
      </c>
      <c r="R24">
        <f>IFERROR(INDEX(Responses!$1:$1,1,CHOOSE(LEN(TRIM($Q$24)),CODE(TRIM($Q$24))-64,(CODE(LEFT(TRIM($Q$24),1))-64)*26+(CODE(RIGHT(TRIM($Q$24),1))-64),(CODE(LEFT(TRIM($Q$24),1))-64)*676+(CODE(MID(TRIM($Q$24),2,1))-64)*26+(CODE(RIGHT(TRIM($Q$24),1))-64))),"")</f>
        <v>0</v>
      </c>
      <c r="S24">
        <f>LOWER(TRIM(LEFT('Hybrid Questions'!$C$21,200)))</f>
        <v>0</v>
      </c>
      <c r="T24">
        <f>LOWER(TRIM(LEFT($R$24,200)))</f>
        <v>0</v>
      </c>
      <c r="U24">
        <f>MAX(LEN($S$24)-3,0)</f>
        <v>0</v>
      </c>
      <c r="V24">
        <f>MAX(LEN($T$24)-3,0)</f>
        <v>0</v>
      </c>
      <c r="W24" cm="1">
        <f t="array" ref="W24">IF(OR($U$24&lt;=0,$V$24&lt;=0),0,SUMPRODUCT(--ISNUMBER(SEARCH(MID($S$24,_xlfn.SEQUENCE($U$24),4),$T$24))))</f>
        <v>0</v>
      </c>
      <c r="X24">
        <f>IF(OR($Q$24="",$S$24="",$T$24="",$U$24&lt;=0,$V$24&lt;=0),"",$W$24/($U$24+$V$24-$W$24))</f>
        <v>0</v>
      </c>
      <c r="Y24">
        <f>'Hybrid Questions'!$D$21</f>
        <v>0</v>
      </c>
      <c r="Z24">
        <f>IFERROR(INDEX(Responses!$1:$1,1,CHOOSE(LEN(TRIM($Y$24)),CODE(TRIM($Y$24))-64,(CODE(LEFT(TRIM($Y$24),1))-64)*26+(CODE(RIGHT(TRIM($Y$24),1))-64),(CODE(LEFT(TRIM($Y$24),1))-64)*676+(CODE(MID(TRIM($Y$24),2,1))-64)*26+(CODE(RIGHT(TRIM($Y$24),1))-64))),"")</f>
        <v>0</v>
      </c>
      <c r="AA24">
        <f>LOWER(TRIM(LEFT('Hybrid Questions'!$C$21,200)))</f>
        <v>0</v>
      </c>
      <c r="AB24">
        <f>LOWER(TRIM(LEFT($Z$24,200)))</f>
        <v>0</v>
      </c>
      <c r="AC24">
        <f>MAX(LEN($AA$24)-3,0)</f>
        <v>0</v>
      </c>
      <c r="AD24">
        <f>MAX(LEN($AB$24)-3,0)</f>
        <v>0</v>
      </c>
      <c r="AE24" cm="1">
        <f t="array" ref="AE24">IF(OR($AC$24&lt;=0,$AD$24&lt;=0),0,SUMPRODUCT(--ISNUMBER(SEARCH(MID($AA$24,_xlfn.SEQUENCE($AC$24),4),$AB$24))))</f>
        <v>0</v>
      </c>
      <c r="AF24">
        <f>IF(OR($Y$24="",$AA$24="",$AB$24="",$AC$24&lt;=0,$AD$24&lt;=0),"",$AE$24/($AC$24+$AD$24-$AE$24))</f>
        <v>0</v>
      </c>
    </row>
    <row r="25" spans="1:32">
      <c r="A25">
        <f>'Open Questions'!$A$22</f>
        <v>0</v>
      </c>
      <c r="B25">
        <f>IFERROR(INDEX(Responses!$1:$1,1,CHOOSE(LEN(TRIM($A$25)),CODE(TRIM($A$25))-64,(CODE(LEFT(TRIM($A$25),1))-64)*26+(CODE(RIGHT(TRIM($A$25),1))-64),(CODE(LEFT(TRIM($A$25),1))-64)*676+(CODE(MID(TRIM($A$25),2,1))-64)*26+(CODE(RIGHT(TRIM($A$25),1))-64))),"")</f>
        <v>0</v>
      </c>
      <c r="C25">
        <f>LOWER(TRIM(LEFT('Open Questions'!$C$22,200)))</f>
        <v>0</v>
      </c>
      <c r="D25">
        <f>LOWER(TRIM(LEFT($B$25,200)))</f>
        <v>0</v>
      </c>
      <c r="E25">
        <f>MAX(LEN($C$25)-3,0)</f>
        <v>0</v>
      </c>
      <c r="F25">
        <f>MAX(LEN($D$25)-3,0)</f>
        <v>0</v>
      </c>
      <c r="G25" cm="1">
        <f t="array" ref="G25">IF(OR($E$25&lt;=0,$F$25&lt;=0),0,SUMPRODUCT(--ISNUMBER(SEARCH(MID($C$25,_xlfn.SEQUENCE($E$25),4),$D$25))))</f>
        <v>0</v>
      </c>
      <c r="H25">
        <f>IF(OR($A$25="",$C$25="",$D$25="",$E$25&lt;=0,$F$25&lt;=0),"",$G$25/($E$25+$F$25-$G$25))</f>
        <v>0</v>
      </c>
      <c r="I25">
        <f>'Multiple Choice Questions'!$A$22</f>
        <v>0</v>
      </c>
      <c r="J25">
        <f>IFERROR(INDEX(Responses!$1:$1,1,CHOOSE(LEN(TRIM($I$25)),CODE(TRIM($I$25))-64,(CODE(LEFT(TRIM($I$25),1))-64)*26+(CODE(RIGHT(TRIM($I$25),1))-64),(CODE(LEFT(TRIM($I$25),1))-64)*676+(CODE(MID(TRIM($I$25),2,1))-64)*26+(CODE(RIGHT(TRIM($I$25),1))-64))),"")</f>
        <v>0</v>
      </c>
      <c r="K25">
        <f>LOWER(TRIM(LEFT('Multiple Choice Questions'!$C$22,200)))</f>
        <v>0</v>
      </c>
      <c r="L25">
        <f>LOWER(TRIM(LEFT($J$25,200)))</f>
        <v>0</v>
      </c>
      <c r="M25">
        <f>MAX(LEN($K$25)-3,0)</f>
        <v>0</v>
      </c>
      <c r="N25">
        <f>MAX(LEN($L$25)-3,0)</f>
        <v>0</v>
      </c>
      <c r="O25" cm="1">
        <f t="array" ref="O25">IF(OR($M$25&lt;=0,$N$25&lt;=0),0,SUMPRODUCT(--ISNUMBER(SEARCH(MID($K$25,_xlfn.SEQUENCE($M$25),4),$L$25))))</f>
        <v>0</v>
      </c>
      <c r="P25">
        <f>IF(OR($I$25="",$K$25="",$L$25="",$M$25&lt;=0,$N$25&lt;=0),"",$O$25/($M$25+$N$25-$O$25))</f>
        <v>0</v>
      </c>
      <c r="Q25">
        <f>'Hybrid Questions'!$A$22</f>
        <v>0</v>
      </c>
      <c r="R25">
        <f>IFERROR(INDEX(Responses!$1:$1,1,CHOOSE(LEN(TRIM($Q$25)),CODE(TRIM($Q$25))-64,(CODE(LEFT(TRIM($Q$25),1))-64)*26+(CODE(RIGHT(TRIM($Q$25),1))-64),(CODE(LEFT(TRIM($Q$25),1))-64)*676+(CODE(MID(TRIM($Q$25),2,1))-64)*26+(CODE(RIGHT(TRIM($Q$25),1))-64))),"")</f>
        <v>0</v>
      </c>
      <c r="S25">
        <f>LOWER(TRIM(LEFT('Hybrid Questions'!$C$22,200)))</f>
        <v>0</v>
      </c>
      <c r="T25">
        <f>LOWER(TRIM(LEFT($R$25,200)))</f>
        <v>0</v>
      </c>
      <c r="U25">
        <f>MAX(LEN($S$25)-3,0)</f>
        <v>0</v>
      </c>
      <c r="V25">
        <f>MAX(LEN($T$25)-3,0)</f>
        <v>0</v>
      </c>
      <c r="W25" cm="1">
        <f t="array" ref="W25">IF(OR($U$25&lt;=0,$V$25&lt;=0),0,SUMPRODUCT(--ISNUMBER(SEARCH(MID($S$25,_xlfn.SEQUENCE($U$25),4),$T$25))))</f>
        <v>0</v>
      </c>
      <c r="X25">
        <f>IF(OR($Q$25="",$S$25="",$T$25="",$U$25&lt;=0,$V$25&lt;=0),"",$W$25/($U$25+$V$25-$W$25))</f>
        <v>0</v>
      </c>
      <c r="Y25">
        <f>'Hybrid Questions'!$D$22</f>
        <v>0</v>
      </c>
      <c r="Z25">
        <f>IFERROR(INDEX(Responses!$1:$1,1,CHOOSE(LEN(TRIM($Y$25)),CODE(TRIM($Y$25))-64,(CODE(LEFT(TRIM($Y$25),1))-64)*26+(CODE(RIGHT(TRIM($Y$25),1))-64),(CODE(LEFT(TRIM($Y$25),1))-64)*676+(CODE(MID(TRIM($Y$25),2,1))-64)*26+(CODE(RIGHT(TRIM($Y$25),1))-64))),"")</f>
        <v>0</v>
      </c>
      <c r="AA25">
        <f>LOWER(TRIM(LEFT('Hybrid Questions'!$C$22,200)))</f>
        <v>0</v>
      </c>
      <c r="AB25">
        <f>LOWER(TRIM(LEFT($Z$25,200)))</f>
        <v>0</v>
      </c>
      <c r="AC25">
        <f>MAX(LEN($AA$25)-3,0)</f>
        <v>0</v>
      </c>
      <c r="AD25">
        <f>MAX(LEN($AB$25)-3,0)</f>
        <v>0</v>
      </c>
      <c r="AE25" cm="1">
        <f t="array" ref="AE25">IF(OR($AC$25&lt;=0,$AD$25&lt;=0),0,SUMPRODUCT(--ISNUMBER(SEARCH(MID($AA$25,_xlfn.SEQUENCE($AC$25),4),$AB$25))))</f>
        <v>0</v>
      </c>
      <c r="AF25">
        <f>IF(OR($Y$25="",$AA$25="",$AB$25="",$AC$25&lt;=0,$AD$25&lt;=0),"",$AE$25/($AC$25+$AD$25-$AE$25))</f>
        <v>0</v>
      </c>
    </row>
    <row r="26" spans="1:32">
      <c r="A26">
        <f>'Open Questions'!$A$23</f>
        <v>0</v>
      </c>
      <c r="B26">
        <f>IFERROR(INDEX(Responses!$1:$1,1,CHOOSE(LEN(TRIM($A$26)),CODE(TRIM($A$26))-64,(CODE(LEFT(TRIM($A$26),1))-64)*26+(CODE(RIGHT(TRIM($A$26),1))-64),(CODE(LEFT(TRIM($A$26),1))-64)*676+(CODE(MID(TRIM($A$26),2,1))-64)*26+(CODE(RIGHT(TRIM($A$26),1))-64))),"")</f>
        <v>0</v>
      </c>
      <c r="C26">
        <f>LOWER(TRIM(LEFT('Open Questions'!$C$23,200)))</f>
        <v>0</v>
      </c>
      <c r="D26">
        <f>LOWER(TRIM(LEFT($B$26,200)))</f>
        <v>0</v>
      </c>
      <c r="E26">
        <f>MAX(LEN($C$26)-3,0)</f>
        <v>0</v>
      </c>
      <c r="F26">
        <f>MAX(LEN($D$26)-3,0)</f>
        <v>0</v>
      </c>
      <c r="G26" cm="1">
        <f t="array" ref="G26">IF(OR($E$26&lt;=0,$F$26&lt;=0),0,SUMPRODUCT(--ISNUMBER(SEARCH(MID($C$26,_xlfn.SEQUENCE($E$26),4),$D$26))))</f>
        <v>0</v>
      </c>
      <c r="H26">
        <f>IF(OR($A$26="",$C$26="",$D$26="",$E$26&lt;=0,$F$26&lt;=0),"",$G$26/($E$26+$F$26-$G$26))</f>
        <v>0</v>
      </c>
      <c r="I26">
        <f>'Multiple Choice Questions'!$A$23</f>
        <v>0</v>
      </c>
      <c r="J26">
        <f>IFERROR(INDEX(Responses!$1:$1,1,CHOOSE(LEN(TRIM($I$26)),CODE(TRIM($I$26))-64,(CODE(LEFT(TRIM($I$26),1))-64)*26+(CODE(RIGHT(TRIM($I$26),1))-64),(CODE(LEFT(TRIM($I$26),1))-64)*676+(CODE(MID(TRIM($I$26),2,1))-64)*26+(CODE(RIGHT(TRIM($I$26),1))-64))),"")</f>
        <v>0</v>
      </c>
      <c r="K26">
        <f>LOWER(TRIM(LEFT('Multiple Choice Questions'!$C$23,200)))</f>
        <v>0</v>
      </c>
      <c r="L26">
        <f>LOWER(TRIM(LEFT($J$26,200)))</f>
        <v>0</v>
      </c>
      <c r="M26">
        <f>MAX(LEN($K$26)-3,0)</f>
        <v>0</v>
      </c>
      <c r="N26">
        <f>MAX(LEN($L$26)-3,0)</f>
        <v>0</v>
      </c>
      <c r="O26" cm="1">
        <f t="array" ref="O26">IF(OR($M$26&lt;=0,$N$26&lt;=0),0,SUMPRODUCT(--ISNUMBER(SEARCH(MID($K$26,_xlfn.SEQUENCE($M$26),4),$L$26))))</f>
        <v>0</v>
      </c>
      <c r="P26">
        <f>IF(OR($I$26="",$K$26="",$L$26="",$M$26&lt;=0,$N$26&lt;=0),"",$O$26/($M$26+$N$26-$O$26))</f>
        <v>0</v>
      </c>
      <c r="Q26">
        <f>'Hybrid Questions'!$A$23</f>
        <v>0</v>
      </c>
      <c r="R26">
        <f>IFERROR(INDEX(Responses!$1:$1,1,CHOOSE(LEN(TRIM($Q$26)),CODE(TRIM($Q$26))-64,(CODE(LEFT(TRIM($Q$26),1))-64)*26+(CODE(RIGHT(TRIM($Q$26),1))-64),(CODE(LEFT(TRIM($Q$26),1))-64)*676+(CODE(MID(TRIM($Q$26),2,1))-64)*26+(CODE(RIGHT(TRIM($Q$26),1))-64))),"")</f>
        <v>0</v>
      </c>
      <c r="S26">
        <f>LOWER(TRIM(LEFT('Hybrid Questions'!$C$23,200)))</f>
        <v>0</v>
      </c>
      <c r="T26">
        <f>LOWER(TRIM(LEFT($R$26,200)))</f>
        <v>0</v>
      </c>
      <c r="U26">
        <f>MAX(LEN($S$26)-3,0)</f>
        <v>0</v>
      </c>
      <c r="V26">
        <f>MAX(LEN($T$26)-3,0)</f>
        <v>0</v>
      </c>
      <c r="W26" cm="1">
        <f t="array" ref="W26">IF(OR($U$26&lt;=0,$V$26&lt;=0),0,SUMPRODUCT(--ISNUMBER(SEARCH(MID($S$26,_xlfn.SEQUENCE($U$26),4),$T$26))))</f>
        <v>0</v>
      </c>
      <c r="X26">
        <f>IF(OR($Q$26="",$S$26="",$T$26="",$U$26&lt;=0,$V$26&lt;=0),"",$W$26/($U$26+$V$26-$W$26))</f>
        <v>0</v>
      </c>
      <c r="Y26">
        <f>'Hybrid Questions'!$D$23</f>
        <v>0</v>
      </c>
      <c r="Z26">
        <f>IFERROR(INDEX(Responses!$1:$1,1,CHOOSE(LEN(TRIM($Y$26)),CODE(TRIM($Y$26))-64,(CODE(LEFT(TRIM($Y$26),1))-64)*26+(CODE(RIGHT(TRIM($Y$26),1))-64),(CODE(LEFT(TRIM($Y$26),1))-64)*676+(CODE(MID(TRIM($Y$26),2,1))-64)*26+(CODE(RIGHT(TRIM($Y$26),1))-64))),"")</f>
        <v>0</v>
      </c>
      <c r="AA26">
        <f>LOWER(TRIM(LEFT('Hybrid Questions'!$C$23,200)))</f>
        <v>0</v>
      </c>
      <c r="AB26">
        <f>LOWER(TRIM(LEFT($Z$26,200)))</f>
        <v>0</v>
      </c>
      <c r="AC26">
        <f>MAX(LEN($AA$26)-3,0)</f>
        <v>0</v>
      </c>
      <c r="AD26">
        <f>MAX(LEN($AB$26)-3,0)</f>
        <v>0</v>
      </c>
      <c r="AE26" cm="1">
        <f t="array" ref="AE26">IF(OR($AC$26&lt;=0,$AD$26&lt;=0),0,SUMPRODUCT(--ISNUMBER(SEARCH(MID($AA$26,_xlfn.SEQUENCE($AC$26),4),$AB$26))))</f>
        <v>0</v>
      </c>
      <c r="AF26">
        <f>IF(OR($Y$26="",$AA$26="",$AB$26="",$AC$26&lt;=0,$AD$26&lt;=0),"",$AE$26/($AC$26+$AD$26-$AE$26))</f>
        <v>0</v>
      </c>
    </row>
    <row r="27" spans="1:32">
      <c r="A27">
        <f>'Open Questions'!$A$24</f>
        <v>0</v>
      </c>
      <c r="B27">
        <f>IFERROR(INDEX(Responses!$1:$1,1,CHOOSE(LEN(TRIM($A$27)),CODE(TRIM($A$27))-64,(CODE(LEFT(TRIM($A$27),1))-64)*26+(CODE(RIGHT(TRIM($A$27),1))-64),(CODE(LEFT(TRIM($A$27),1))-64)*676+(CODE(MID(TRIM($A$27),2,1))-64)*26+(CODE(RIGHT(TRIM($A$27),1))-64))),"")</f>
        <v>0</v>
      </c>
      <c r="C27">
        <f>LOWER(TRIM(LEFT('Open Questions'!$C$24,200)))</f>
        <v>0</v>
      </c>
      <c r="D27">
        <f>LOWER(TRIM(LEFT($B$27,200)))</f>
        <v>0</v>
      </c>
      <c r="E27">
        <f>MAX(LEN($C$27)-3,0)</f>
        <v>0</v>
      </c>
      <c r="F27">
        <f>MAX(LEN($D$27)-3,0)</f>
        <v>0</v>
      </c>
      <c r="G27" cm="1">
        <f t="array" ref="G27">IF(OR($E$27&lt;=0,$F$27&lt;=0),0,SUMPRODUCT(--ISNUMBER(SEARCH(MID($C$27,_xlfn.SEQUENCE($E$27),4),$D$27))))</f>
        <v>0</v>
      </c>
      <c r="H27">
        <f>IF(OR($A$27="",$C$27="",$D$27="",$E$27&lt;=0,$F$27&lt;=0),"",$G$27/($E$27+$F$27-$G$27))</f>
        <v>0</v>
      </c>
      <c r="I27">
        <f>'Multiple Choice Questions'!$A$24</f>
        <v>0</v>
      </c>
      <c r="J27">
        <f>IFERROR(INDEX(Responses!$1:$1,1,CHOOSE(LEN(TRIM($I$27)),CODE(TRIM($I$27))-64,(CODE(LEFT(TRIM($I$27),1))-64)*26+(CODE(RIGHT(TRIM($I$27),1))-64),(CODE(LEFT(TRIM($I$27),1))-64)*676+(CODE(MID(TRIM($I$27),2,1))-64)*26+(CODE(RIGHT(TRIM($I$27),1))-64))),"")</f>
        <v>0</v>
      </c>
      <c r="K27">
        <f>LOWER(TRIM(LEFT('Multiple Choice Questions'!$C$24,200)))</f>
        <v>0</v>
      </c>
      <c r="L27">
        <f>LOWER(TRIM(LEFT($J$27,200)))</f>
        <v>0</v>
      </c>
      <c r="M27">
        <f>MAX(LEN($K$27)-3,0)</f>
        <v>0</v>
      </c>
      <c r="N27">
        <f>MAX(LEN($L$27)-3,0)</f>
        <v>0</v>
      </c>
      <c r="O27" cm="1">
        <f t="array" ref="O27">IF(OR($M$27&lt;=0,$N$27&lt;=0),0,SUMPRODUCT(--ISNUMBER(SEARCH(MID($K$27,_xlfn.SEQUENCE($M$27),4),$L$27))))</f>
        <v>0</v>
      </c>
      <c r="P27">
        <f>IF(OR($I$27="",$K$27="",$L$27="",$M$27&lt;=0,$N$27&lt;=0),"",$O$27/($M$27+$N$27-$O$27))</f>
        <v>0</v>
      </c>
      <c r="Q27">
        <f>'Hybrid Questions'!$A$24</f>
        <v>0</v>
      </c>
      <c r="R27">
        <f>IFERROR(INDEX(Responses!$1:$1,1,CHOOSE(LEN(TRIM($Q$27)),CODE(TRIM($Q$27))-64,(CODE(LEFT(TRIM($Q$27),1))-64)*26+(CODE(RIGHT(TRIM($Q$27),1))-64),(CODE(LEFT(TRIM($Q$27),1))-64)*676+(CODE(MID(TRIM($Q$27),2,1))-64)*26+(CODE(RIGHT(TRIM($Q$27),1))-64))),"")</f>
        <v>0</v>
      </c>
      <c r="S27">
        <f>LOWER(TRIM(LEFT('Hybrid Questions'!$C$24,200)))</f>
        <v>0</v>
      </c>
      <c r="T27">
        <f>LOWER(TRIM(LEFT($R$27,200)))</f>
        <v>0</v>
      </c>
      <c r="U27">
        <f>MAX(LEN($S$27)-3,0)</f>
        <v>0</v>
      </c>
      <c r="V27">
        <f>MAX(LEN($T$27)-3,0)</f>
        <v>0</v>
      </c>
      <c r="W27" cm="1">
        <f t="array" ref="W27">IF(OR($U$27&lt;=0,$V$27&lt;=0),0,SUMPRODUCT(--ISNUMBER(SEARCH(MID($S$27,_xlfn.SEQUENCE($U$27),4),$T$27))))</f>
        <v>0</v>
      </c>
      <c r="X27">
        <f>IF(OR($Q$27="",$S$27="",$T$27="",$U$27&lt;=0,$V$27&lt;=0),"",$W$27/($U$27+$V$27-$W$27))</f>
        <v>0</v>
      </c>
      <c r="Y27">
        <f>'Hybrid Questions'!$D$24</f>
        <v>0</v>
      </c>
      <c r="Z27">
        <f>IFERROR(INDEX(Responses!$1:$1,1,CHOOSE(LEN(TRIM($Y$27)),CODE(TRIM($Y$27))-64,(CODE(LEFT(TRIM($Y$27),1))-64)*26+(CODE(RIGHT(TRIM($Y$27),1))-64),(CODE(LEFT(TRIM($Y$27),1))-64)*676+(CODE(MID(TRIM($Y$27),2,1))-64)*26+(CODE(RIGHT(TRIM($Y$27),1))-64))),"")</f>
        <v>0</v>
      </c>
      <c r="AA27">
        <f>LOWER(TRIM(LEFT('Hybrid Questions'!$C$24,200)))</f>
        <v>0</v>
      </c>
      <c r="AB27">
        <f>LOWER(TRIM(LEFT($Z$27,200)))</f>
        <v>0</v>
      </c>
      <c r="AC27">
        <f>MAX(LEN($AA$27)-3,0)</f>
        <v>0</v>
      </c>
      <c r="AD27">
        <f>MAX(LEN($AB$27)-3,0)</f>
        <v>0</v>
      </c>
      <c r="AE27" cm="1">
        <f t="array" ref="AE27">IF(OR($AC$27&lt;=0,$AD$27&lt;=0),0,SUMPRODUCT(--ISNUMBER(SEARCH(MID($AA$27,_xlfn.SEQUENCE($AC$27),4),$AB$27))))</f>
        <v>0</v>
      </c>
      <c r="AF27">
        <f>IF(OR($Y$27="",$AA$27="",$AB$27="",$AC$27&lt;=0,$AD$27&lt;=0),"",$AE$27/($AC$27+$AD$27-$AE$27))</f>
        <v>0</v>
      </c>
    </row>
    <row r="28" spans="1:32">
      <c r="A28">
        <f>'Open Questions'!$A$25</f>
        <v>0</v>
      </c>
      <c r="B28">
        <f>IFERROR(INDEX(Responses!$1:$1,1,CHOOSE(LEN(TRIM($A$28)),CODE(TRIM($A$28))-64,(CODE(LEFT(TRIM($A$28),1))-64)*26+(CODE(RIGHT(TRIM($A$28),1))-64),(CODE(LEFT(TRIM($A$28),1))-64)*676+(CODE(MID(TRIM($A$28),2,1))-64)*26+(CODE(RIGHT(TRIM($A$28),1))-64))),"")</f>
        <v>0</v>
      </c>
      <c r="C28">
        <f>LOWER(TRIM(LEFT('Open Questions'!$C$25,200)))</f>
        <v>0</v>
      </c>
      <c r="D28">
        <f>LOWER(TRIM(LEFT($B$28,200)))</f>
        <v>0</v>
      </c>
      <c r="E28">
        <f>MAX(LEN($C$28)-3,0)</f>
        <v>0</v>
      </c>
      <c r="F28">
        <f>MAX(LEN($D$28)-3,0)</f>
        <v>0</v>
      </c>
      <c r="G28" cm="1">
        <f t="array" ref="G28">IF(OR($E$28&lt;=0,$F$28&lt;=0),0,SUMPRODUCT(--ISNUMBER(SEARCH(MID($C$28,_xlfn.SEQUENCE($E$28),4),$D$28))))</f>
        <v>0</v>
      </c>
      <c r="H28">
        <f>IF(OR($A$28="",$C$28="",$D$28="",$E$28&lt;=0,$F$28&lt;=0),"",$G$28/($E$28+$F$28-$G$28))</f>
        <v>0</v>
      </c>
      <c r="I28">
        <f>'Multiple Choice Questions'!$A$25</f>
        <v>0</v>
      </c>
      <c r="J28">
        <f>IFERROR(INDEX(Responses!$1:$1,1,CHOOSE(LEN(TRIM($I$28)),CODE(TRIM($I$28))-64,(CODE(LEFT(TRIM($I$28),1))-64)*26+(CODE(RIGHT(TRIM($I$28),1))-64),(CODE(LEFT(TRIM($I$28),1))-64)*676+(CODE(MID(TRIM($I$28),2,1))-64)*26+(CODE(RIGHT(TRIM($I$28),1))-64))),"")</f>
        <v>0</v>
      </c>
      <c r="K28">
        <f>LOWER(TRIM(LEFT('Multiple Choice Questions'!$C$25,200)))</f>
        <v>0</v>
      </c>
      <c r="L28">
        <f>LOWER(TRIM(LEFT($J$28,200)))</f>
        <v>0</v>
      </c>
      <c r="M28">
        <f>MAX(LEN($K$28)-3,0)</f>
        <v>0</v>
      </c>
      <c r="N28">
        <f>MAX(LEN($L$28)-3,0)</f>
        <v>0</v>
      </c>
      <c r="O28" cm="1">
        <f t="array" ref="O28">IF(OR($M$28&lt;=0,$N$28&lt;=0),0,SUMPRODUCT(--ISNUMBER(SEARCH(MID($K$28,_xlfn.SEQUENCE($M$28),4),$L$28))))</f>
        <v>0</v>
      </c>
      <c r="P28">
        <f>IF(OR($I$28="",$K$28="",$L$28="",$M$28&lt;=0,$N$28&lt;=0),"",$O$28/($M$28+$N$28-$O$28))</f>
        <v>0</v>
      </c>
      <c r="Q28">
        <f>'Hybrid Questions'!$A$25</f>
        <v>0</v>
      </c>
      <c r="R28">
        <f>IFERROR(INDEX(Responses!$1:$1,1,CHOOSE(LEN(TRIM($Q$28)),CODE(TRIM($Q$28))-64,(CODE(LEFT(TRIM($Q$28),1))-64)*26+(CODE(RIGHT(TRIM($Q$28),1))-64),(CODE(LEFT(TRIM($Q$28),1))-64)*676+(CODE(MID(TRIM($Q$28),2,1))-64)*26+(CODE(RIGHT(TRIM($Q$28),1))-64))),"")</f>
        <v>0</v>
      </c>
      <c r="S28">
        <f>LOWER(TRIM(LEFT('Hybrid Questions'!$C$25,200)))</f>
        <v>0</v>
      </c>
      <c r="T28">
        <f>LOWER(TRIM(LEFT($R$28,200)))</f>
        <v>0</v>
      </c>
      <c r="U28">
        <f>MAX(LEN($S$28)-3,0)</f>
        <v>0</v>
      </c>
      <c r="V28">
        <f>MAX(LEN($T$28)-3,0)</f>
        <v>0</v>
      </c>
      <c r="W28" cm="1">
        <f t="array" ref="W28">IF(OR($U$28&lt;=0,$V$28&lt;=0),0,SUMPRODUCT(--ISNUMBER(SEARCH(MID($S$28,_xlfn.SEQUENCE($U$28),4),$T$28))))</f>
        <v>0</v>
      </c>
      <c r="X28">
        <f>IF(OR($Q$28="",$S$28="",$T$28="",$U$28&lt;=0,$V$28&lt;=0),"",$W$28/($U$28+$V$28-$W$28))</f>
        <v>0</v>
      </c>
      <c r="Y28">
        <f>'Hybrid Questions'!$D$25</f>
        <v>0</v>
      </c>
      <c r="Z28">
        <f>IFERROR(INDEX(Responses!$1:$1,1,CHOOSE(LEN(TRIM($Y$28)),CODE(TRIM($Y$28))-64,(CODE(LEFT(TRIM($Y$28),1))-64)*26+(CODE(RIGHT(TRIM($Y$28),1))-64),(CODE(LEFT(TRIM($Y$28),1))-64)*676+(CODE(MID(TRIM($Y$28),2,1))-64)*26+(CODE(RIGHT(TRIM($Y$28),1))-64))),"")</f>
        <v>0</v>
      </c>
      <c r="AA28">
        <f>LOWER(TRIM(LEFT('Hybrid Questions'!$C$25,200)))</f>
        <v>0</v>
      </c>
      <c r="AB28">
        <f>LOWER(TRIM(LEFT($Z$28,200)))</f>
        <v>0</v>
      </c>
      <c r="AC28">
        <f>MAX(LEN($AA$28)-3,0)</f>
        <v>0</v>
      </c>
      <c r="AD28">
        <f>MAX(LEN($AB$28)-3,0)</f>
        <v>0</v>
      </c>
      <c r="AE28" cm="1">
        <f t="array" ref="AE28">IF(OR($AC$28&lt;=0,$AD$28&lt;=0),0,SUMPRODUCT(--ISNUMBER(SEARCH(MID($AA$28,_xlfn.SEQUENCE($AC$28),4),$AB$28))))</f>
        <v>0</v>
      </c>
      <c r="AF28">
        <f>IF(OR($Y$28="",$AA$28="",$AB$28="",$AC$28&lt;=0,$AD$28&lt;=0),"",$AE$28/($AC$28+$AD$28-$AE$28))</f>
        <v>0</v>
      </c>
    </row>
    <row r="29" spans="1:32">
      <c r="A29">
        <f>'Open Questions'!$A$26</f>
        <v>0</v>
      </c>
      <c r="B29">
        <f>IFERROR(INDEX(Responses!$1:$1,1,CHOOSE(LEN(TRIM($A$29)),CODE(TRIM($A$29))-64,(CODE(LEFT(TRIM($A$29),1))-64)*26+(CODE(RIGHT(TRIM($A$29),1))-64),(CODE(LEFT(TRIM($A$29),1))-64)*676+(CODE(MID(TRIM($A$29),2,1))-64)*26+(CODE(RIGHT(TRIM($A$29),1))-64))),"")</f>
        <v>0</v>
      </c>
      <c r="C29">
        <f>LOWER(TRIM(LEFT('Open Questions'!$C$26,200)))</f>
        <v>0</v>
      </c>
      <c r="D29">
        <f>LOWER(TRIM(LEFT($B$29,200)))</f>
        <v>0</v>
      </c>
      <c r="E29">
        <f>MAX(LEN($C$29)-3,0)</f>
        <v>0</v>
      </c>
      <c r="F29">
        <f>MAX(LEN($D$29)-3,0)</f>
        <v>0</v>
      </c>
      <c r="G29" cm="1">
        <f t="array" ref="G29">IF(OR($E$29&lt;=0,$F$29&lt;=0),0,SUMPRODUCT(--ISNUMBER(SEARCH(MID($C$29,_xlfn.SEQUENCE($E$29),4),$D$29))))</f>
        <v>0</v>
      </c>
      <c r="H29">
        <f>IF(OR($A$29="",$C$29="",$D$29="",$E$29&lt;=0,$F$29&lt;=0),"",$G$29/($E$29+$F$29-$G$29))</f>
        <v>0</v>
      </c>
      <c r="I29">
        <f>'Multiple Choice Questions'!$A$26</f>
        <v>0</v>
      </c>
      <c r="J29">
        <f>IFERROR(INDEX(Responses!$1:$1,1,CHOOSE(LEN(TRIM($I$29)),CODE(TRIM($I$29))-64,(CODE(LEFT(TRIM($I$29),1))-64)*26+(CODE(RIGHT(TRIM($I$29),1))-64),(CODE(LEFT(TRIM($I$29),1))-64)*676+(CODE(MID(TRIM($I$29),2,1))-64)*26+(CODE(RIGHT(TRIM($I$29),1))-64))),"")</f>
        <v>0</v>
      </c>
      <c r="K29">
        <f>LOWER(TRIM(LEFT('Multiple Choice Questions'!$C$26,200)))</f>
        <v>0</v>
      </c>
      <c r="L29">
        <f>LOWER(TRIM(LEFT($J$29,200)))</f>
        <v>0</v>
      </c>
      <c r="M29">
        <f>MAX(LEN($K$29)-3,0)</f>
        <v>0</v>
      </c>
      <c r="N29">
        <f>MAX(LEN($L$29)-3,0)</f>
        <v>0</v>
      </c>
      <c r="O29" cm="1">
        <f t="array" ref="O29">IF(OR($M$29&lt;=0,$N$29&lt;=0),0,SUMPRODUCT(--ISNUMBER(SEARCH(MID($K$29,_xlfn.SEQUENCE($M$29),4),$L$29))))</f>
        <v>0</v>
      </c>
      <c r="P29">
        <f>IF(OR($I$29="",$K$29="",$L$29="",$M$29&lt;=0,$N$29&lt;=0),"",$O$29/($M$29+$N$29-$O$29))</f>
        <v>0</v>
      </c>
      <c r="Q29">
        <f>'Hybrid Questions'!$A$26</f>
        <v>0</v>
      </c>
      <c r="R29">
        <f>IFERROR(INDEX(Responses!$1:$1,1,CHOOSE(LEN(TRIM($Q$29)),CODE(TRIM($Q$29))-64,(CODE(LEFT(TRIM($Q$29),1))-64)*26+(CODE(RIGHT(TRIM($Q$29),1))-64),(CODE(LEFT(TRIM($Q$29),1))-64)*676+(CODE(MID(TRIM($Q$29),2,1))-64)*26+(CODE(RIGHT(TRIM($Q$29),1))-64))),"")</f>
        <v>0</v>
      </c>
      <c r="S29">
        <f>LOWER(TRIM(LEFT('Hybrid Questions'!$C$26,200)))</f>
        <v>0</v>
      </c>
      <c r="T29">
        <f>LOWER(TRIM(LEFT($R$29,200)))</f>
        <v>0</v>
      </c>
      <c r="U29">
        <f>MAX(LEN($S$29)-3,0)</f>
        <v>0</v>
      </c>
      <c r="V29">
        <f>MAX(LEN($T$29)-3,0)</f>
        <v>0</v>
      </c>
      <c r="W29" cm="1">
        <f t="array" ref="W29">IF(OR($U$29&lt;=0,$V$29&lt;=0),0,SUMPRODUCT(--ISNUMBER(SEARCH(MID($S$29,_xlfn.SEQUENCE($U$29),4),$T$29))))</f>
        <v>0</v>
      </c>
      <c r="X29">
        <f>IF(OR($Q$29="",$S$29="",$T$29="",$U$29&lt;=0,$V$29&lt;=0),"",$W$29/($U$29+$V$29-$W$29))</f>
        <v>0</v>
      </c>
      <c r="Y29">
        <f>'Hybrid Questions'!$D$26</f>
        <v>0</v>
      </c>
      <c r="Z29">
        <f>IFERROR(INDEX(Responses!$1:$1,1,CHOOSE(LEN(TRIM($Y$29)),CODE(TRIM($Y$29))-64,(CODE(LEFT(TRIM($Y$29),1))-64)*26+(CODE(RIGHT(TRIM($Y$29),1))-64),(CODE(LEFT(TRIM($Y$29),1))-64)*676+(CODE(MID(TRIM($Y$29),2,1))-64)*26+(CODE(RIGHT(TRIM($Y$29),1))-64))),"")</f>
        <v>0</v>
      </c>
      <c r="AA29">
        <f>LOWER(TRIM(LEFT('Hybrid Questions'!$C$26,200)))</f>
        <v>0</v>
      </c>
      <c r="AB29">
        <f>LOWER(TRIM(LEFT($Z$29,200)))</f>
        <v>0</v>
      </c>
      <c r="AC29">
        <f>MAX(LEN($AA$29)-3,0)</f>
        <v>0</v>
      </c>
      <c r="AD29">
        <f>MAX(LEN($AB$29)-3,0)</f>
        <v>0</v>
      </c>
      <c r="AE29" cm="1">
        <f t="array" ref="AE29">IF(OR($AC$29&lt;=0,$AD$29&lt;=0),0,SUMPRODUCT(--ISNUMBER(SEARCH(MID($AA$29,_xlfn.SEQUENCE($AC$29),4),$AB$29))))</f>
        <v>0</v>
      </c>
      <c r="AF29">
        <f>IF(OR($Y$29="",$AA$29="",$AB$29="",$AC$29&lt;=0,$AD$29&lt;=0),"",$AE$29/($AC$29+$AD$29-$AE$29))</f>
        <v>0</v>
      </c>
    </row>
    <row r="30" spans="1:32">
      <c r="A30">
        <f>'Open Questions'!$A$27</f>
        <v>0</v>
      </c>
      <c r="B30">
        <f>IFERROR(INDEX(Responses!$1:$1,1,CHOOSE(LEN(TRIM($A$30)),CODE(TRIM($A$30))-64,(CODE(LEFT(TRIM($A$30),1))-64)*26+(CODE(RIGHT(TRIM($A$30),1))-64),(CODE(LEFT(TRIM($A$30),1))-64)*676+(CODE(MID(TRIM($A$30),2,1))-64)*26+(CODE(RIGHT(TRIM($A$30),1))-64))),"")</f>
        <v>0</v>
      </c>
      <c r="C30">
        <f>LOWER(TRIM(LEFT('Open Questions'!$C$27,200)))</f>
        <v>0</v>
      </c>
      <c r="D30">
        <f>LOWER(TRIM(LEFT($B$30,200)))</f>
        <v>0</v>
      </c>
      <c r="E30">
        <f>MAX(LEN($C$30)-3,0)</f>
        <v>0</v>
      </c>
      <c r="F30">
        <f>MAX(LEN($D$30)-3,0)</f>
        <v>0</v>
      </c>
      <c r="G30" cm="1">
        <f t="array" ref="G30">IF(OR($E$30&lt;=0,$F$30&lt;=0),0,SUMPRODUCT(--ISNUMBER(SEARCH(MID($C$30,_xlfn.SEQUENCE($E$30),4),$D$30))))</f>
        <v>0</v>
      </c>
      <c r="H30">
        <f>IF(OR($A$30="",$C$30="",$D$30="",$E$30&lt;=0,$F$30&lt;=0),"",$G$30/($E$30+$F$30-$G$30))</f>
        <v>0</v>
      </c>
      <c r="I30">
        <f>'Multiple Choice Questions'!$A$27</f>
        <v>0</v>
      </c>
      <c r="J30">
        <f>IFERROR(INDEX(Responses!$1:$1,1,CHOOSE(LEN(TRIM($I$30)),CODE(TRIM($I$30))-64,(CODE(LEFT(TRIM($I$30),1))-64)*26+(CODE(RIGHT(TRIM($I$30),1))-64),(CODE(LEFT(TRIM($I$30),1))-64)*676+(CODE(MID(TRIM($I$30),2,1))-64)*26+(CODE(RIGHT(TRIM($I$30),1))-64))),"")</f>
        <v>0</v>
      </c>
      <c r="K30">
        <f>LOWER(TRIM(LEFT('Multiple Choice Questions'!$C$27,200)))</f>
        <v>0</v>
      </c>
      <c r="L30">
        <f>LOWER(TRIM(LEFT($J$30,200)))</f>
        <v>0</v>
      </c>
      <c r="M30">
        <f>MAX(LEN($K$30)-3,0)</f>
        <v>0</v>
      </c>
      <c r="N30">
        <f>MAX(LEN($L$30)-3,0)</f>
        <v>0</v>
      </c>
      <c r="O30" cm="1">
        <f t="array" ref="O30">IF(OR($M$30&lt;=0,$N$30&lt;=0),0,SUMPRODUCT(--ISNUMBER(SEARCH(MID($K$30,_xlfn.SEQUENCE($M$30),4),$L$30))))</f>
        <v>0</v>
      </c>
      <c r="P30">
        <f>IF(OR($I$30="",$K$30="",$L$30="",$M$30&lt;=0,$N$30&lt;=0),"",$O$30/($M$30+$N$30-$O$30))</f>
        <v>0</v>
      </c>
      <c r="Q30">
        <f>'Hybrid Questions'!$A$27</f>
        <v>0</v>
      </c>
      <c r="R30">
        <f>IFERROR(INDEX(Responses!$1:$1,1,CHOOSE(LEN(TRIM($Q$30)),CODE(TRIM($Q$30))-64,(CODE(LEFT(TRIM($Q$30),1))-64)*26+(CODE(RIGHT(TRIM($Q$30),1))-64),(CODE(LEFT(TRIM($Q$30),1))-64)*676+(CODE(MID(TRIM($Q$30),2,1))-64)*26+(CODE(RIGHT(TRIM($Q$30),1))-64))),"")</f>
        <v>0</v>
      </c>
      <c r="S30">
        <f>LOWER(TRIM(LEFT('Hybrid Questions'!$C$27,200)))</f>
        <v>0</v>
      </c>
      <c r="T30">
        <f>LOWER(TRIM(LEFT($R$30,200)))</f>
        <v>0</v>
      </c>
      <c r="U30">
        <f>MAX(LEN($S$30)-3,0)</f>
        <v>0</v>
      </c>
      <c r="V30">
        <f>MAX(LEN($T$30)-3,0)</f>
        <v>0</v>
      </c>
      <c r="W30" cm="1">
        <f t="array" ref="W30">IF(OR($U$30&lt;=0,$V$30&lt;=0),0,SUMPRODUCT(--ISNUMBER(SEARCH(MID($S$30,_xlfn.SEQUENCE($U$30),4),$T$30))))</f>
        <v>0</v>
      </c>
      <c r="X30">
        <f>IF(OR($Q$30="",$S$30="",$T$30="",$U$30&lt;=0,$V$30&lt;=0),"",$W$30/($U$30+$V$30-$W$30))</f>
        <v>0</v>
      </c>
      <c r="Y30">
        <f>'Hybrid Questions'!$D$27</f>
        <v>0</v>
      </c>
      <c r="Z30">
        <f>IFERROR(INDEX(Responses!$1:$1,1,CHOOSE(LEN(TRIM($Y$30)),CODE(TRIM($Y$30))-64,(CODE(LEFT(TRIM($Y$30),1))-64)*26+(CODE(RIGHT(TRIM($Y$30),1))-64),(CODE(LEFT(TRIM($Y$30),1))-64)*676+(CODE(MID(TRIM($Y$30),2,1))-64)*26+(CODE(RIGHT(TRIM($Y$30),1))-64))),"")</f>
        <v>0</v>
      </c>
      <c r="AA30">
        <f>LOWER(TRIM(LEFT('Hybrid Questions'!$C$27,200)))</f>
        <v>0</v>
      </c>
      <c r="AB30">
        <f>LOWER(TRIM(LEFT($Z$30,200)))</f>
        <v>0</v>
      </c>
      <c r="AC30">
        <f>MAX(LEN($AA$30)-3,0)</f>
        <v>0</v>
      </c>
      <c r="AD30">
        <f>MAX(LEN($AB$30)-3,0)</f>
        <v>0</v>
      </c>
      <c r="AE30" cm="1">
        <f t="array" ref="AE30">IF(OR($AC$30&lt;=0,$AD$30&lt;=0),0,SUMPRODUCT(--ISNUMBER(SEARCH(MID($AA$30,_xlfn.SEQUENCE($AC$30),4),$AB$30))))</f>
        <v>0</v>
      </c>
      <c r="AF30">
        <f>IF(OR($Y$30="",$AA$30="",$AB$30="",$AC$30&lt;=0,$AD$30&lt;=0),"",$AE$30/($AC$30+$AD$30-$AE$30))</f>
        <v>0</v>
      </c>
    </row>
    <row r="31" spans="1:32">
      <c r="A31">
        <f>'Open Questions'!$A$28</f>
        <v>0</v>
      </c>
      <c r="B31">
        <f>IFERROR(INDEX(Responses!$1:$1,1,CHOOSE(LEN(TRIM($A$31)),CODE(TRIM($A$31))-64,(CODE(LEFT(TRIM($A$31),1))-64)*26+(CODE(RIGHT(TRIM($A$31),1))-64),(CODE(LEFT(TRIM($A$31),1))-64)*676+(CODE(MID(TRIM($A$31),2,1))-64)*26+(CODE(RIGHT(TRIM($A$31),1))-64))),"")</f>
        <v>0</v>
      </c>
      <c r="C31">
        <f>LOWER(TRIM(LEFT('Open Questions'!$C$28,200)))</f>
        <v>0</v>
      </c>
      <c r="D31">
        <f>LOWER(TRIM(LEFT($B$31,200)))</f>
        <v>0</v>
      </c>
      <c r="E31">
        <f>MAX(LEN($C$31)-3,0)</f>
        <v>0</v>
      </c>
      <c r="F31">
        <f>MAX(LEN($D$31)-3,0)</f>
        <v>0</v>
      </c>
      <c r="G31" cm="1">
        <f t="array" ref="G31">IF(OR($E$31&lt;=0,$F$31&lt;=0),0,SUMPRODUCT(--ISNUMBER(SEARCH(MID($C$31,_xlfn.SEQUENCE($E$31),4),$D$31))))</f>
        <v>0</v>
      </c>
      <c r="H31">
        <f>IF(OR($A$31="",$C$31="",$D$31="",$E$31&lt;=0,$F$31&lt;=0),"",$G$31/($E$31+$F$31-$G$31))</f>
        <v>0</v>
      </c>
      <c r="I31">
        <f>'Multiple Choice Questions'!$A$28</f>
        <v>0</v>
      </c>
      <c r="J31">
        <f>IFERROR(INDEX(Responses!$1:$1,1,CHOOSE(LEN(TRIM($I$31)),CODE(TRIM($I$31))-64,(CODE(LEFT(TRIM($I$31),1))-64)*26+(CODE(RIGHT(TRIM($I$31),1))-64),(CODE(LEFT(TRIM($I$31),1))-64)*676+(CODE(MID(TRIM($I$31),2,1))-64)*26+(CODE(RIGHT(TRIM($I$31),1))-64))),"")</f>
        <v>0</v>
      </c>
      <c r="K31">
        <f>LOWER(TRIM(LEFT('Multiple Choice Questions'!$C$28,200)))</f>
        <v>0</v>
      </c>
      <c r="L31">
        <f>LOWER(TRIM(LEFT($J$31,200)))</f>
        <v>0</v>
      </c>
      <c r="M31">
        <f>MAX(LEN($K$31)-3,0)</f>
        <v>0</v>
      </c>
      <c r="N31">
        <f>MAX(LEN($L$31)-3,0)</f>
        <v>0</v>
      </c>
      <c r="O31" cm="1">
        <f t="array" ref="O31">IF(OR($M$31&lt;=0,$N$31&lt;=0),0,SUMPRODUCT(--ISNUMBER(SEARCH(MID($K$31,_xlfn.SEQUENCE($M$31),4),$L$31))))</f>
        <v>0</v>
      </c>
      <c r="P31">
        <f>IF(OR($I$31="",$K$31="",$L$31="",$M$31&lt;=0,$N$31&lt;=0),"",$O$31/($M$31+$N$31-$O$31))</f>
        <v>0</v>
      </c>
      <c r="Q31">
        <f>'Hybrid Questions'!$A$28</f>
        <v>0</v>
      </c>
      <c r="R31">
        <f>IFERROR(INDEX(Responses!$1:$1,1,CHOOSE(LEN(TRIM($Q$31)),CODE(TRIM($Q$31))-64,(CODE(LEFT(TRIM($Q$31),1))-64)*26+(CODE(RIGHT(TRIM($Q$31),1))-64),(CODE(LEFT(TRIM($Q$31),1))-64)*676+(CODE(MID(TRIM($Q$31),2,1))-64)*26+(CODE(RIGHT(TRIM($Q$31),1))-64))),"")</f>
        <v>0</v>
      </c>
      <c r="S31">
        <f>LOWER(TRIM(LEFT('Hybrid Questions'!$C$28,200)))</f>
        <v>0</v>
      </c>
      <c r="T31">
        <f>LOWER(TRIM(LEFT($R$31,200)))</f>
        <v>0</v>
      </c>
      <c r="U31">
        <f>MAX(LEN($S$31)-3,0)</f>
        <v>0</v>
      </c>
      <c r="V31">
        <f>MAX(LEN($T$31)-3,0)</f>
        <v>0</v>
      </c>
      <c r="W31" cm="1">
        <f t="array" ref="W31">IF(OR($U$31&lt;=0,$V$31&lt;=0),0,SUMPRODUCT(--ISNUMBER(SEARCH(MID($S$31,_xlfn.SEQUENCE($U$31),4),$T$31))))</f>
        <v>0</v>
      </c>
      <c r="X31">
        <f>IF(OR($Q$31="",$S$31="",$T$31="",$U$31&lt;=0,$V$31&lt;=0),"",$W$31/($U$31+$V$31-$W$31))</f>
        <v>0</v>
      </c>
      <c r="Y31">
        <f>'Hybrid Questions'!$D$28</f>
        <v>0</v>
      </c>
      <c r="Z31">
        <f>IFERROR(INDEX(Responses!$1:$1,1,CHOOSE(LEN(TRIM($Y$31)),CODE(TRIM($Y$31))-64,(CODE(LEFT(TRIM($Y$31),1))-64)*26+(CODE(RIGHT(TRIM($Y$31),1))-64),(CODE(LEFT(TRIM($Y$31),1))-64)*676+(CODE(MID(TRIM($Y$31),2,1))-64)*26+(CODE(RIGHT(TRIM($Y$31),1))-64))),"")</f>
        <v>0</v>
      </c>
      <c r="AA31">
        <f>LOWER(TRIM(LEFT('Hybrid Questions'!$C$28,200)))</f>
        <v>0</v>
      </c>
      <c r="AB31">
        <f>LOWER(TRIM(LEFT($Z$31,200)))</f>
        <v>0</v>
      </c>
      <c r="AC31">
        <f>MAX(LEN($AA$31)-3,0)</f>
        <v>0</v>
      </c>
      <c r="AD31">
        <f>MAX(LEN($AB$31)-3,0)</f>
        <v>0</v>
      </c>
      <c r="AE31" cm="1">
        <f t="array" ref="AE31">IF(OR($AC$31&lt;=0,$AD$31&lt;=0),0,SUMPRODUCT(--ISNUMBER(SEARCH(MID($AA$31,_xlfn.SEQUENCE($AC$31),4),$AB$31))))</f>
        <v>0</v>
      </c>
      <c r="AF31">
        <f>IF(OR($Y$31="",$AA$31="",$AB$31="",$AC$31&lt;=0,$AD$31&lt;=0),"",$AE$31/($AC$31+$AD$31-$AE$31))</f>
        <v>0</v>
      </c>
    </row>
    <row r="32" spans="1:32">
      <c r="A32">
        <f>'Open Questions'!$A$29</f>
        <v>0</v>
      </c>
      <c r="B32">
        <f>IFERROR(INDEX(Responses!$1:$1,1,CHOOSE(LEN(TRIM($A$32)),CODE(TRIM($A$32))-64,(CODE(LEFT(TRIM($A$32),1))-64)*26+(CODE(RIGHT(TRIM($A$32),1))-64),(CODE(LEFT(TRIM($A$32),1))-64)*676+(CODE(MID(TRIM($A$32),2,1))-64)*26+(CODE(RIGHT(TRIM($A$32),1))-64))),"")</f>
        <v>0</v>
      </c>
      <c r="C32">
        <f>LOWER(TRIM(LEFT('Open Questions'!$C$29,200)))</f>
        <v>0</v>
      </c>
      <c r="D32">
        <f>LOWER(TRIM(LEFT($B$32,200)))</f>
        <v>0</v>
      </c>
      <c r="E32">
        <f>MAX(LEN($C$32)-3,0)</f>
        <v>0</v>
      </c>
      <c r="F32">
        <f>MAX(LEN($D$32)-3,0)</f>
        <v>0</v>
      </c>
      <c r="G32" cm="1">
        <f t="array" ref="G32">IF(OR($E$32&lt;=0,$F$32&lt;=0),0,SUMPRODUCT(--ISNUMBER(SEARCH(MID($C$32,_xlfn.SEQUENCE($E$32),4),$D$32))))</f>
        <v>0</v>
      </c>
      <c r="H32">
        <f>IF(OR($A$32="",$C$32="",$D$32="",$E$32&lt;=0,$F$32&lt;=0),"",$G$32/($E$32+$F$32-$G$32))</f>
        <v>0</v>
      </c>
      <c r="I32">
        <f>'Multiple Choice Questions'!$A$29</f>
        <v>0</v>
      </c>
      <c r="J32">
        <f>IFERROR(INDEX(Responses!$1:$1,1,CHOOSE(LEN(TRIM($I$32)),CODE(TRIM($I$32))-64,(CODE(LEFT(TRIM($I$32),1))-64)*26+(CODE(RIGHT(TRIM($I$32),1))-64),(CODE(LEFT(TRIM($I$32),1))-64)*676+(CODE(MID(TRIM($I$32),2,1))-64)*26+(CODE(RIGHT(TRIM($I$32),1))-64))),"")</f>
        <v>0</v>
      </c>
      <c r="K32">
        <f>LOWER(TRIM(LEFT('Multiple Choice Questions'!$C$29,200)))</f>
        <v>0</v>
      </c>
      <c r="L32">
        <f>LOWER(TRIM(LEFT($J$32,200)))</f>
        <v>0</v>
      </c>
      <c r="M32">
        <f>MAX(LEN($K$32)-3,0)</f>
        <v>0</v>
      </c>
      <c r="N32">
        <f>MAX(LEN($L$32)-3,0)</f>
        <v>0</v>
      </c>
      <c r="O32" cm="1">
        <f t="array" ref="O32">IF(OR($M$32&lt;=0,$N$32&lt;=0),0,SUMPRODUCT(--ISNUMBER(SEARCH(MID($K$32,_xlfn.SEQUENCE($M$32),4),$L$32))))</f>
        <v>0</v>
      </c>
      <c r="P32">
        <f>IF(OR($I$32="",$K$32="",$L$32="",$M$32&lt;=0,$N$32&lt;=0),"",$O$32/($M$32+$N$32-$O$32))</f>
        <v>0</v>
      </c>
      <c r="Q32">
        <f>'Hybrid Questions'!$A$29</f>
        <v>0</v>
      </c>
      <c r="R32">
        <f>IFERROR(INDEX(Responses!$1:$1,1,CHOOSE(LEN(TRIM($Q$32)),CODE(TRIM($Q$32))-64,(CODE(LEFT(TRIM($Q$32),1))-64)*26+(CODE(RIGHT(TRIM($Q$32),1))-64),(CODE(LEFT(TRIM($Q$32),1))-64)*676+(CODE(MID(TRIM($Q$32),2,1))-64)*26+(CODE(RIGHT(TRIM($Q$32),1))-64))),"")</f>
        <v>0</v>
      </c>
      <c r="S32">
        <f>LOWER(TRIM(LEFT('Hybrid Questions'!$C$29,200)))</f>
        <v>0</v>
      </c>
      <c r="T32">
        <f>LOWER(TRIM(LEFT($R$32,200)))</f>
        <v>0</v>
      </c>
      <c r="U32">
        <f>MAX(LEN($S$32)-3,0)</f>
        <v>0</v>
      </c>
      <c r="V32">
        <f>MAX(LEN($T$32)-3,0)</f>
        <v>0</v>
      </c>
      <c r="W32" cm="1">
        <f t="array" ref="W32">IF(OR($U$32&lt;=0,$V$32&lt;=0),0,SUMPRODUCT(--ISNUMBER(SEARCH(MID($S$32,_xlfn.SEQUENCE($U$32),4),$T$32))))</f>
        <v>0</v>
      </c>
      <c r="X32">
        <f>IF(OR($Q$32="",$S$32="",$T$32="",$U$32&lt;=0,$V$32&lt;=0),"",$W$32/($U$32+$V$32-$W$32))</f>
        <v>0</v>
      </c>
      <c r="Y32">
        <f>'Hybrid Questions'!$D$29</f>
        <v>0</v>
      </c>
      <c r="Z32">
        <f>IFERROR(INDEX(Responses!$1:$1,1,CHOOSE(LEN(TRIM($Y$32)),CODE(TRIM($Y$32))-64,(CODE(LEFT(TRIM($Y$32),1))-64)*26+(CODE(RIGHT(TRIM($Y$32),1))-64),(CODE(LEFT(TRIM($Y$32),1))-64)*676+(CODE(MID(TRIM($Y$32),2,1))-64)*26+(CODE(RIGHT(TRIM($Y$32),1))-64))),"")</f>
        <v>0</v>
      </c>
      <c r="AA32">
        <f>LOWER(TRIM(LEFT('Hybrid Questions'!$C$29,200)))</f>
        <v>0</v>
      </c>
      <c r="AB32">
        <f>LOWER(TRIM(LEFT($Z$32,200)))</f>
        <v>0</v>
      </c>
      <c r="AC32">
        <f>MAX(LEN($AA$32)-3,0)</f>
        <v>0</v>
      </c>
      <c r="AD32">
        <f>MAX(LEN($AB$32)-3,0)</f>
        <v>0</v>
      </c>
      <c r="AE32" cm="1">
        <f t="array" ref="AE32">IF(OR($AC$32&lt;=0,$AD$32&lt;=0),0,SUMPRODUCT(--ISNUMBER(SEARCH(MID($AA$32,_xlfn.SEQUENCE($AC$32),4),$AB$32))))</f>
        <v>0</v>
      </c>
      <c r="AF32">
        <f>IF(OR($Y$32="",$AA$32="",$AB$32="",$AC$32&lt;=0,$AD$32&lt;=0),"",$AE$32/($AC$32+$AD$32-$AE$32))</f>
        <v>0</v>
      </c>
    </row>
    <row r="33" spans="1:32">
      <c r="A33">
        <f>'Open Questions'!$A$30</f>
        <v>0</v>
      </c>
      <c r="B33">
        <f>IFERROR(INDEX(Responses!$1:$1,1,CHOOSE(LEN(TRIM($A$33)),CODE(TRIM($A$33))-64,(CODE(LEFT(TRIM($A$33),1))-64)*26+(CODE(RIGHT(TRIM($A$33),1))-64),(CODE(LEFT(TRIM($A$33),1))-64)*676+(CODE(MID(TRIM($A$33),2,1))-64)*26+(CODE(RIGHT(TRIM($A$33),1))-64))),"")</f>
        <v>0</v>
      </c>
      <c r="C33">
        <f>LOWER(TRIM(LEFT('Open Questions'!$C$30,200)))</f>
        <v>0</v>
      </c>
      <c r="D33">
        <f>LOWER(TRIM(LEFT($B$33,200)))</f>
        <v>0</v>
      </c>
      <c r="E33">
        <f>MAX(LEN($C$33)-3,0)</f>
        <v>0</v>
      </c>
      <c r="F33">
        <f>MAX(LEN($D$33)-3,0)</f>
        <v>0</v>
      </c>
      <c r="G33" cm="1">
        <f t="array" ref="G33">IF(OR($E$33&lt;=0,$F$33&lt;=0),0,SUMPRODUCT(--ISNUMBER(SEARCH(MID($C$33,_xlfn.SEQUENCE($E$33),4),$D$33))))</f>
        <v>0</v>
      </c>
      <c r="H33">
        <f>IF(OR($A$33="",$C$33="",$D$33="",$E$33&lt;=0,$F$33&lt;=0),"",$G$33/($E$33+$F$33-$G$33))</f>
        <v>0</v>
      </c>
      <c r="I33">
        <f>'Multiple Choice Questions'!$A$30</f>
        <v>0</v>
      </c>
      <c r="J33">
        <f>IFERROR(INDEX(Responses!$1:$1,1,CHOOSE(LEN(TRIM($I$33)),CODE(TRIM($I$33))-64,(CODE(LEFT(TRIM($I$33),1))-64)*26+(CODE(RIGHT(TRIM($I$33),1))-64),(CODE(LEFT(TRIM($I$33),1))-64)*676+(CODE(MID(TRIM($I$33),2,1))-64)*26+(CODE(RIGHT(TRIM($I$33),1))-64))),"")</f>
        <v>0</v>
      </c>
      <c r="K33">
        <f>LOWER(TRIM(LEFT('Multiple Choice Questions'!$C$30,200)))</f>
        <v>0</v>
      </c>
      <c r="L33">
        <f>LOWER(TRIM(LEFT($J$33,200)))</f>
        <v>0</v>
      </c>
      <c r="M33">
        <f>MAX(LEN($K$33)-3,0)</f>
        <v>0</v>
      </c>
      <c r="N33">
        <f>MAX(LEN($L$33)-3,0)</f>
        <v>0</v>
      </c>
      <c r="O33" cm="1">
        <f t="array" ref="O33">IF(OR($M$33&lt;=0,$N$33&lt;=0),0,SUMPRODUCT(--ISNUMBER(SEARCH(MID($K$33,_xlfn.SEQUENCE($M$33),4),$L$33))))</f>
        <v>0</v>
      </c>
      <c r="P33">
        <f>IF(OR($I$33="",$K$33="",$L$33="",$M$33&lt;=0,$N$33&lt;=0),"",$O$33/($M$33+$N$33-$O$33))</f>
        <v>0</v>
      </c>
      <c r="Q33">
        <f>'Hybrid Questions'!$A$30</f>
        <v>0</v>
      </c>
      <c r="R33">
        <f>IFERROR(INDEX(Responses!$1:$1,1,CHOOSE(LEN(TRIM($Q$33)),CODE(TRIM($Q$33))-64,(CODE(LEFT(TRIM($Q$33),1))-64)*26+(CODE(RIGHT(TRIM($Q$33),1))-64),(CODE(LEFT(TRIM($Q$33),1))-64)*676+(CODE(MID(TRIM($Q$33),2,1))-64)*26+(CODE(RIGHT(TRIM($Q$33),1))-64))),"")</f>
        <v>0</v>
      </c>
      <c r="S33">
        <f>LOWER(TRIM(LEFT('Hybrid Questions'!$C$30,200)))</f>
        <v>0</v>
      </c>
      <c r="T33">
        <f>LOWER(TRIM(LEFT($R$33,200)))</f>
        <v>0</v>
      </c>
      <c r="U33">
        <f>MAX(LEN($S$33)-3,0)</f>
        <v>0</v>
      </c>
      <c r="V33">
        <f>MAX(LEN($T$33)-3,0)</f>
        <v>0</v>
      </c>
      <c r="W33" cm="1">
        <f t="array" ref="W33">IF(OR($U$33&lt;=0,$V$33&lt;=0),0,SUMPRODUCT(--ISNUMBER(SEARCH(MID($S$33,_xlfn.SEQUENCE($U$33),4),$T$33))))</f>
        <v>0</v>
      </c>
      <c r="X33">
        <f>IF(OR($Q$33="",$S$33="",$T$33="",$U$33&lt;=0,$V$33&lt;=0),"",$W$33/($U$33+$V$33-$W$33))</f>
        <v>0</v>
      </c>
      <c r="Y33">
        <f>'Hybrid Questions'!$D$30</f>
        <v>0</v>
      </c>
      <c r="Z33">
        <f>IFERROR(INDEX(Responses!$1:$1,1,CHOOSE(LEN(TRIM($Y$33)),CODE(TRIM($Y$33))-64,(CODE(LEFT(TRIM($Y$33),1))-64)*26+(CODE(RIGHT(TRIM($Y$33),1))-64),(CODE(LEFT(TRIM($Y$33),1))-64)*676+(CODE(MID(TRIM($Y$33),2,1))-64)*26+(CODE(RIGHT(TRIM($Y$33),1))-64))),"")</f>
        <v>0</v>
      </c>
      <c r="AA33">
        <f>LOWER(TRIM(LEFT('Hybrid Questions'!$C$30,200)))</f>
        <v>0</v>
      </c>
      <c r="AB33">
        <f>LOWER(TRIM(LEFT($Z$33,200)))</f>
        <v>0</v>
      </c>
      <c r="AC33">
        <f>MAX(LEN($AA$33)-3,0)</f>
        <v>0</v>
      </c>
      <c r="AD33">
        <f>MAX(LEN($AB$33)-3,0)</f>
        <v>0</v>
      </c>
      <c r="AE33" cm="1">
        <f t="array" ref="AE33">IF(OR($AC$33&lt;=0,$AD$33&lt;=0),0,SUMPRODUCT(--ISNUMBER(SEARCH(MID($AA$33,_xlfn.SEQUENCE($AC$33),4),$AB$33))))</f>
        <v>0</v>
      </c>
      <c r="AF33">
        <f>IF(OR($Y$33="",$AA$33="",$AB$33="",$AC$33&lt;=0,$AD$33&lt;=0),"",$AE$33/($AC$33+$AD$33-$AE$33))</f>
        <v>0</v>
      </c>
    </row>
    <row r="34" spans="1:32">
      <c r="A34">
        <f>'Open Questions'!$A$31</f>
        <v>0</v>
      </c>
      <c r="B34">
        <f>IFERROR(INDEX(Responses!$1:$1,1,CHOOSE(LEN(TRIM($A$34)),CODE(TRIM($A$34))-64,(CODE(LEFT(TRIM($A$34),1))-64)*26+(CODE(RIGHT(TRIM($A$34),1))-64),(CODE(LEFT(TRIM($A$34),1))-64)*676+(CODE(MID(TRIM($A$34),2,1))-64)*26+(CODE(RIGHT(TRIM($A$34),1))-64))),"")</f>
        <v>0</v>
      </c>
      <c r="C34">
        <f>LOWER(TRIM(LEFT('Open Questions'!$C$31,200)))</f>
        <v>0</v>
      </c>
      <c r="D34">
        <f>LOWER(TRIM(LEFT($B$34,200)))</f>
        <v>0</v>
      </c>
      <c r="E34">
        <f>MAX(LEN($C$34)-3,0)</f>
        <v>0</v>
      </c>
      <c r="F34">
        <f>MAX(LEN($D$34)-3,0)</f>
        <v>0</v>
      </c>
      <c r="G34" cm="1">
        <f t="array" ref="G34">IF(OR($E$34&lt;=0,$F$34&lt;=0),0,SUMPRODUCT(--ISNUMBER(SEARCH(MID($C$34,_xlfn.SEQUENCE($E$34),4),$D$34))))</f>
        <v>0</v>
      </c>
      <c r="H34">
        <f>IF(OR($A$34="",$C$34="",$D$34="",$E$34&lt;=0,$F$34&lt;=0),"",$G$34/($E$34+$F$34-$G$34))</f>
        <v>0</v>
      </c>
      <c r="I34">
        <f>'Multiple Choice Questions'!$A$31</f>
        <v>0</v>
      </c>
      <c r="J34">
        <f>IFERROR(INDEX(Responses!$1:$1,1,CHOOSE(LEN(TRIM($I$34)),CODE(TRIM($I$34))-64,(CODE(LEFT(TRIM($I$34),1))-64)*26+(CODE(RIGHT(TRIM($I$34),1))-64),(CODE(LEFT(TRIM($I$34),1))-64)*676+(CODE(MID(TRIM($I$34),2,1))-64)*26+(CODE(RIGHT(TRIM($I$34),1))-64))),"")</f>
        <v>0</v>
      </c>
      <c r="K34">
        <f>LOWER(TRIM(LEFT('Multiple Choice Questions'!$C$31,200)))</f>
        <v>0</v>
      </c>
      <c r="L34">
        <f>LOWER(TRIM(LEFT($J$34,200)))</f>
        <v>0</v>
      </c>
      <c r="M34">
        <f>MAX(LEN($K$34)-3,0)</f>
        <v>0</v>
      </c>
      <c r="N34">
        <f>MAX(LEN($L$34)-3,0)</f>
        <v>0</v>
      </c>
      <c r="O34" cm="1">
        <f t="array" ref="O34">IF(OR($M$34&lt;=0,$N$34&lt;=0),0,SUMPRODUCT(--ISNUMBER(SEARCH(MID($K$34,_xlfn.SEQUENCE($M$34),4),$L$34))))</f>
        <v>0</v>
      </c>
      <c r="P34">
        <f>IF(OR($I$34="",$K$34="",$L$34="",$M$34&lt;=0,$N$34&lt;=0),"",$O$34/($M$34+$N$34-$O$34))</f>
        <v>0</v>
      </c>
      <c r="Q34">
        <f>'Hybrid Questions'!$A$31</f>
        <v>0</v>
      </c>
      <c r="R34">
        <f>IFERROR(INDEX(Responses!$1:$1,1,CHOOSE(LEN(TRIM($Q$34)),CODE(TRIM($Q$34))-64,(CODE(LEFT(TRIM($Q$34),1))-64)*26+(CODE(RIGHT(TRIM($Q$34),1))-64),(CODE(LEFT(TRIM($Q$34),1))-64)*676+(CODE(MID(TRIM($Q$34),2,1))-64)*26+(CODE(RIGHT(TRIM($Q$34),1))-64))),"")</f>
        <v>0</v>
      </c>
      <c r="S34">
        <f>LOWER(TRIM(LEFT('Hybrid Questions'!$C$31,200)))</f>
        <v>0</v>
      </c>
      <c r="T34">
        <f>LOWER(TRIM(LEFT($R$34,200)))</f>
        <v>0</v>
      </c>
      <c r="U34">
        <f>MAX(LEN($S$34)-3,0)</f>
        <v>0</v>
      </c>
      <c r="V34">
        <f>MAX(LEN($T$34)-3,0)</f>
        <v>0</v>
      </c>
      <c r="W34" cm="1">
        <f t="array" ref="W34">IF(OR($U$34&lt;=0,$V$34&lt;=0),0,SUMPRODUCT(--ISNUMBER(SEARCH(MID($S$34,_xlfn.SEQUENCE($U$34),4),$T$34))))</f>
        <v>0</v>
      </c>
      <c r="X34">
        <f>IF(OR($Q$34="",$S$34="",$T$34="",$U$34&lt;=0,$V$34&lt;=0),"",$W$34/($U$34+$V$34-$W$34))</f>
        <v>0</v>
      </c>
      <c r="Y34">
        <f>'Hybrid Questions'!$D$31</f>
        <v>0</v>
      </c>
      <c r="Z34">
        <f>IFERROR(INDEX(Responses!$1:$1,1,CHOOSE(LEN(TRIM($Y$34)),CODE(TRIM($Y$34))-64,(CODE(LEFT(TRIM($Y$34),1))-64)*26+(CODE(RIGHT(TRIM($Y$34),1))-64),(CODE(LEFT(TRIM($Y$34),1))-64)*676+(CODE(MID(TRIM($Y$34),2,1))-64)*26+(CODE(RIGHT(TRIM($Y$34),1))-64))),"")</f>
        <v>0</v>
      </c>
      <c r="AA34">
        <f>LOWER(TRIM(LEFT('Hybrid Questions'!$C$31,200)))</f>
        <v>0</v>
      </c>
      <c r="AB34">
        <f>LOWER(TRIM(LEFT($Z$34,200)))</f>
        <v>0</v>
      </c>
      <c r="AC34">
        <f>MAX(LEN($AA$34)-3,0)</f>
        <v>0</v>
      </c>
      <c r="AD34">
        <f>MAX(LEN($AB$34)-3,0)</f>
        <v>0</v>
      </c>
      <c r="AE34" cm="1">
        <f t="array" ref="AE34">IF(OR($AC$34&lt;=0,$AD$34&lt;=0),0,SUMPRODUCT(--ISNUMBER(SEARCH(MID($AA$34,_xlfn.SEQUENCE($AC$34),4),$AB$34))))</f>
        <v>0</v>
      </c>
      <c r="AF34">
        <f>IF(OR($Y$34="",$AA$34="",$AB$34="",$AC$34&lt;=0,$AD$34&lt;=0),"",$AE$34/($AC$34+$AD$34-$AE$34))</f>
        <v>0</v>
      </c>
    </row>
    <row r="35" spans="1:32">
      <c r="A35">
        <f>'Open Questions'!$A$32</f>
        <v>0</v>
      </c>
      <c r="B35">
        <f>IFERROR(INDEX(Responses!$1:$1,1,CHOOSE(LEN(TRIM($A$35)),CODE(TRIM($A$35))-64,(CODE(LEFT(TRIM($A$35),1))-64)*26+(CODE(RIGHT(TRIM($A$35),1))-64),(CODE(LEFT(TRIM($A$35),1))-64)*676+(CODE(MID(TRIM($A$35),2,1))-64)*26+(CODE(RIGHT(TRIM($A$35),1))-64))),"")</f>
        <v>0</v>
      </c>
      <c r="C35">
        <f>LOWER(TRIM(LEFT('Open Questions'!$C$32,200)))</f>
        <v>0</v>
      </c>
      <c r="D35">
        <f>LOWER(TRIM(LEFT($B$35,200)))</f>
        <v>0</v>
      </c>
      <c r="E35">
        <f>MAX(LEN($C$35)-3,0)</f>
        <v>0</v>
      </c>
      <c r="F35">
        <f>MAX(LEN($D$35)-3,0)</f>
        <v>0</v>
      </c>
      <c r="G35" cm="1">
        <f t="array" ref="G35">IF(OR($E$35&lt;=0,$F$35&lt;=0),0,SUMPRODUCT(--ISNUMBER(SEARCH(MID($C$35,_xlfn.SEQUENCE($E$35),4),$D$35))))</f>
        <v>0</v>
      </c>
      <c r="H35">
        <f>IF(OR($A$35="",$C$35="",$D$35="",$E$35&lt;=0,$F$35&lt;=0),"",$G$35/($E$35+$F$35-$G$35))</f>
        <v>0</v>
      </c>
      <c r="I35">
        <f>'Multiple Choice Questions'!$A$32</f>
        <v>0</v>
      </c>
      <c r="J35">
        <f>IFERROR(INDEX(Responses!$1:$1,1,CHOOSE(LEN(TRIM($I$35)),CODE(TRIM($I$35))-64,(CODE(LEFT(TRIM($I$35),1))-64)*26+(CODE(RIGHT(TRIM($I$35),1))-64),(CODE(LEFT(TRIM($I$35),1))-64)*676+(CODE(MID(TRIM($I$35),2,1))-64)*26+(CODE(RIGHT(TRIM($I$35),1))-64))),"")</f>
        <v>0</v>
      </c>
      <c r="K35">
        <f>LOWER(TRIM(LEFT('Multiple Choice Questions'!$C$32,200)))</f>
        <v>0</v>
      </c>
      <c r="L35">
        <f>LOWER(TRIM(LEFT($J$35,200)))</f>
        <v>0</v>
      </c>
      <c r="M35">
        <f>MAX(LEN($K$35)-3,0)</f>
        <v>0</v>
      </c>
      <c r="N35">
        <f>MAX(LEN($L$35)-3,0)</f>
        <v>0</v>
      </c>
      <c r="O35" cm="1">
        <f t="array" ref="O35">IF(OR($M$35&lt;=0,$N$35&lt;=0),0,SUMPRODUCT(--ISNUMBER(SEARCH(MID($K$35,_xlfn.SEQUENCE($M$35),4),$L$35))))</f>
        <v>0</v>
      </c>
      <c r="P35">
        <f>IF(OR($I$35="",$K$35="",$L$35="",$M$35&lt;=0,$N$35&lt;=0),"",$O$35/($M$35+$N$35-$O$35))</f>
        <v>0</v>
      </c>
      <c r="Q35">
        <f>'Hybrid Questions'!$A$32</f>
        <v>0</v>
      </c>
      <c r="R35">
        <f>IFERROR(INDEX(Responses!$1:$1,1,CHOOSE(LEN(TRIM($Q$35)),CODE(TRIM($Q$35))-64,(CODE(LEFT(TRIM($Q$35),1))-64)*26+(CODE(RIGHT(TRIM($Q$35),1))-64),(CODE(LEFT(TRIM($Q$35),1))-64)*676+(CODE(MID(TRIM($Q$35),2,1))-64)*26+(CODE(RIGHT(TRIM($Q$35),1))-64))),"")</f>
        <v>0</v>
      </c>
      <c r="S35">
        <f>LOWER(TRIM(LEFT('Hybrid Questions'!$C$32,200)))</f>
        <v>0</v>
      </c>
      <c r="T35">
        <f>LOWER(TRIM(LEFT($R$35,200)))</f>
        <v>0</v>
      </c>
      <c r="U35">
        <f>MAX(LEN($S$35)-3,0)</f>
        <v>0</v>
      </c>
      <c r="V35">
        <f>MAX(LEN($T$35)-3,0)</f>
        <v>0</v>
      </c>
      <c r="W35" cm="1">
        <f t="array" ref="W35">IF(OR($U$35&lt;=0,$V$35&lt;=0),0,SUMPRODUCT(--ISNUMBER(SEARCH(MID($S$35,_xlfn.SEQUENCE($U$35),4),$T$35))))</f>
        <v>0</v>
      </c>
      <c r="X35">
        <f>IF(OR($Q$35="",$S$35="",$T$35="",$U$35&lt;=0,$V$35&lt;=0),"",$W$35/($U$35+$V$35-$W$35))</f>
        <v>0</v>
      </c>
      <c r="Y35">
        <f>'Hybrid Questions'!$D$32</f>
        <v>0</v>
      </c>
      <c r="Z35">
        <f>IFERROR(INDEX(Responses!$1:$1,1,CHOOSE(LEN(TRIM($Y$35)),CODE(TRIM($Y$35))-64,(CODE(LEFT(TRIM($Y$35),1))-64)*26+(CODE(RIGHT(TRIM($Y$35),1))-64),(CODE(LEFT(TRIM($Y$35),1))-64)*676+(CODE(MID(TRIM($Y$35),2,1))-64)*26+(CODE(RIGHT(TRIM($Y$35),1))-64))),"")</f>
        <v>0</v>
      </c>
      <c r="AA35">
        <f>LOWER(TRIM(LEFT('Hybrid Questions'!$C$32,200)))</f>
        <v>0</v>
      </c>
      <c r="AB35">
        <f>LOWER(TRIM(LEFT($Z$35,200)))</f>
        <v>0</v>
      </c>
      <c r="AC35">
        <f>MAX(LEN($AA$35)-3,0)</f>
        <v>0</v>
      </c>
      <c r="AD35">
        <f>MAX(LEN($AB$35)-3,0)</f>
        <v>0</v>
      </c>
      <c r="AE35" cm="1">
        <f t="array" ref="AE35">IF(OR($AC$35&lt;=0,$AD$35&lt;=0),0,SUMPRODUCT(--ISNUMBER(SEARCH(MID($AA$35,_xlfn.SEQUENCE($AC$35),4),$AB$35))))</f>
        <v>0</v>
      </c>
      <c r="AF35">
        <f>IF(OR($Y$35="",$AA$35="",$AB$35="",$AC$35&lt;=0,$AD$35&lt;=0),"",$AE$35/($AC$35+$AD$35-$AE$35))</f>
        <v>0</v>
      </c>
    </row>
    <row r="36" spans="1:32">
      <c r="A36">
        <f>'Open Questions'!$A$33</f>
        <v>0</v>
      </c>
      <c r="B36">
        <f>IFERROR(INDEX(Responses!$1:$1,1,CHOOSE(LEN(TRIM($A$36)),CODE(TRIM($A$36))-64,(CODE(LEFT(TRIM($A$36),1))-64)*26+(CODE(RIGHT(TRIM($A$36),1))-64),(CODE(LEFT(TRIM($A$36),1))-64)*676+(CODE(MID(TRIM($A$36),2,1))-64)*26+(CODE(RIGHT(TRIM($A$36),1))-64))),"")</f>
        <v>0</v>
      </c>
      <c r="C36">
        <f>LOWER(TRIM(LEFT('Open Questions'!$C$33,200)))</f>
        <v>0</v>
      </c>
      <c r="D36">
        <f>LOWER(TRIM(LEFT($B$36,200)))</f>
        <v>0</v>
      </c>
      <c r="E36">
        <f>MAX(LEN($C$36)-3,0)</f>
        <v>0</v>
      </c>
      <c r="F36">
        <f>MAX(LEN($D$36)-3,0)</f>
        <v>0</v>
      </c>
      <c r="G36" cm="1">
        <f t="array" ref="G36">IF(OR($E$36&lt;=0,$F$36&lt;=0),0,SUMPRODUCT(--ISNUMBER(SEARCH(MID($C$36,_xlfn.SEQUENCE($E$36),4),$D$36))))</f>
        <v>0</v>
      </c>
      <c r="H36">
        <f>IF(OR($A$36="",$C$36="",$D$36="",$E$36&lt;=0,$F$36&lt;=0),"",$G$36/($E$36+$F$36-$G$36))</f>
        <v>0</v>
      </c>
      <c r="I36">
        <f>'Multiple Choice Questions'!$A$33</f>
        <v>0</v>
      </c>
      <c r="J36">
        <f>IFERROR(INDEX(Responses!$1:$1,1,CHOOSE(LEN(TRIM($I$36)),CODE(TRIM($I$36))-64,(CODE(LEFT(TRIM($I$36),1))-64)*26+(CODE(RIGHT(TRIM($I$36),1))-64),(CODE(LEFT(TRIM($I$36),1))-64)*676+(CODE(MID(TRIM($I$36),2,1))-64)*26+(CODE(RIGHT(TRIM($I$36),1))-64))),"")</f>
        <v>0</v>
      </c>
      <c r="K36">
        <f>LOWER(TRIM(LEFT('Multiple Choice Questions'!$C$33,200)))</f>
        <v>0</v>
      </c>
      <c r="L36">
        <f>LOWER(TRIM(LEFT($J$36,200)))</f>
        <v>0</v>
      </c>
      <c r="M36">
        <f>MAX(LEN($K$36)-3,0)</f>
        <v>0</v>
      </c>
      <c r="N36">
        <f>MAX(LEN($L$36)-3,0)</f>
        <v>0</v>
      </c>
      <c r="O36" cm="1">
        <f t="array" ref="O36">IF(OR($M$36&lt;=0,$N$36&lt;=0),0,SUMPRODUCT(--ISNUMBER(SEARCH(MID($K$36,_xlfn.SEQUENCE($M$36),4),$L$36))))</f>
        <v>0</v>
      </c>
      <c r="P36">
        <f>IF(OR($I$36="",$K$36="",$L$36="",$M$36&lt;=0,$N$36&lt;=0),"",$O$36/($M$36+$N$36-$O$36))</f>
        <v>0</v>
      </c>
      <c r="Q36">
        <f>'Hybrid Questions'!$A$33</f>
        <v>0</v>
      </c>
      <c r="R36">
        <f>IFERROR(INDEX(Responses!$1:$1,1,CHOOSE(LEN(TRIM($Q$36)),CODE(TRIM($Q$36))-64,(CODE(LEFT(TRIM($Q$36),1))-64)*26+(CODE(RIGHT(TRIM($Q$36),1))-64),(CODE(LEFT(TRIM($Q$36),1))-64)*676+(CODE(MID(TRIM($Q$36),2,1))-64)*26+(CODE(RIGHT(TRIM($Q$36),1))-64))),"")</f>
        <v>0</v>
      </c>
      <c r="S36">
        <f>LOWER(TRIM(LEFT('Hybrid Questions'!$C$33,200)))</f>
        <v>0</v>
      </c>
      <c r="T36">
        <f>LOWER(TRIM(LEFT($R$36,200)))</f>
        <v>0</v>
      </c>
      <c r="U36">
        <f>MAX(LEN($S$36)-3,0)</f>
        <v>0</v>
      </c>
      <c r="V36">
        <f>MAX(LEN($T$36)-3,0)</f>
        <v>0</v>
      </c>
      <c r="W36" cm="1">
        <f t="array" ref="W36">IF(OR($U$36&lt;=0,$V$36&lt;=0),0,SUMPRODUCT(--ISNUMBER(SEARCH(MID($S$36,_xlfn.SEQUENCE($U$36),4),$T$36))))</f>
        <v>0</v>
      </c>
      <c r="X36">
        <f>IF(OR($Q$36="",$S$36="",$T$36="",$U$36&lt;=0,$V$36&lt;=0),"",$W$36/($U$36+$V$36-$W$36))</f>
        <v>0</v>
      </c>
      <c r="Y36">
        <f>'Hybrid Questions'!$D$33</f>
        <v>0</v>
      </c>
      <c r="Z36">
        <f>IFERROR(INDEX(Responses!$1:$1,1,CHOOSE(LEN(TRIM($Y$36)),CODE(TRIM($Y$36))-64,(CODE(LEFT(TRIM($Y$36),1))-64)*26+(CODE(RIGHT(TRIM($Y$36),1))-64),(CODE(LEFT(TRIM($Y$36),1))-64)*676+(CODE(MID(TRIM($Y$36),2,1))-64)*26+(CODE(RIGHT(TRIM($Y$36),1))-64))),"")</f>
        <v>0</v>
      </c>
      <c r="AA36">
        <f>LOWER(TRIM(LEFT('Hybrid Questions'!$C$33,200)))</f>
        <v>0</v>
      </c>
      <c r="AB36">
        <f>LOWER(TRIM(LEFT($Z$36,200)))</f>
        <v>0</v>
      </c>
      <c r="AC36">
        <f>MAX(LEN($AA$36)-3,0)</f>
        <v>0</v>
      </c>
      <c r="AD36">
        <f>MAX(LEN($AB$36)-3,0)</f>
        <v>0</v>
      </c>
      <c r="AE36" cm="1">
        <f t="array" ref="AE36">IF(OR($AC$36&lt;=0,$AD$36&lt;=0),0,SUMPRODUCT(--ISNUMBER(SEARCH(MID($AA$36,_xlfn.SEQUENCE($AC$36),4),$AB$36))))</f>
        <v>0</v>
      </c>
      <c r="AF36">
        <f>IF(OR($Y$36="",$AA$36="",$AB$36="",$AC$36&lt;=0,$AD$36&lt;=0),"",$AE$36/($AC$36+$AD$36-$AE$36))</f>
        <v>0</v>
      </c>
    </row>
    <row r="37" spans="1:32">
      <c r="A37">
        <f>'Open Questions'!$A$34</f>
        <v>0</v>
      </c>
      <c r="B37">
        <f>IFERROR(INDEX(Responses!$1:$1,1,CHOOSE(LEN(TRIM($A$37)),CODE(TRIM($A$37))-64,(CODE(LEFT(TRIM($A$37),1))-64)*26+(CODE(RIGHT(TRIM($A$37),1))-64),(CODE(LEFT(TRIM($A$37),1))-64)*676+(CODE(MID(TRIM($A$37),2,1))-64)*26+(CODE(RIGHT(TRIM($A$37),1))-64))),"")</f>
        <v>0</v>
      </c>
      <c r="C37">
        <f>LOWER(TRIM(LEFT('Open Questions'!$C$34,200)))</f>
        <v>0</v>
      </c>
      <c r="D37">
        <f>LOWER(TRIM(LEFT($B$37,200)))</f>
        <v>0</v>
      </c>
      <c r="E37">
        <f>MAX(LEN($C$37)-3,0)</f>
        <v>0</v>
      </c>
      <c r="F37">
        <f>MAX(LEN($D$37)-3,0)</f>
        <v>0</v>
      </c>
      <c r="G37" cm="1">
        <f t="array" ref="G37">IF(OR($E$37&lt;=0,$F$37&lt;=0),0,SUMPRODUCT(--ISNUMBER(SEARCH(MID($C$37,_xlfn.SEQUENCE($E$37),4),$D$37))))</f>
        <v>0</v>
      </c>
      <c r="H37">
        <f>IF(OR($A$37="",$C$37="",$D$37="",$E$37&lt;=0,$F$37&lt;=0),"",$G$37/($E$37+$F$37-$G$37))</f>
        <v>0</v>
      </c>
      <c r="I37">
        <f>'Multiple Choice Questions'!$A$34</f>
        <v>0</v>
      </c>
      <c r="J37">
        <f>IFERROR(INDEX(Responses!$1:$1,1,CHOOSE(LEN(TRIM($I$37)),CODE(TRIM($I$37))-64,(CODE(LEFT(TRIM($I$37),1))-64)*26+(CODE(RIGHT(TRIM($I$37),1))-64),(CODE(LEFT(TRIM($I$37),1))-64)*676+(CODE(MID(TRIM($I$37),2,1))-64)*26+(CODE(RIGHT(TRIM($I$37),1))-64))),"")</f>
        <v>0</v>
      </c>
      <c r="K37">
        <f>LOWER(TRIM(LEFT('Multiple Choice Questions'!$C$34,200)))</f>
        <v>0</v>
      </c>
      <c r="L37">
        <f>LOWER(TRIM(LEFT($J$37,200)))</f>
        <v>0</v>
      </c>
      <c r="M37">
        <f>MAX(LEN($K$37)-3,0)</f>
        <v>0</v>
      </c>
      <c r="N37">
        <f>MAX(LEN($L$37)-3,0)</f>
        <v>0</v>
      </c>
      <c r="O37" cm="1">
        <f t="array" ref="O37">IF(OR($M$37&lt;=0,$N$37&lt;=0),0,SUMPRODUCT(--ISNUMBER(SEARCH(MID($K$37,_xlfn.SEQUENCE($M$37),4),$L$37))))</f>
        <v>0</v>
      </c>
      <c r="P37">
        <f>IF(OR($I$37="",$K$37="",$L$37="",$M$37&lt;=0,$N$37&lt;=0),"",$O$37/($M$37+$N$37-$O$37))</f>
        <v>0</v>
      </c>
      <c r="Q37">
        <f>'Hybrid Questions'!$A$34</f>
        <v>0</v>
      </c>
      <c r="R37">
        <f>IFERROR(INDEX(Responses!$1:$1,1,CHOOSE(LEN(TRIM($Q$37)),CODE(TRIM($Q$37))-64,(CODE(LEFT(TRIM($Q$37),1))-64)*26+(CODE(RIGHT(TRIM($Q$37),1))-64),(CODE(LEFT(TRIM($Q$37),1))-64)*676+(CODE(MID(TRIM($Q$37),2,1))-64)*26+(CODE(RIGHT(TRIM($Q$37),1))-64))),"")</f>
        <v>0</v>
      </c>
      <c r="S37">
        <f>LOWER(TRIM(LEFT('Hybrid Questions'!$C$34,200)))</f>
        <v>0</v>
      </c>
      <c r="T37">
        <f>LOWER(TRIM(LEFT($R$37,200)))</f>
        <v>0</v>
      </c>
      <c r="U37">
        <f>MAX(LEN($S$37)-3,0)</f>
        <v>0</v>
      </c>
      <c r="V37">
        <f>MAX(LEN($T$37)-3,0)</f>
        <v>0</v>
      </c>
      <c r="W37" cm="1">
        <f t="array" ref="W37">IF(OR($U$37&lt;=0,$V$37&lt;=0),0,SUMPRODUCT(--ISNUMBER(SEARCH(MID($S$37,_xlfn.SEQUENCE($U$37),4),$T$37))))</f>
        <v>0</v>
      </c>
      <c r="X37">
        <f>IF(OR($Q$37="",$S$37="",$T$37="",$U$37&lt;=0,$V$37&lt;=0),"",$W$37/($U$37+$V$37-$W$37))</f>
        <v>0</v>
      </c>
      <c r="Y37">
        <f>'Hybrid Questions'!$D$34</f>
        <v>0</v>
      </c>
      <c r="Z37">
        <f>IFERROR(INDEX(Responses!$1:$1,1,CHOOSE(LEN(TRIM($Y$37)),CODE(TRIM($Y$37))-64,(CODE(LEFT(TRIM($Y$37),1))-64)*26+(CODE(RIGHT(TRIM($Y$37),1))-64),(CODE(LEFT(TRIM($Y$37),1))-64)*676+(CODE(MID(TRIM($Y$37),2,1))-64)*26+(CODE(RIGHT(TRIM($Y$37),1))-64))),"")</f>
        <v>0</v>
      </c>
      <c r="AA37">
        <f>LOWER(TRIM(LEFT('Hybrid Questions'!$C$34,200)))</f>
        <v>0</v>
      </c>
      <c r="AB37">
        <f>LOWER(TRIM(LEFT($Z$37,200)))</f>
        <v>0</v>
      </c>
      <c r="AC37">
        <f>MAX(LEN($AA$37)-3,0)</f>
        <v>0</v>
      </c>
      <c r="AD37">
        <f>MAX(LEN($AB$37)-3,0)</f>
        <v>0</v>
      </c>
      <c r="AE37" cm="1">
        <f t="array" ref="AE37">IF(OR($AC$37&lt;=0,$AD$37&lt;=0),0,SUMPRODUCT(--ISNUMBER(SEARCH(MID($AA$37,_xlfn.SEQUENCE($AC$37),4),$AB$37))))</f>
        <v>0</v>
      </c>
      <c r="AF37">
        <f>IF(OR($Y$37="",$AA$37="",$AB$37="",$AC$37&lt;=0,$AD$37&lt;=0),"",$AE$37/($AC$37+$AD$37-$AE$37))</f>
        <v>0</v>
      </c>
    </row>
    <row r="38" spans="1:32">
      <c r="A38">
        <f>'Open Questions'!$A$35</f>
        <v>0</v>
      </c>
      <c r="B38">
        <f>IFERROR(INDEX(Responses!$1:$1,1,CHOOSE(LEN(TRIM($A$38)),CODE(TRIM($A$38))-64,(CODE(LEFT(TRIM($A$38),1))-64)*26+(CODE(RIGHT(TRIM($A$38),1))-64),(CODE(LEFT(TRIM($A$38),1))-64)*676+(CODE(MID(TRIM($A$38),2,1))-64)*26+(CODE(RIGHT(TRIM($A$38),1))-64))),"")</f>
        <v>0</v>
      </c>
      <c r="C38">
        <f>LOWER(TRIM(LEFT('Open Questions'!$C$35,200)))</f>
        <v>0</v>
      </c>
      <c r="D38">
        <f>LOWER(TRIM(LEFT($B$38,200)))</f>
        <v>0</v>
      </c>
      <c r="E38">
        <f>MAX(LEN($C$38)-3,0)</f>
        <v>0</v>
      </c>
      <c r="F38">
        <f>MAX(LEN($D$38)-3,0)</f>
        <v>0</v>
      </c>
      <c r="G38" cm="1">
        <f t="array" ref="G38">IF(OR($E$38&lt;=0,$F$38&lt;=0),0,SUMPRODUCT(--ISNUMBER(SEARCH(MID($C$38,_xlfn.SEQUENCE($E$38),4),$D$38))))</f>
        <v>0</v>
      </c>
      <c r="H38">
        <f>IF(OR($A$38="",$C$38="",$D$38="",$E$38&lt;=0,$F$38&lt;=0),"",$G$38/($E$38+$F$38-$G$38))</f>
        <v>0</v>
      </c>
      <c r="I38">
        <f>'Multiple Choice Questions'!$A$35</f>
        <v>0</v>
      </c>
      <c r="J38">
        <f>IFERROR(INDEX(Responses!$1:$1,1,CHOOSE(LEN(TRIM($I$38)),CODE(TRIM($I$38))-64,(CODE(LEFT(TRIM($I$38),1))-64)*26+(CODE(RIGHT(TRIM($I$38),1))-64),(CODE(LEFT(TRIM($I$38),1))-64)*676+(CODE(MID(TRIM($I$38),2,1))-64)*26+(CODE(RIGHT(TRIM($I$38),1))-64))),"")</f>
        <v>0</v>
      </c>
      <c r="K38">
        <f>LOWER(TRIM(LEFT('Multiple Choice Questions'!$C$35,200)))</f>
        <v>0</v>
      </c>
      <c r="L38">
        <f>LOWER(TRIM(LEFT($J$38,200)))</f>
        <v>0</v>
      </c>
      <c r="M38">
        <f>MAX(LEN($K$38)-3,0)</f>
        <v>0</v>
      </c>
      <c r="N38">
        <f>MAX(LEN($L$38)-3,0)</f>
        <v>0</v>
      </c>
      <c r="O38" cm="1">
        <f t="array" ref="O38">IF(OR($M$38&lt;=0,$N$38&lt;=0),0,SUMPRODUCT(--ISNUMBER(SEARCH(MID($K$38,_xlfn.SEQUENCE($M$38),4),$L$38))))</f>
        <v>0</v>
      </c>
      <c r="P38">
        <f>IF(OR($I$38="",$K$38="",$L$38="",$M$38&lt;=0,$N$38&lt;=0),"",$O$38/($M$38+$N$38-$O$38))</f>
        <v>0</v>
      </c>
      <c r="Q38">
        <f>'Hybrid Questions'!$A$35</f>
        <v>0</v>
      </c>
      <c r="R38">
        <f>IFERROR(INDEX(Responses!$1:$1,1,CHOOSE(LEN(TRIM($Q$38)),CODE(TRIM($Q$38))-64,(CODE(LEFT(TRIM($Q$38),1))-64)*26+(CODE(RIGHT(TRIM($Q$38),1))-64),(CODE(LEFT(TRIM($Q$38),1))-64)*676+(CODE(MID(TRIM($Q$38),2,1))-64)*26+(CODE(RIGHT(TRIM($Q$38),1))-64))),"")</f>
        <v>0</v>
      </c>
      <c r="S38">
        <f>LOWER(TRIM(LEFT('Hybrid Questions'!$C$35,200)))</f>
        <v>0</v>
      </c>
      <c r="T38">
        <f>LOWER(TRIM(LEFT($R$38,200)))</f>
        <v>0</v>
      </c>
      <c r="U38">
        <f>MAX(LEN($S$38)-3,0)</f>
        <v>0</v>
      </c>
      <c r="V38">
        <f>MAX(LEN($T$38)-3,0)</f>
        <v>0</v>
      </c>
      <c r="W38" cm="1">
        <f t="array" ref="W38">IF(OR($U$38&lt;=0,$V$38&lt;=0),0,SUMPRODUCT(--ISNUMBER(SEARCH(MID($S$38,_xlfn.SEQUENCE($U$38),4),$T$38))))</f>
        <v>0</v>
      </c>
      <c r="X38">
        <f>IF(OR($Q$38="",$S$38="",$T$38="",$U$38&lt;=0,$V$38&lt;=0),"",$W$38/($U$38+$V$38-$W$38))</f>
        <v>0</v>
      </c>
      <c r="Y38">
        <f>'Hybrid Questions'!$D$35</f>
        <v>0</v>
      </c>
      <c r="Z38">
        <f>IFERROR(INDEX(Responses!$1:$1,1,CHOOSE(LEN(TRIM($Y$38)),CODE(TRIM($Y$38))-64,(CODE(LEFT(TRIM($Y$38),1))-64)*26+(CODE(RIGHT(TRIM($Y$38),1))-64),(CODE(LEFT(TRIM($Y$38),1))-64)*676+(CODE(MID(TRIM($Y$38),2,1))-64)*26+(CODE(RIGHT(TRIM($Y$38),1))-64))),"")</f>
        <v>0</v>
      </c>
      <c r="AA38">
        <f>LOWER(TRIM(LEFT('Hybrid Questions'!$C$35,200)))</f>
        <v>0</v>
      </c>
      <c r="AB38">
        <f>LOWER(TRIM(LEFT($Z$38,200)))</f>
        <v>0</v>
      </c>
      <c r="AC38">
        <f>MAX(LEN($AA$38)-3,0)</f>
        <v>0</v>
      </c>
      <c r="AD38">
        <f>MAX(LEN($AB$38)-3,0)</f>
        <v>0</v>
      </c>
      <c r="AE38" cm="1">
        <f t="array" ref="AE38">IF(OR($AC$38&lt;=0,$AD$38&lt;=0),0,SUMPRODUCT(--ISNUMBER(SEARCH(MID($AA$38,_xlfn.SEQUENCE($AC$38),4),$AB$38))))</f>
        <v>0</v>
      </c>
      <c r="AF38">
        <f>IF(OR($Y$38="",$AA$38="",$AB$38="",$AC$38&lt;=0,$AD$38&lt;=0),"",$AE$38/($AC$38+$AD$38-$AE$38))</f>
        <v>0</v>
      </c>
    </row>
    <row r="39" spans="1:32">
      <c r="A39">
        <f>'Open Questions'!$A$36</f>
        <v>0</v>
      </c>
      <c r="B39">
        <f>IFERROR(INDEX(Responses!$1:$1,1,CHOOSE(LEN(TRIM($A$39)),CODE(TRIM($A$39))-64,(CODE(LEFT(TRIM($A$39),1))-64)*26+(CODE(RIGHT(TRIM($A$39),1))-64),(CODE(LEFT(TRIM($A$39),1))-64)*676+(CODE(MID(TRIM($A$39),2,1))-64)*26+(CODE(RIGHT(TRIM($A$39),1))-64))),"")</f>
        <v>0</v>
      </c>
      <c r="C39">
        <f>LOWER(TRIM(LEFT('Open Questions'!$C$36,200)))</f>
        <v>0</v>
      </c>
      <c r="D39">
        <f>LOWER(TRIM(LEFT($B$39,200)))</f>
        <v>0</v>
      </c>
      <c r="E39">
        <f>MAX(LEN($C$39)-3,0)</f>
        <v>0</v>
      </c>
      <c r="F39">
        <f>MAX(LEN($D$39)-3,0)</f>
        <v>0</v>
      </c>
      <c r="G39" cm="1">
        <f t="array" ref="G39">IF(OR($E$39&lt;=0,$F$39&lt;=0),0,SUMPRODUCT(--ISNUMBER(SEARCH(MID($C$39,_xlfn.SEQUENCE($E$39),4),$D$39))))</f>
        <v>0</v>
      </c>
      <c r="H39">
        <f>IF(OR($A$39="",$C$39="",$D$39="",$E$39&lt;=0,$F$39&lt;=0),"",$G$39/($E$39+$F$39-$G$39))</f>
        <v>0</v>
      </c>
      <c r="I39">
        <f>'Multiple Choice Questions'!$A$36</f>
        <v>0</v>
      </c>
      <c r="J39">
        <f>IFERROR(INDEX(Responses!$1:$1,1,CHOOSE(LEN(TRIM($I$39)),CODE(TRIM($I$39))-64,(CODE(LEFT(TRIM($I$39),1))-64)*26+(CODE(RIGHT(TRIM($I$39),1))-64),(CODE(LEFT(TRIM($I$39),1))-64)*676+(CODE(MID(TRIM($I$39),2,1))-64)*26+(CODE(RIGHT(TRIM($I$39),1))-64))),"")</f>
        <v>0</v>
      </c>
      <c r="K39">
        <f>LOWER(TRIM(LEFT('Multiple Choice Questions'!$C$36,200)))</f>
        <v>0</v>
      </c>
      <c r="L39">
        <f>LOWER(TRIM(LEFT($J$39,200)))</f>
        <v>0</v>
      </c>
      <c r="M39">
        <f>MAX(LEN($K$39)-3,0)</f>
        <v>0</v>
      </c>
      <c r="N39">
        <f>MAX(LEN($L$39)-3,0)</f>
        <v>0</v>
      </c>
      <c r="O39" cm="1">
        <f t="array" ref="O39">IF(OR($M$39&lt;=0,$N$39&lt;=0),0,SUMPRODUCT(--ISNUMBER(SEARCH(MID($K$39,_xlfn.SEQUENCE($M$39),4),$L$39))))</f>
        <v>0</v>
      </c>
      <c r="P39">
        <f>IF(OR($I$39="",$K$39="",$L$39="",$M$39&lt;=0,$N$39&lt;=0),"",$O$39/($M$39+$N$39-$O$39))</f>
        <v>0</v>
      </c>
      <c r="Q39">
        <f>'Hybrid Questions'!$A$36</f>
        <v>0</v>
      </c>
      <c r="R39">
        <f>IFERROR(INDEX(Responses!$1:$1,1,CHOOSE(LEN(TRIM($Q$39)),CODE(TRIM($Q$39))-64,(CODE(LEFT(TRIM($Q$39),1))-64)*26+(CODE(RIGHT(TRIM($Q$39),1))-64),(CODE(LEFT(TRIM($Q$39),1))-64)*676+(CODE(MID(TRIM($Q$39),2,1))-64)*26+(CODE(RIGHT(TRIM($Q$39),1))-64))),"")</f>
        <v>0</v>
      </c>
      <c r="S39">
        <f>LOWER(TRIM(LEFT('Hybrid Questions'!$C$36,200)))</f>
        <v>0</v>
      </c>
      <c r="T39">
        <f>LOWER(TRIM(LEFT($R$39,200)))</f>
        <v>0</v>
      </c>
      <c r="U39">
        <f>MAX(LEN($S$39)-3,0)</f>
        <v>0</v>
      </c>
      <c r="V39">
        <f>MAX(LEN($T$39)-3,0)</f>
        <v>0</v>
      </c>
      <c r="W39" cm="1">
        <f t="array" ref="W39">IF(OR($U$39&lt;=0,$V$39&lt;=0),0,SUMPRODUCT(--ISNUMBER(SEARCH(MID($S$39,_xlfn.SEQUENCE($U$39),4),$T$39))))</f>
        <v>0</v>
      </c>
      <c r="X39">
        <f>IF(OR($Q$39="",$S$39="",$T$39="",$U$39&lt;=0,$V$39&lt;=0),"",$W$39/($U$39+$V$39-$W$39))</f>
        <v>0</v>
      </c>
      <c r="Y39">
        <f>'Hybrid Questions'!$D$36</f>
        <v>0</v>
      </c>
      <c r="Z39">
        <f>IFERROR(INDEX(Responses!$1:$1,1,CHOOSE(LEN(TRIM($Y$39)),CODE(TRIM($Y$39))-64,(CODE(LEFT(TRIM($Y$39),1))-64)*26+(CODE(RIGHT(TRIM($Y$39),1))-64),(CODE(LEFT(TRIM($Y$39),1))-64)*676+(CODE(MID(TRIM($Y$39),2,1))-64)*26+(CODE(RIGHT(TRIM($Y$39),1))-64))),"")</f>
        <v>0</v>
      </c>
      <c r="AA39">
        <f>LOWER(TRIM(LEFT('Hybrid Questions'!$C$36,200)))</f>
        <v>0</v>
      </c>
      <c r="AB39">
        <f>LOWER(TRIM(LEFT($Z$39,200)))</f>
        <v>0</v>
      </c>
      <c r="AC39">
        <f>MAX(LEN($AA$39)-3,0)</f>
        <v>0</v>
      </c>
      <c r="AD39">
        <f>MAX(LEN($AB$39)-3,0)</f>
        <v>0</v>
      </c>
      <c r="AE39" cm="1">
        <f t="array" ref="AE39">IF(OR($AC$39&lt;=0,$AD$39&lt;=0),0,SUMPRODUCT(--ISNUMBER(SEARCH(MID($AA$39,_xlfn.SEQUENCE($AC$39),4),$AB$39))))</f>
        <v>0</v>
      </c>
      <c r="AF39">
        <f>IF(OR($Y$39="",$AA$39="",$AB$39="",$AC$39&lt;=0,$AD$39&lt;=0),"",$AE$39/($AC$39+$AD$39-$AE$39))</f>
        <v>0</v>
      </c>
    </row>
    <row r="40" spans="1:32">
      <c r="A40">
        <f>'Open Questions'!$A$37</f>
        <v>0</v>
      </c>
      <c r="B40">
        <f>IFERROR(INDEX(Responses!$1:$1,1,CHOOSE(LEN(TRIM($A$40)),CODE(TRIM($A$40))-64,(CODE(LEFT(TRIM($A$40),1))-64)*26+(CODE(RIGHT(TRIM($A$40),1))-64),(CODE(LEFT(TRIM($A$40),1))-64)*676+(CODE(MID(TRIM($A$40),2,1))-64)*26+(CODE(RIGHT(TRIM($A$40),1))-64))),"")</f>
        <v>0</v>
      </c>
      <c r="C40">
        <f>LOWER(TRIM(LEFT('Open Questions'!$C$37,200)))</f>
        <v>0</v>
      </c>
      <c r="D40">
        <f>LOWER(TRIM(LEFT($B$40,200)))</f>
        <v>0</v>
      </c>
      <c r="E40">
        <f>MAX(LEN($C$40)-3,0)</f>
        <v>0</v>
      </c>
      <c r="F40">
        <f>MAX(LEN($D$40)-3,0)</f>
        <v>0</v>
      </c>
      <c r="G40" cm="1">
        <f t="array" ref="G40">IF(OR($E$40&lt;=0,$F$40&lt;=0),0,SUMPRODUCT(--ISNUMBER(SEARCH(MID($C$40,_xlfn.SEQUENCE($E$40),4),$D$40))))</f>
        <v>0</v>
      </c>
      <c r="H40">
        <f>IF(OR($A$40="",$C$40="",$D$40="",$E$40&lt;=0,$F$40&lt;=0),"",$G$40/($E$40+$F$40-$G$40))</f>
        <v>0</v>
      </c>
      <c r="I40">
        <f>'Multiple Choice Questions'!$A$37</f>
        <v>0</v>
      </c>
      <c r="J40">
        <f>IFERROR(INDEX(Responses!$1:$1,1,CHOOSE(LEN(TRIM($I$40)),CODE(TRIM($I$40))-64,(CODE(LEFT(TRIM($I$40),1))-64)*26+(CODE(RIGHT(TRIM($I$40),1))-64),(CODE(LEFT(TRIM($I$40),1))-64)*676+(CODE(MID(TRIM($I$40),2,1))-64)*26+(CODE(RIGHT(TRIM($I$40),1))-64))),"")</f>
        <v>0</v>
      </c>
      <c r="K40">
        <f>LOWER(TRIM(LEFT('Multiple Choice Questions'!$C$37,200)))</f>
        <v>0</v>
      </c>
      <c r="L40">
        <f>LOWER(TRIM(LEFT($J$40,200)))</f>
        <v>0</v>
      </c>
      <c r="M40">
        <f>MAX(LEN($K$40)-3,0)</f>
        <v>0</v>
      </c>
      <c r="N40">
        <f>MAX(LEN($L$40)-3,0)</f>
        <v>0</v>
      </c>
      <c r="O40" cm="1">
        <f t="array" ref="O40">IF(OR($M$40&lt;=0,$N$40&lt;=0),0,SUMPRODUCT(--ISNUMBER(SEARCH(MID($K$40,_xlfn.SEQUENCE($M$40),4),$L$40))))</f>
        <v>0</v>
      </c>
      <c r="P40">
        <f>IF(OR($I$40="",$K$40="",$L$40="",$M$40&lt;=0,$N$40&lt;=0),"",$O$40/($M$40+$N$40-$O$40))</f>
        <v>0</v>
      </c>
      <c r="Q40">
        <f>'Hybrid Questions'!$A$37</f>
        <v>0</v>
      </c>
      <c r="R40">
        <f>IFERROR(INDEX(Responses!$1:$1,1,CHOOSE(LEN(TRIM($Q$40)),CODE(TRIM($Q$40))-64,(CODE(LEFT(TRIM($Q$40),1))-64)*26+(CODE(RIGHT(TRIM($Q$40),1))-64),(CODE(LEFT(TRIM($Q$40),1))-64)*676+(CODE(MID(TRIM($Q$40),2,1))-64)*26+(CODE(RIGHT(TRIM($Q$40),1))-64))),"")</f>
        <v>0</v>
      </c>
      <c r="S40">
        <f>LOWER(TRIM(LEFT('Hybrid Questions'!$C$37,200)))</f>
        <v>0</v>
      </c>
      <c r="T40">
        <f>LOWER(TRIM(LEFT($R$40,200)))</f>
        <v>0</v>
      </c>
      <c r="U40">
        <f>MAX(LEN($S$40)-3,0)</f>
        <v>0</v>
      </c>
      <c r="V40">
        <f>MAX(LEN($T$40)-3,0)</f>
        <v>0</v>
      </c>
      <c r="W40" cm="1">
        <f t="array" ref="W40">IF(OR($U$40&lt;=0,$V$40&lt;=0),0,SUMPRODUCT(--ISNUMBER(SEARCH(MID($S$40,_xlfn.SEQUENCE($U$40),4),$T$40))))</f>
        <v>0</v>
      </c>
      <c r="X40">
        <f>IF(OR($Q$40="",$S$40="",$T$40="",$U$40&lt;=0,$V$40&lt;=0),"",$W$40/($U$40+$V$40-$W$40))</f>
        <v>0</v>
      </c>
      <c r="Y40">
        <f>'Hybrid Questions'!$D$37</f>
        <v>0</v>
      </c>
      <c r="Z40">
        <f>IFERROR(INDEX(Responses!$1:$1,1,CHOOSE(LEN(TRIM($Y$40)),CODE(TRIM($Y$40))-64,(CODE(LEFT(TRIM($Y$40),1))-64)*26+(CODE(RIGHT(TRIM($Y$40),1))-64),(CODE(LEFT(TRIM($Y$40),1))-64)*676+(CODE(MID(TRIM($Y$40),2,1))-64)*26+(CODE(RIGHT(TRIM($Y$40),1))-64))),"")</f>
        <v>0</v>
      </c>
      <c r="AA40">
        <f>LOWER(TRIM(LEFT('Hybrid Questions'!$C$37,200)))</f>
        <v>0</v>
      </c>
      <c r="AB40">
        <f>LOWER(TRIM(LEFT($Z$40,200)))</f>
        <v>0</v>
      </c>
      <c r="AC40">
        <f>MAX(LEN($AA$40)-3,0)</f>
        <v>0</v>
      </c>
      <c r="AD40">
        <f>MAX(LEN($AB$40)-3,0)</f>
        <v>0</v>
      </c>
      <c r="AE40" cm="1">
        <f t="array" ref="AE40">IF(OR($AC$40&lt;=0,$AD$40&lt;=0),0,SUMPRODUCT(--ISNUMBER(SEARCH(MID($AA$40,_xlfn.SEQUENCE($AC$40),4),$AB$40))))</f>
        <v>0</v>
      </c>
      <c r="AF40">
        <f>IF(OR($Y$40="",$AA$40="",$AB$40="",$AC$40&lt;=0,$AD$40&lt;=0),"",$AE$40/($AC$40+$AD$40-$AE$40))</f>
        <v>0</v>
      </c>
    </row>
    <row r="41" spans="1:32">
      <c r="A41">
        <f>'Open Questions'!$A$38</f>
        <v>0</v>
      </c>
      <c r="B41">
        <f>IFERROR(INDEX(Responses!$1:$1,1,CHOOSE(LEN(TRIM($A$41)),CODE(TRIM($A$41))-64,(CODE(LEFT(TRIM($A$41),1))-64)*26+(CODE(RIGHT(TRIM($A$41),1))-64),(CODE(LEFT(TRIM($A$41),1))-64)*676+(CODE(MID(TRIM($A$41),2,1))-64)*26+(CODE(RIGHT(TRIM($A$41),1))-64))),"")</f>
        <v>0</v>
      </c>
      <c r="C41">
        <f>LOWER(TRIM(LEFT('Open Questions'!$C$38,200)))</f>
        <v>0</v>
      </c>
      <c r="D41">
        <f>LOWER(TRIM(LEFT($B$41,200)))</f>
        <v>0</v>
      </c>
      <c r="E41">
        <f>MAX(LEN($C$41)-3,0)</f>
        <v>0</v>
      </c>
      <c r="F41">
        <f>MAX(LEN($D$41)-3,0)</f>
        <v>0</v>
      </c>
      <c r="G41" cm="1">
        <f t="array" ref="G41">IF(OR($E$41&lt;=0,$F$41&lt;=0),0,SUMPRODUCT(--ISNUMBER(SEARCH(MID($C$41,_xlfn.SEQUENCE($E$41),4),$D$41))))</f>
        <v>0</v>
      </c>
      <c r="H41">
        <f>IF(OR($A$41="",$C$41="",$D$41="",$E$41&lt;=0,$F$41&lt;=0),"",$G$41/($E$41+$F$41-$G$41))</f>
        <v>0</v>
      </c>
      <c r="I41">
        <f>'Multiple Choice Questions'!$A$38</f>
        <v>0</v>
      </c>
      <c r="J41">
        <f>IFERROR(INDEX(Responses!$1:$1,1,CHOOSE(LEN(TRIM($I$41)),CODE(TRIM($I$41))-64,(CODE(LEFT(TRIM($I$41),1))-64)*26+(CODE(RIGHT(TRIM($I$41),1))-64),(CODE(LEFT(TRIM($I$41),1))-64)*676+(CODE(MID(TRIM($I$41),2,1))-64)*26+(CODE(RIGHT(TRIM($I$41),1))-64))),"")</f>
        <v>0</v>
      </c>
      <c r="K41">
        <f>LOWER(TRIM(LEFT('Multiple Choice Questions'!$C$38,200)))</f>
        <v>0</v>
      </c>
      <c r="L41">
        <f>LOWER(TRIM(LEFT($J$41,200)))</f>
        <v>0</v>
      </c>
      <c r="M41">
        <f>MAX(LEN($K$41)-3,0)</f>
        <v>0</v>
      </c>
      <c r="N41">
        <f>MAX(LEN($L$41)-3,0)</f>
        <v>0</v>
      </c>
      <c r="O41" cm="1">
        <f t="array" ref="O41">IF(OR($M$41&lt;=0,$N$41&lt;=0),0,SUMPRODUCT(--ISNUMBER(SEARCH(MID($K$41,_xlfn.SEQUENCE($M$41),4),$L$41))))</f>
        <v>0</v>
      </c>
      <c r="P41">
        <f>IF(OR($I$41="",$K$41="",$L$41="",$M$41&lt;=0,$N$41&lt;=0),"",$O$41/($M$41+$N$41-$O$41))</f>
        <v>0</v>
      </c>
      <c r="Q41">
        <f>'Hybrid Questions'!$A$38</f>
        <v>0</v>
      </c>
      <c r="R41">
        <f>IFERROR(INDEX(Responses!$1:$1,1,CHOOSE(LEN(TRIM($Q$41)),CODE(TRIM($Q$41))-64,(CODE(LEFT(TRIM($Q$41),1))-64)*26+(CODE(RIGHT(TRIM($Q$41),1))-64),(CODE(LEFT(TRIM($Q$41),1))-64)*676+(CODE(MID(TRIM($Q$41),2,1))-64)*26+(CODE(RIGHT(TRIM($Q$41),1))-64))),"")</f>
        <v>0</v>
      </c>
      <c r="S41">
        <f>LOWER(TRIM(LEFT('Hybrid Questions'!$C$38,200)))</f>
        <v>0</v>
      </c>
      <c r="T41">
        <f>LOWER(TRIM(LEFT($R$41,200)))</f>
        <v>0</v>
      </c>
      <c r="U41">
        <f>MAX(LEN($S$41)-3,0)</f>
        <v>0</v>
      </c>
      <c r="V41">
        <f>MAX(LEN($T$41)-3,0)</f>
        <v>0</v>
      </c>
      <c r="W41" cm="1">
        <f t="array" ref="W41">IF(OR($U$41&lt;=0,$V$41&lt;=0),0,SUMPRODUCT(--ISNUMBER(SEARCH(MID($S$41,_xlfn.SEQUENCE($U$41),4),$T$41))))</f>
        <v>0</v>
      </c>
      <c r="X41">
        <f>IF(OR($Q$41="",$S$41="",$T$41="",$U$41&lt;=0,$V$41&lt;=0),"",$W$41/($U$41+$V$41-$W$41))</f>
        <v>0</v>
      </c>
      <c r="Y41">
        <f>'Hybrid Questions'!$D$38</f>
        <v>0</v>
      </c>
      <c r="Z41">
        <f>IFERROR(INDEX(Responses!$1:$1,1,CHOOSE(LEN(TRIM($Y$41)),CODE(TRIM($Y$41))-64,(CODE(LEFT(TRIM($Y$41),1))-64)*26+(CODE(RIGHT(TRIM($Y$41),1))-64),(CODE(LEFT(TRIM($Y$41),1))-64)*676+(CODE(MID(TRIM($Y$41),2,1))-64)*26+(CODE(RIGHT(TRIM($Y$41),1))-64))),"")</f>
        <v>0</v>
      </c>
      <c r="AA41">
        <f>LOWER(TRIM(LEFT('Hybrid Questions'!$C$38,200)))</f>
        <v>0</v>
      </c>
      <c r="AB41">
        <f>LOWER(TRIM(LEFT($Z$41,200)))</f>
        <v>0</v>
      </c>
      <c r="AC41">
        <f>MAX(LEN($AA$41)-3,0)</f>
        <v>0</v>
      </c>
      <c r="AD41">
        <f>MAX(LEN($AB$41)-3,0)</f>
        <v>0</v>
      </c>
      <c r="AE41" cm="1">
        <f t="array" ref="AE41">IF(OR($AC$41&lt;=0,$AD$41&lt;=0),0,SUMPRODUCT(--ISNUMBER(SEARCH(MID($AA$41,_xlfn.SEQUENCE($AC$41),4),$AB$41))))</f>
        <v>0</v>
      </c>
      <c r="AF41">
        <f>IF(OR($Y$41="",$AA$41="",$AB$41="",$AC$41&lt;=0,$AD$41&lt;=0),"",$AE$41/($AC$41+$AD$41-$AE$41))</f>
        <v>0</v>
      </c>
    </row>
    <row r="42" spans="1:32">
      <c r="A42">
        <f>'Open Questions'!$A$39</f>
        <v>0</v>
      </c>
      <c r="B42">
        <f>IFERROR(INDEX(Responses!$1:$1,1,CHOOSE(LEN(TRIM($A$42)),CODE(TRIM($A$42))-64,(CODE(LEFT(TRIM($A$42),1))-64)*26+(CODE(RIGHT(TRIM($A$42),1))-64),(CODE(LEFT(TRIM($A$42),1))-64)*676+(CODE(MID(TRIM($A$42),2,1))-64)*26+(CODE(RIGHT(TRIM($A$42),1))-64))),"")</f>
        <v>0</v>
      </c>
      <c r="C42">
        <f>LOWER(TRIM(LEFT('Open Questions'!$C$39,200)))</f>
        <v>0</v>
      </c>
      <c r="D42">
        <f>LOWER(TRIM(LEFT($B$42,200)))</f>
        <v>0</v>
      </c>
      <c r="E42">
        <f>MAX(LEN($C$42)-3,0)</f>
        <v>0</v>
      </c>
      <c r="F42">
        <f>MAX(LEN($D$42)-3,0)</f>
        <v>0</v>
      </c>
      <c r="G42" cm="1">
        <f t="array" ref="G42">IF(OR($E$42&lt;=0,$F$42&lt;=0),0,SUMPRODUCT(--ISNUMBER(SEARCH(MID($C$42,_xlfn.SEQUENCE($E$42),4),$D$42))))</f>
        <v>0</v>
      </c>
      <c r="H42">
        <f>IF(OR($A$42="",$C$42="",$D$42="",$E$42&lt;=0,$F$42&lt;=0),"",$G$42/($E$42+$F$42-$G$42))</f>
        <v>0</v>
      </c>
      <c r="I42">
        <f>'Multiple Choice Questions'!$A$39</f>
        <v>0</v>
      </c>
      <c r="J42">
        <f>IFERROR(INDEX(Responses!$1:$1,1,CHOOSE(LEN(TRIM($I$42)),CODE(TRIM($I$42))-64,(CODE(LEFT(TRIM($I$42),1))-64)*26+(CODE(RIGHT(TRIM($I$42),1))-64),(CODE(LEFT(TRIM($I$42),1))-64)*676+(CODE(MID(TRIM($I$42),2,1))-64)*26+(CODE(RIGHT(TRIM($I$42),1))-64))),"")</f>
        <v>0</v>
      </c>
      <c r="K42">
        <f>LOWER(TRIM(LEFT('Multiple Choice Questions'!$C$39,200)))</f>
        <v>0</v>
      </c>
      <c r="L42">
        <f>LOWER(TRIM(LEFT($J$42,200)))</f>
        <v>0</v>
      </c>
      <c r="M42">
        <f>MAX(LEN($K$42)-3,0)</f>
        <v>0</v>
      </c>
      <c r="N42">
        <f>MAX(LEN($L$42)-3,0)</f>
        <v>0</v>
      </c>
      <c r="O42" cm="1">
        <f t="array" ref="O42">IF(OR($M$42&lt;=0,$N$42&lt;=0),0,SUMPRODUCT(--ISNUMBER(SEARCH(MID($K$42,_xlfn.SEQUENCE($M$42),4),$L$42))))</f>
        <v>0</v>
      </c>
      <c r="P42">
        <f>IF(OR($I$42="",$K$42="",$L$42="",$M$42&lt;=0,$N$42&lt;=0),"",$O$42/($M$42+$N$42-$O$42))</f>
        <v>0</v>
      </c>
      <c r="Q42">
        <f>'Hybrid Questions'!$A$39</f>
        <v>0</v>
      </c>
      <c r="R42">
        <f>IFERROR(INDEX(Responses!$1:$1,1,CHOOSE(LEN(TRIM($Q$42)),CODE(TRIM($Q$42))-64,(CODE(LEFT(TRIM($Q$42),1))-64)*26+(CODE(RIGHT(TRIM($Q$42),1))-64),(CODE(LEFT(TRIM($Q$42),1))-64)*676+(CODE(MID(TRIM($Q$42),2,1))-64)*26+(CODE(RIGHT(TRIM($Q$42),1))-64))),"")</f>
        <v>0</v>
      </c>
      <c r="S42">
        <f>LOWER(TRIM(LEFT('Hybrid Questions'!$C$39,200)))</f>
        <v>0</v>
      </c>
      <c r="T42">
        <f>LOWER(TRIM(LEFT($R$42,200)))</f>
        <v>0</v>
      </c>
      <c r="U42">
        <f>MAX(LEN($S$42)-3,0)</f>
        <v>0</v>
      </c>
      <c r="V42">
        <f>MAX(LEN($T$42)-3,0)</f>
        <v>0</v>
      </c>
      <c r="W42" cm="1">
        <f t="array" ref="W42">IF(OR($U$42&lt;=0,$V$42&lt;=0),0,SUMPRODUCT(--ISNUMBER(SEARCH(MID($S$42,_xlfn.SEQUENCE($U$42),4),$T$42))))</f>
        <v>0</v>
      </c>
      <c r="X42">
        <f>IF(OR($Q$42="",$S$42="",$T$42="",$U$42&lt;=0,$V$42&lt;=0),"",$W$42/($U$42+$V$42-$W$42))</f>
        <v>0</v>
      </c>
      <c r="Y42">
        <f>'Hybrid Questions'!$D$39</f>
        <v>0</v>
      </c>
      <c r="Z42">
        <f>IFERROR(INDEX(Responses!$1:$1,1,CHOOSE(LEN(TRIM($Y$42)),CODE(TRIM($Y$42))-64,(CODE(LEFT(TRIM($Y$42),1))-64)*26+(CODE(RIGHT(TRIM($Y$42),1))-64),(CODE(LEFT(TRIM($Y$42),1))-64)*676+(CODE(MID(TRIM($Y$42),2,1))-64)*26+(CODE(RIGHT(TRIM($Y$42),1))-64))),"")</f>
        <v>0</v>
      </c>
      <c r="AA42">
        <f>LOWER(TRIM(LEFT('Hybrid Questions'!$C$39,200)))</f>
        <v>0</v>
      </c>
      <c r="AB42">
        <f>LOWER(TRIM(LEFT($Z$42,200)))</f>
        <v>0</v>
      </c>
      <c r="AC42">
        <f>MAX(LEN($AA$42)-3,0)</f>
        <v>0</v>
      </c>
      <c r="AD42">
        <f>MAX(LEN($AB$42)-3,0)</f>
        <v>0</v>
      </c>
      <c r="AE42" cm="1">
        <f t="array" ref="AE42">IF(OR($AC$42&lt;=0,$AD$42&lt;=0),0,SUMPRODUCT(--ISNUMBER(SEARCH(MID($AA$42,_xlfn.SEQUENCE($AC$42),4),$AB$42))))</f>
        <v>0</v>
      </c>
      <c r="AF42">
        <f>IF(OR($Y$42="",$AA$42="",$AB$42="",$AC$42&lt;=0,$AD$42&lt;=0),"",$AE$42/($AC$42+$AD$42-$AE$42))</f>
        <v>0</v>
      </c>
    </row>
    <row r="43" spans="1:32">
      <c r="A43">
        <f>'Open Questions'!$A$40</f>
        <v>0</v>
      </c>
      <c r="B43">
        <f>IFERROR(INDEX(Responses!$1:$1,1,CHOOSE(LEN(TRIM($A$43)),CODE(TRIM($A$43))-64,(CODE(LEFT(TRIM($A$43),1))-64)*26+(CODE(RIGHT(TRIM($A$43),1))-64),(CODE(LEFT(TRIM($A$43),1))-64)*676+(CODE(MID(TRIM($A$43),2,1))-64)*26+(CODE(RIGHT(TRIM($A$43),1))-64))),"")</f>
        <v>0</v>
      </c>
      <c r="C43">
        <f>LOWER(TRIM(LEFT('Open Questions'!$C$40,200)))</f>
        <v>0</v>
      </c>
      <c r="D43">
        <f>LOWER(TRIM(LEFT($B$43,200)))</f>
        <v>0</v>
      </c>
      <c r="E43">
        <f>MAX(LEN($C$43)-3,0)</f>
        <v>0</v>
      </c>
      <c r="F43">
        <f>MAX(LEN($D$43)-3,0)</f>
        <v>0</v>
      </c>
      <c r="G43" cm="1">
        <f t="array" ref="G43">IF(OR($E$43&lt;=0,$F$43&lt;=0),0,SUMPRODUCT(--ISNUMBER(SEARCH(MID($C$43,_xlfn.SEQUENCE($E$43),4),$D$43))))</f>
        <v>0</v>
      </c>
      <c r="H43">
        <f>IF(OR($A$43="",$C$43="",$D$43="",$E$43&lt;=0,$F$43&lt;=0),"",$G$43/($E$43+$F$43-$G$43))</f>
        <v>0</v>
      </c>
      <c r="I43">
        <f>'Multiple Choice Questions'!$A$40</f>
        <v>0</v>
      </c>
      <c r="J43">
        <f>IFERROR(INDEX(Responses!$1:$1,1,CHOOSE(LEN(TRIM($I$43)),CODE(TRIM($I$43))-64,(CODE(LEFT(TRIM($I$43),1))-64)*26+(CODE(RIGHT(TRIM($I$43),1))-64),(CODE(LEFT(TRIM($I$43),1))-64)*676+(CODE(MID(TRIM($I$43),2,1))-64)*26+(CODE(RIGHT(TRIM($I$43),1))-64))),"")</f>
        <v>0</v>
      </c>
      <c r="K43">
        <f>LOWER(TRIM(LEFT('Multiple Choice Questions'!$C$40,200)))</f>
        <v>0</v>
      </c>
      <c r="L43">
        <f>LOWER(TRIM(LEFT($J$43,200)))</f>
        <v>0</v>
      </c>
      <c r="M43">
        <f>MAX(LEN($K$43)-3,0)</f>
        <v>0</v>
      </c>
      <c r="N43">
        <f>MAX(LEN($L$43)-3,0)</f>
        <v>0</v>
      </c>
      <c r="O43" cm="1">
        <f t="array" ref="O43">IF(OR($M$43&lt;=0,$N$43&lt;=0),0,SUMPRODUCT(--ISNUMBER(SEARCH(MID($K$43,_xlfn.SEQUENCE($M$43),4),$L$43))))</f>
        <v>0</v>
      </c>
      <c r="P43">
        <f>IF(OR($I$43="",$K$43="",$L$43="",$M$43&lt;=0,$N$43&lt;=0),"",$O$43/($M$43+$N$43-$O$43))</f>
        <v>0</v>
      </c>
      <c r="Q43">
        <f>'Hybrid Questions'!$A$40</f>
        <v>0</v>
      </c>
      <c r="R43">
        <f>IFERROR(INDEX(Responses!$1:$1,1,CHOOSE(LEN(TRIM($Q$43)),CODE(TRIM($Q$43))-64,(CODE(LEFT(TRIM($Q$43),1))-64)*26+(CODE(RIGHT(TRIM($Q$43),1))-64),(CODE(LEFT(TRIM($Q$43),1))-64)*676+(CODE(MID(TRIM($Q$43),2,1))-64)*26+(CODE(RIGHT(TRIM($Q$43),1))-64))),"")</f>
        <v>0</v>
      </c>
      <c r="S43">
        <f>LOWER(TRIM(LEFT('Hybrid Questions'!$C$40,200)))</f>
        <v>0</v>
      </c>
      <c r="T43">
        <f>LOWER(TRIM(LEFT($R$43,200)))</f>
        <v>0</v>
      </c>
      <c r="U43">
        <f>MAX(LEN($S$43)-3,0)</f>
        <v>0</v>
      </c>
      <c r="V43">
        <f>MAX(LEN($T$43)-3,0)</f>
        <v>0</v>
      </c>
      <c r="W43" cm="1">
        <f t="array" ref="W43">IF(OR($U$43&lt;=0,$V$43&lt;=0),0,SUMPRODUCT(--ISNUMBER(SEARCH(MID($S$43,_xlfn.SEQUENCE($U$43),4),$T$43))))</f>
        <v>0</v>
      </c>
      <c r="X43">
        <f>IF(OR($Q$43="",$S$43="",$T$43="",$U$43&lt;=0,$V$43&lt;=0),"",$W$43/($U$43+$V$43-$W$43))</f>
        <v>0</v>
      </c>
      <c r="Y43">
        <f>'Hybrid Questions'!$D$40</f>
        <v>0</v>
      </c>
      <c r="Z43">
        <f>IFERROR(INDEX(Responses!$1:$1,1,CHOOSE(LEN(TRIM($Y$43)),CODE(TRIM($Y$43))-64,(CODE(LEFT(TRIM($Y$43),1))-64)*26+(CODE(RIGHT(TRIM($Y$43),1))-64),(CODE(LEFT(TRIM($Y$43),1))-64)*676+(CODE(MID(TRIM($Y$43),2,1))-64)*26+(CODE(RIGHT(TRIM($Y$43),1))-64))),"")</f>
        <v>0</v>
      </c>
      <c r="AA43">
        <f>LOWER(TRIM(LEFT('Hybrid Questions'!$C$40,200)))</f>
        <v>0</v>
      </c>
      <c r="AB43">
        <f>LOWER(TRIM(LEFT($Z$43,200)))</f>
        <v>0</v>
      </c>
      <c r="AC43">
        <f>MAX(LEN($AA$43)-3,0)</f>
        <v>0</v>
      </c>
      <c r="AD43">
        <f>MAX(LEN($AB$43)-3,0)</f>
        <v>0</v>
      </c>
      <c r="AE43" cm="1">
        <f t="array" ref="AE43">IF(OR($AC$43&lt;=0,$AD$43&lt;=0),0,SUMPRODUCT(--ISNUMBER(SEARCH(MID($AA$43,_xlfn.SEQUENCE($AC$43),4),$AB$43))))</f>
        <v>0</v>
      </c>
      <c r="AF43">
        <f>IF(OR($Y$43="",$AA$43="",$AB$43="",$AC$43&lt;=0,$AD$43&lt;=0),"",$AE$43/($AC$43+$AD$43-$AE$43))</f>
        <v>0</v>
      </c>
    </row>
    <row r="44" spans="1:32">
      <c r="A44">
        <f>'Open Questions'!$A$41</f>
        <v>0</v>
      </c>
      <c r="B44">
        <f>IFERROR(INDEX(Responses!$1:$1,1,CHOOSE(LEN(TRIM($A$44)),CODE(TRIM($A$44))-64,(CODE(LEFT(TRIM($A$44),1))-64)*26+(CODE(RIGHT(TRIM($A$44),1))-64),(CODE(LEFT(TRIM($A$44),1))-64)*676+(CODE(MID(TRIM($A$44),2,1))-64)*26+(CODE(RIGHT(TRIM($A$44),1))-64))),"")</f>
        <v>0</v>
      </c>
      <c r="C44">
        <f>LOWER(TRIM(LEFT('Open Questions'!$C$41,200)))</f>
        <v>0</v>
      </c>
      <c r="D44">
        <f>LOWER(TRIM(LEFT($B$44,200)))</f>
        <v>0</v>
      </c>
      <c r="E44">
        <f>MAX(LEN($C$44)-3,0)</f>
        <v>0</v>
      </c>
      <c r="F44">
        <f>MAX(LEN($D$44)-3,0)</f>
        <v>0</v>
      </c>
      <c r="G44" cm="1">
        <f t="array" ref="G44">IF(OR($E$44&lt;=0,$F$44&lt;=0),0,SUMPRODUCT(--ISNUMBER(SEARCH(MID($C$44,_xlfn.SEQUENCE($E$44),4),$D$44))))</f>
        <v>0</v>
      </c>
      <c r="H44">
        <f>IF(OR($A$44="",$C$44="",$D$44="",$E$44&lt;=0,$F$44&lt;=0),"",$G$44/($E$44+$F$44-$G$44))</f>
        <v>0</v>
      </c>
      <c r="I44">
        <f>'Multiple Choice Questions'!$A$41</f>
        <v>0</v>
      </c>
      <c r="J44">
        <f>IFERROR(INDEX(Responses!$1:$1,1,CHOOSE(LEN(TRIM($I$44)),CODE(TRIM($I$44))-64,(CODE(LEFT(TRIM($I$44),1))-64)*26+(CODE(RIGHT(TRIM($I$44),1))-64),(CODE(LEFT(TRIM($I$44),1))-64)*676+(CODE(MID(TRIM($I$44),2,1))-64)*26+(CODE(RIGHT(TRIM($I$44),1))-64))),"")</f>
        <v>0</v>
      </c>
      <c r="K44">
        <f>LOWER(TRIM(LEFT('Multiple Choice Questions'!$C$41,200)))</f>
        <v>0</v>
      </c>
      <c r="L44">
        <f>LOWER(TRIM(LEFT($J$44,200)))</f>
        <v>0</v>
      </c>
      <c r="M44">
        <f>MAX(LEN($K$44)-3,0)</f>
        <v>0</v>
      </c>
      <c r="N44">
        <f>MAX(LEN($L$44)-3,0)</f>
        <v>0</v>
      </c>
      <c r="O44" cm="1">
        <f t="array" ref="O44">IF(OR($M$44&lt;=0,$N$44&lt;=0),0,SUMPRODUCT(--ISNUMBER(SEARCH(MID($K$44,_xlfn.SEQUENCE($M$44),4),$L$44))))</f>
        <v>0</v>
      </c>
      <c r="P44">
        <f>IF(OR($I$44="",$K$44="",$L$44="",$M$44&lt;=0,$N$44&lt;=0),"",$O$44/($M$44+$N$44-$O$44))</f>
        <v>0</v>
      </c>
      <c r="Q44">
        <f>'Hybrid Questions'!$A$41</f>
        <v>0</v>
      </c>
      <c r="R44">
        <f>IFERROR(INDEX(Responses!$1:$1,1,CHOOSE(LEN(TRIM($Q$44)),CODE(TRIM($Q$44))-64,(CODE(LEFT(TRIM($Q$44),1))-64)*26+(CODE(RIGHT(TRIM($Q$44),1))-64),(CODE(LEFT(TRIM($Q$44),1))-64)*676+(CODE(MID(TRIM($Q$44),2,1))-64)*26+(CODE(RIGHT(TRIM($Q$44),1))-64))),"")</f>
        <v>0</v>
      </c>
      <c r="S44">
        <f>LOWER(TRIM(LEFT('Hybrid Questions'!$C$41,200)))</f>
        <v>0</v>
      </c>
      <c r="T44">
        <f>LOWER(TRIM(LEFT($R$44,200)))</f>
        <v>0</v>
      </c>
      <c r="U44">
        <f>MAX(LEN($S$44)-3,0)</f>
        <v>0</v>
      </c>
      <c r="V44">
        <f>MAX(LEN($T$44)-3,0)</f>
        <v>0</v>
      </c>
      <c r="W44" cm="1">
        <f t="array" ref="W44">IF(OR($U$44&lt;=0,$V$44&lt;=0),0,SUMPRODUCT(--ISNUMBER(SEARCH(MID($S$44,_xlfn.SEQUENCE($U$44),4),$T$44))))</f>
        <v>0</v>
      </c>
      <c r="X44">
        <f>IF(OR($Q$44="",$S$44="",$T$44="",$U$44&lt;=0,$V$44&lt;=0),"",$W$44/($U$44+$V$44-$W$44))</f>
        <v>0</v>
      </c>
      <c r="Y44">
        <f>'Hybrid Questions'!$D$41</f>
        <v>0</v>
      </c>
      <c r="Z44">
        <f>IFERROR(INDEX(Responses!$1:$1,1,CHOOSE(LEN(TRIM($Y$44)),CODE(TRIM($Y$44))-64,(CODE(LEFT(TRIM($Y$44),1))-64)*26+(CODE(RIGHT(TRIM($Y$44),1))-64),(CODE(LEFT(TRIM($Y$44),1))-64)*676+(CODE(MID(TRIM($Y$44),2,1))-64)*26+(CODE(RIGHT(TRIM($Y$44),1))-64))),"")</f>
        <v>0</v>
      </c>
      <c r="AA44">
        <f>LOWER(TRIM(LEFT('Hybrid Questions'!$C$41,200)))</f>
        <v>0</v>
      </c>
      <c r="AB44">
        <f>LOWER(TRIM(LEFT($Z$44,200)))</f>
        <v>0</v>
      </c>
      <c r="AC44">
        <f>MAX(LEN($AA$44)-3,0)</f>
        <v>0</v>
      </c>
      <c r="AD44">
        <f>MAX(LEN($AB$44)-3,0)</f>
        <v>0</v>
      </c>
      <c r="AE44" cm="1">
        <f t="array" ref="AE44">IF(OR($AC$44&lt;=0,$AD$44&lt;=0),0,SUMPRODUCT(--ISNUMBER(SEARCH(MID($AA$44,_xlfn.SEQUENCE($AC$44),4),$AB$44))))</f>
        <v>0</v>
      </c>
      <c r="AF44">
        <f>IF(OR($Y$44="",$AA$44="",$AB$44="",$AC$44&lt;=0,$AD$44&lt;=0),"",$AE$44/($AC$44+$AD$44-$AE$44))</f>
        <v>0</v>
      </c>
    </row>
    <row r="45" spans="1:32">
      <c r="A45">
        <f>'Open Questions'!$A$42</f>
        <v>0</v>
      </c>
      <c r="B45">
        <f>IFERROR(INDEX(Responses!$1:$1,1,CHOOSE(LEN(TRIM($A$45)),CODE(TRIM($A$45))-64,(CODE(LEFT(TRIM($A$45),1))-64)*26+(CODE(RIGHT(TRIM($A$45),1))-64),(CODE(LEFT(TRIM($A$45),1))-64)*676+(CODE(MID(TRIM($A$45),2,1))-64)*26+(CODE(RIGHT(TRIM($A$45),1))-64))),"")</f>
        <v>0</v>
      </c>
      <c r="C45">
        <f>LOWER(TRIM(LEFT('Open Questions'!$C$42,200)))</f>
        <v>0</v>
      </c>
      <c r="D45">
        <f>LOWER(TRIM(LEFT($B$45,200)))</f>
        <v>0</v>
      </c>
      <c r="E45">
        <f>MAX(LEN($C$45)-3,0)</f>
        <v>0</v>
      </c>
      <c r="F45">
        <f>MAX(LEN($D$45)-3,0)</f>
        <v>0</v>
      </c>
      <c r="G45" cm="1">
        <f t="array" ref="G45">IF(OR($E$45&lt;=0,$F$45&lt;=0),0,SUMPRODUCT(--ISNUMBER(SEARCH(MID($C$45,_xlfn.SEQUENCE($E$45),4),$D$45))))</f>
        <v>0</v>
      </c>
      <c r="H45">
        <f>IF(OR($A$45="",$C$45="",$D$45="",$E$45&lt;=0,$F$45&lt;=0),"",$G$45/($E$45+$F$45-$G$45))</f>
        <v>0</v>
      </c>
      <c r="I45">
        <f>'Multiple Choice Questions'!$A$42</f>
        <v>0</v>
      </c>
      <c r="J45">
        <f>IFERROR(INDEX(Responses!$1:$1,1,CHOOSE(LEN(TRIM($I$45)),CODE(TRIM($I$45))-64,(CODE(LEFT(TRIM($I$45),1))-64)*26+(CODE(RIGHT(TRIM($I$45),1))-64),(CODE(LEFT(TRIM($I$45),1))-64)*676+(CODE(MID(TRIM($I$45),2,1))-64)*26+(CODE(RIGHT(TRIM($I$45),1))-64))),"")</f>
        <v>0</v>
      </c>
      <c r="K45">
        <f>LOWER(TRIM(LEFT('Multiple Choice Questions'!$C$42,200)))</f>
        <v>0</v>
      </c>
      <c r="L45">
        <f>LOWER(TRIM(LEFT($J$45,200)))</f>
        <v>0</v>
      </c>
      <c r="M45">
        <f>MAX(LEN($K$45)-3,0)</f>
        <v>0</v>
      </c>
      <c r="N45">
        <f>MAX(LEN($L$45)-3,0)</f>
        <v>0</v>
      </c>
      <c r="O45" cm="1">
        <f t="array" ref="O45">IF(OR($M$45&lt;=0,$N$45&lt;=0),0,SUMPRODUCT(--ISNUMBER(SEARCH(MID($K$45,_xlfn.SEQUENCE($M$45),4),$L$45))))</f>
        <v>0</v>
      </c>
      <c r="P45">
        <f>IF(OR($I$45="",$K$45="",$L$45="",$M$45&lt;=0,$N$45&lt;=0),"",$O$45/($M$45+$N$45-$O$45))</f>
        <v>0</v>
      </c>
      <c r="Q45">
        <f>'Hybrid Questions'!$A$42</f>
        <v>0</v>
      </c>
      <c r="R45">
        <f>IFERROR(INDEX(Responses!$1:$1,1,CHOOSE(LEN(TRIM($Q$45)),CODE(TRIM($Q$45))-64,(CODE(LEFT(TRIM($Q$45),1))-64)*26+(CODE(RIGHT(TRIM($Q$45),1))-64),(CODE(LEFT(TRIM($Q$45),1))-64)*676+(CODE(MID(TRIM($Q$45),2,1))-64)*26+(CODE(RIGHT(TRIM($Q$45),1))-64))),"")</f>
        <v>0</v>
      </c>
      <c r="S45">
        <f>LOWER(TRIM(LEFT('Hybrid Questions'!$C$42,200)))</f>
        <v>0</v>
      </c>
      <c r="T45">
        <f>LOWER(TRIM(LEFT($R$45,200)))</f>
        <v>0</v>
      </c>
      <c r="U45">
        <f>MAX(LEN($S$45)-3,0)</f>
        <v>0</v>
      </c>
      <c r="V45">
        <f>MAX(LEN($T$45)-3,0)</f>
        <v>0</v>
      </c>
      <c r="W45" cm="1">
        <f t="array" ref="W45">IF(OR($U$45&lt;=0,$V$45&lt;=0),0,SUMPRODUCT(--ISNUMBER(SEARCH(MID($S$45,_xlfn.SEQUENCE($U$45),4),$T$45))))</f>
        <v>0</v>
      </c>
      <c r="X45">
        <f>IF(OR($Q$45="",$S$45="",$T$45="",$U$45&lt;=0,$V$45&lt;=0),"",$W$45/($U$45+$V$45-$W$45))</f>
        <v>0</v>
      </c>
      <c r="Y45">
        <f>'Hybrid Questions'!$D$42</f>
        <v>0</v>
      </c>
      <c r="Z45">
        <f>IFERROR(INDEX(Responses!$1:$1,1,CHOOSE(LEN(TRIM($Y$45)),CODE(TRIM($Y$45))-64,(CODE(LEFT(TRIM($Y$45),1))-64)*26+(CODE(RIGHT(TRIM($Y$45),1))-64),(CODE(LEFT(TRIM($Y$45),1))-64)*676+(CODE(MID(TRIM($Y$45),2,1))-64)*26+(CODE(RIGHT(TRIM($Y$45),1))-64))),"")</f>
        <v>0</v>
      </c>
      <c r="AA45">
        <f>LOWER(TRIM(LEFT('Hybrid Questions'!$C$42,200)))</f>
        <v>0</v>
      </c>
      <c r="AB45">
        <f>LOWER(TRIM(LEFT($Z$45,200)))</f>
        <v>0</v>
      </c>
      <c r="AC45">
        <f>MAX(LEN($AA$45)-3,0)</f>
        <v>0</v>
      </c>
      <c r="AD45">
        <f>MAX(LEN($AB$45)-3,0)</f>
        <v>0</v>
      </c>
      <c r="AE45" cm="1">
        <f t="array" ref="AE45">IF(OR($AC$45&lt;=0,$AD$45&lt;=0),0,SUMPRODUCT(--ISNUMBER(SEARCH(MID($AA$45,_xlfn.SEQUENCE($AC$45),4),$AB$45))))</f>
        <v>0</v>
      </c>
      <c r="AF45">
        <f>IF(OR($Y$45="",$AA$45="",$AB$45="",$AC$45&lt;=0,$AD$45&lt;=0),"",$AE$45/($AC$45+$AD$45-$AE$45))</f>
        <v>0</v>
      </c>
    </row>
    <row r="46" spans="1:32">
      <c r="A46">
        <f>'Open Questions'!$A$43</f>
        <v>0</v>
      </c>
      <c r="B46">
        <f>IFERROR(INDEX(Responses!$1:$1,1,CHOOSE(LEN(TRIM($A$46)),CODE(TRIM($A$46))-64,(CODE(LEFT(TRIM($A$46),1))-64)*26+(CODE(RIGHT(TRIM($A$46),1))-64),(CODE(LEFT(TRIM($A$46),1))-64)*676+(CODE(MID(TRIM($A$46),2,1))-64)*26+(CODE(RIGHT(TRIM($A$46),1))-64))),"")</f>
        <v>0</v>
      </c>
      <c r="C46">
        <f>LOWER(TRIM(LEFT('Open Questions'!$C$43,200)))</f>
        <v>0</v>
      </c>
      <c r="D46">
        <f>LOWER(TRIM(LEFT($B$46,200)))</f>
        <v>0</v>
      </c>
      <c r="E46">
        <f>MAX(LEN($C$46)-3,0)</f>
        <v>0</v>
      </c>
      <c r="F46">
        <f>MAX(LEN($D$46)-3,0)</f>
        <v>0</v>
      </c>
      <c r="G46" cm="1">
        <f t="array" ref="G46">IF(OR($E$46&lt;=0,$F$46&lt;=0),0,SUMPRODUCT(--ISNUMBER(SEARCH(MID($C$46,_xlfn.SEQUENCE($E$46),4),$D$46))))</f>
        <v>0</v>
      </c>
      <c r="H46">
        <f>IF(OR($A$46="",$C$46="",$D$46="",$E$46&lt;=0,$F$46&lt;=0),"",$G$46/($E$46+$F$46-$G$46))</f>
        <v>0</v>
      </c>
      <c r="I46">
        <f>'Multiple Choice Questions'!$A$43</f>
        <v>0</v>
      </c>
      <c r="J46">
        <f>IFERROR(INDEX(Responses!$1:$1,1,CHOOSE(LEN(TRIM($I$46)),CODE(TRIM($I$46))-64,(CODE(LEFT(TRIM($I$46),1))-64)*26+(CODE(RIGHT(TRIM($I$46),1))-64),(CODE(LEFT(TRIM($I$46),1))-64)*676+(CODE(MID(TRIM($I$46),2,1))-64)*26+(CODE(RIGHT(TRIM($I$46),1))-64))),"")</f>
        <v>0</v>
      </c>
      <c r="K46">
        <f>LOWER(TRIM(LEFT('Multiple Choice Questions'!$C$43,200)))</f>
        <v>0</v>
      </c>
      <c r="L46">
        <f>LOWER(TRIM(LEFT($J$46,200)))</f>
        <v>0</v>
      </c>
      <c r="M46">
        <f>MAX(LEN($K$46)-3,0)</f>
        <v>0</v>
      </c>
      <c r="N46">
        <f>MAX(LEN($L$46)-3,0)</f>
        <v>0</v>
      </c>
      <c r="O46" cm="1">
        <f t="array" ref="O46">IF(OR($M$46&lt;=0,$N$46&lt;=0),0,SUMPRODUCT(--ISNUMBER(SEARCH(MID($K$46,_xlfn.SEQUENCE($M$46),4),$L$46))))</f>
        <v>0</v>
      </c>
      <c r="P46">
        <f>IF(OR($I$46="",$K$46="",$L$46="",$M$46&lt;=0,$N$46&lt;=0),"",$O$46/($M$46+$N$46-$O$46))</f>
        <v>0</v>
      </c>
      <c r="Q46">
        <f>'Hybrid Questions'!$A$43</f>
        <v>0</v>
      </c>
      <c r="R46">
        <f>IFERROR(INDEX(Responses!$1:$1,1,CHOOSE(LEN(TRIM($Q$46)),CODE(TRIM($Q$46))-64,(CODE(LEFT(TRIM($Q$46),1))-64)*26+(CODE(RIGHT(TRIM($Q$46),1))-64),(CODE(LEFT(TRIM($Q$46),1))-64)*676+(CODE(MID(TRIM($Q$46),2,1))-64)*26+(CODE(RIGHT(TRIM($Q$46),1))-64))),"")</f>
        <v>0</v>
      </c>
      <c r="S46">
        <f>LOWER(TRIM(LEFT('Hybrid Questions'!$C$43,200)))</f>
        <v>0</v>
      </c>
      <c r="T46">
        <f>LOWER(TRIM(LEFT($R$46,200)))</f>
        <v>0</v>
      </c>
      <c r="U46">
        <f>MAX(LEN($S$46)-3,0)</f>
        <v>0</v>
      </c>
      <c r="V46">
        <f>MAX(LEN($T$46)-3,0)</f>
        <v>0</v>
      </c>
      <c r="W46" cm="1">
        <f t="array" ref="W46">IF(OR($U$46&lt;=0,$V$46&lt;=0),0,SUMPRODUCT(--ISNUMBER(SEARCH(MID($S$46,_xlfn.SEQUENCE($U$46),4),$T$46))))</f>
        <v>0</v>
      </c>
      <c r="X46">
        <f>IF(OR($Q$46="",$S$46="",$T$46="",$U$46&lt;=0,$V$46&lt;=0),"",$W$46/($U$46+$V$46-$W$46))</f>
        <v>0</v>
      </c>
      <c r="Y46">
        <f>'Hybrid Questions'!$D$43</f>
        <v>0</v>
      </c>
      <c r="Z46">
        <f>IFERROR(INDEX(Responses!$1:$1,1,CHOOSE(LEN(TRIM($Y$46)),CODE(TRIM($Y$46))-64,(CODE(LEFT(TRIM($Y$46),1))-64)*26+(CODE(RIGHT(TRIM($Y$46),1))-64),(CODE(LEFT(TRIM($Y$46),1))-64)*676+(CODE(MID(TRIM($Y$46),2,1))-64)*26+(CODE(RIGHT(TRIM($Y$46),1))-64))),"")</f>
        <v>0</v>
      </c>
      <c r="AA46">
        <f>LOWER(TRIM(LEFT('Hybrid Questions'!$C$43,200)))</f>
        <v>0</v>
      </c>
      <c r="AB46">
        <f>LOWER(TRIM(LEFT($Z$46,200)))</f>
        <v>0</v>
      </c>
      <c r="AC46">
        <f>MAX(LEN($AA$46)-3,0)</f>
        <v>0</v>
      </c>
      <c r="AD46">
        <f>MAX(LEN($AB$46)-3,0)</f>
        <v>0</v>
      </c>
      <c r="AE46" cm="1">
        <f t="array" ref="AE46">IF(OR($AC$46&lt;=0,$AD$46&lt;=0),0,SUMPRODUCT(--ISNUMBER(SEARCH(MID($AA$46,_xlfn.SEQUENCE($AC$46),4),$AB$46))))</f>
        <v>0</v>
      </c>
      <c r="AF46">
        <f>IF(OR($Y$46="",$AA$46="",$AB$46="",$AC$46&lt;=0,$AD$46&lt;=0),"",$AE$46/($AC$46+$AD$46-$AE$46))</f>
        <v>0</v>
      </c>
    </row>
    <row r="47" spans="1:32">
      <c r="A47">
        <f>'Open Questions'!$A$44</f>
        <v>0</v>
      </c>
      <c r="B47">
        <f>IFERROR(INDEX(Responses!$1:$1,1,CHOOSE(LEN(TRIM($A$47)),CODE(TRIM($A$47))-64,(CODE(LEFT(TRIM($A$47),1))-64)*26+(CODE(RIGHT(TRIM($A$47),1))-64),(CODE(LEFT(TRIM($A$47),1))-64)*676+(CODE(MID(TRIM($A$47),2,1))-64)*26+(CODE(RIGHT(TRIM($A$47),1))-64))),"")</f>
        <v>0</v>
      </c>
      <c r="C47">
        <f>LOWER(TRIM(LEFT('Open Questions'!$C$44,200)))</f>
        <v>0</v>
      </c>
      <c r="D47">
        <f>LOWER(TRIM(LEFT($B$47,200)))</f>
        <v>0</v>
      </c>
      <c r="E47">
        <f>MAX(LEN($C$47)-3,0)</f>
        <v>0</v>
      </c>
      <c r="F47">
        <f>MAX(LEN($D$47)-3,0)</f>
        <v>0</v>
      </c>
      <c r="G47" cm="1">
        <f t="array" ref="G47">IF(OR($E$47&lt;=0,$F$47&lt;=0),0,SUMPRODUCT(--ISNUMBER(SEARCH(MID($C$47,_xlfn.SEQUENCE($E$47),4),$D$47))))</f>
        <v>0</v>
      </c>
      <c r="H47">
        <f>IF(OR($A$47="",$C$47="",$D$47="",$E$47&lt;=0,$F$47&lt;=0),"",$G$47/($E$47+$F$47-$G$47))</f>
        <v>0</v>
      </c>
      <c r="I47">
        <f>'Multiple Choice Questions'!$A$44</f>
        <v>0</v>
      </c>
      <c r="J47">
        <f>IFERROR(INDEX(Responses!$1:$1,1,CHOOSE(LEN(TRIM($I$47)),CODE(TRIM($I$47))-64,(CODE(LEFT(TRIM($I$47),1))-64)*26+(CODE(RIGHT(TRIM($I$47),1))-64),(CODE(LEFT(TRIM($I$47),1))-64)*676+(CODE(MID(TRIM($I$47),2,1))-64)*26+(CODE(RIGHT(TRIM($I$47),1))-64))),"")</f>
        <v>0</v>
      </c>
      <c r="K47">
        <f>LOWER(TRIM(LEFT('Multiple Choice Questions'!$C$44,200)))</f>
        <v>0</v>
      </c>
      <c r="L47">
        <f>LOWER(TRIM(LEFT($J$47,200)))</f>
        <v>0</v>
      </c>
      <c r="M47">
        <f>MAX(LEN($K$47)-3,0)</f>
        <v>0</v>
      </c>
      <c r="N47">
        <f>MAX(LEN($L$47)-3,0)</f>
        <v>0</v>
      </c>
      <c r="O47" cm="1">
        <f t="array" ref="O47">IF(OR($M$47&lt;=0,$N$47&lt;=0),0,SUMPRODUCT(--ISNUMBER(SEARCH(MID($K$47,_xlfn.SEQUENCE($M$47),4),$L$47))))</f>
        <v>0</v>
      </c>
      <c r="P47">
        <f>IF(OR($I$47="",$K$47="",$L$47="",$M$47&lt;=0,$N$47&lt;=0),"",$O$47/($M$47+$N$47-$O$47))</f>
        <v>0</v>
      </c>
      <c r="Q47">
        <f>'Hybrid Questions'!$A$44</f>
        <v>0</v>
      </c>
      <c r="R47">
        <f>IFERROR(INDEX(Responses!$1:$1,1,CHOOSE(LEN(TRIM($Q$47)),CODE(TRIM($Q$47))-64,(CODE(LEFT(TRIM($Q$47),1))-64)*26+(CODE(RIGHT(TRIM($Q$47),1))-64),(CODE(LEFT(TRIM($Q$47),1))-64)*676+(CODE(MID(TRIM($Q$47),2,1))-64)*26+(CODE(RIGHT(TRIM($Q$47),1))-64))),"")</f>
        <v>0</v>
      </c>
      <c r="S47">
        <f>LOWER(TRIM(LEFT('Hybrid Questions'!$C$44,200)))</f>
        <v>0</v>
      </c>
      <c r="T47">
        <f>LOWER(TRIM(LEFT($R$47,200)))</f>
        <v>0</v>
      </c>
      <c r="U47">
        <f>MAX(LEN($S$47)-3,0)</f>
        <v>0</v>
      </c>
      <c r="V47">
        <f>MAX(LEN($T$47)-3,0)</f>
        <v>0</v>
      </c>
      <c r="W47" cm="1">
        <f t="array" ref="W47">IF(OR($U$47&lt;=0,$V$47&lt;=0),0,SUMPRODUCT(--ISNUMBER(SEARCH(MID($S$47,_xlfn.SEQUENCE($U$47),4),$T$47))))</f>
        <v>0</v>
      </c>
      <c r="X47">
        <f>IF(OR($Q$47="",$S$47="",$T$47="",$U$47&lt;=0,$V$47&lt;=0),"",$W$47/($U$47+$V$47-$W$47))</f>
        <v>0</v>
      </c>
      <c r="Y47">
        <f>'Hybrid Questions'!$D$44</f>
        <v>0</v>
      </c>
      <c r="Z47">
        <f>IFERROR(INDEX(Responses!$1:$1,1,CHOOSE(LEN(TRIM($Y$47)),CODE(TRIM($Y$47))-64,(CODE(LEFT(TRIM($Y$47),1))-64)*26+(CODE(RIGHT(TRIM($Y$47),1))-64),(CODE(LEFT(TRIM($Y$47),1))-64)*676+(CODE(MID(TRIM($Y$47),2,1))-64)*26+(CODE(RIGHT(TRIM($Y$47),1))-64))),"")</f>
        <v>0</v>
      </c>
      <c r="AA47">
        <f>LOWER(TRIM(LEFT('Hybrid Questions'!$C$44,200)))</f>
        <v>0</v>
      </c>
      <c r="AB47">
        <f>LOWER(TRIM(LEFT($Z$47,200)))</f>
        <v>0</v>
      </c>
      <c r="AC47">
        <f>MAX(LEN($AA$47)-3,0)</f>
        <v>0</v>
      </c>
      <c r="AD47">
        <f>MAX(LEN($AB$47)-3,0)</f>
        <v>0</v>
      </c>
      <c r="AE47" cm="1">
        <f t="array" ref="AE47">IF(OR($AC$47&lt;=0,$AD$47&lt;=0),0,SUMPRODUCT(--ISNUMBER(SEARCH(MID($AA$47,_xlfn.SEQUENCE($AC$47),4),$AB$47))))</f>
        <v>0</v>
      </c>
      <c r="AF47">
        <f>IF(OR($Y$47="",$AA$47="",$AB$47="",$AC$47&lt;=0,$AD$47&lt;=0),"",$AE$47/($AC$47+$AD$47-$AE$47))</f>
        <v>0</v>
      </c>
    </row>
    <row r="48" spans="1:32">
      <c r="A48">
        <f>'Open Questions'!$A$45</f>
        <v>0</v>
      </c>
      <c r="B48">
        <f>IFERROR(INDEX(Responses!$1:$1,1,CHOOSE(LEN(TRIM($A$48)),CODE(TRIM($A$48))-64,(CODE(LEFT(TRIM($A$48),1))-64)*26+(CODE(RIGHT(TRIM($A$48),1))-64),(CODE(LEFT(TRIM($A$48),1))-64)*676+(CODE(MID(TRIM($A$48),2,1))-64)*26+(CODE(RIGHT(TRIM($A$48),1))-64))),"")</f>
        <v>0</v>
      </c>
      <c r="C48">
        <f>LOWER(TRIM(LEFT('Open Questions'!$C$45,200)))</f>
        <v>0</v>
      </c>
      <c r="D48">
        <f>LOWER(TRIM(LEFT($B$48,200)))</f>
        <v>0</v>
      </c>
      <c r="E48">
        <f>MAX(LEN($C$48)-3,0)</f>
        <v>0</v>
      </c>
      <c r="F48">
        <f>MAX(LEN($D$48)-3,0)</f>
        <v>0</v>
      </c>
      <c r="G48" cm="1">
        <f t="array" ref="G48">IF(OR($E$48&lt;=0,$F$48&lt;=0),0,SUMPRODUCT(--ISNUMBER(SEARCH(MID($C$48,_xlfn.SEQUENCE($E$48),4),$D$48))))</f>
        <v>0</v>
      </c>
      <c r="H48">
        <f>IF(OR($A$48="",$C$48="",$D$48="",$E$48&lt;=0,$F$48&lt;=0),"",$G$48/($E$48+$F$48-$G$48))</f>
        <v>0</v>
      </c>
      <c r="I48">
        <f>'Multiple Choice Questions'!$A$45</f>
        <v>0</v>
      </c>
      <c r="J48">
        <f>IFERROR(INDEX(Responses!$1:$1,1,CHOOSE(LEN(TRIM($I$48)),CODE(TRIM($I$48))-64,(CODE(LEFT(TRIM($I$48),1))-64)*26+(CODE(RIGHT(TRIM($I$48),1))-64),(CODE(LEFT(TRIM($I$48),1))-64)*676+(CODE(MID(TRIM($I$48),2,1))-64)*26+(CODE(RIGHT(TRIM($I$48),1))-64))),"")</f>
        <v>0</v>
      </c>
      <c r="K48">
        <f>LOWER(TRIM(LEFT('Multiple Choice Questions'!$C$45,200)))</f>
        <v>0</v>
      </c>
      <c r="L48">
        <f>LOWER(TRIM(LEFT($J$48,200)))</f>
        <v>0</v>
      </c>
      <c r="M48">
        <f>MAX(LEN($K$48)-3,0)</f>
        <v>0</v>
      </c>
      <c r="N48">
        <f>MAX(LEN($L$48)-3,0)</f>
        <v>0</v>
      </c>
      <c r="O48" cm="1">
        <f t="array" ref="O48">IF(OR($M$48&lt;=0,$N$48&lt;=0),0,SUMPRODUCT(--ISNUMBER(SEARCH(MID($K$48,_xlfn.SEQUENCE($M$48),4),$L$48))))</f>
        <v>0</v>
      </c>
      <c r="P48">
        <f>IF(OR($I$48="",$K$48="",$L$48="",$M$48&lt;=0,$N$48&lt;=0),"",$O$48/($M$48+$N$48-$O$48))</f>
        <v>0</v>
      </c>
      <c r="Q48">
        <f>'Hybrid Questions'!$A$45</f>
        <v>0</v>
      </c>
      <c r="R48">
        <f>IFERROR(INDEX(Responses!$1:$1,1,CHOOSE(LEN(TRIM($Q$48)),CODE(TRIM($Q$48))-64,(CODE(LEFT(TRIM($Q$48),1))-64)*26+(CODE(RIGHT(TRIM($Q$48),1))-64),(CODE(LEFT(TRIM($Q$48),1))-64)*676+(CODE(MID(TRIM($Q$48),2,1))-64)*26+(CODE(RIGHT(TRIM($Q$48),1))-64))),"")</f>
        <v>0</v>
      </c>
      <c r="S48">
        <f>LOWER(TRIM(LEFT('Hybrid Questions'!$C$45,200)))</f>
        <v>0</v>
      </c>
      <c r="T48">
        <f>LOWER(TRIM(LEFT($R$48,200)))</f>
        <v>0</v>
      </c>
      <c r="U48">
        <f>MAX(LEN($S$48)-3,0)</f>
        <v>0</v>
      </c>
      <c r="V48">
        <f>MAX(LEN($T$48)-3,0)</f>
        <v>0</v>
      </c>
      <c r="W48" cm="1">
        <f t="array" ref="W48">IF(OR($U$48&lt;=0,$V$48&lt;=0),0,SUMPRODUCT(--ISNUMBER(SEARCH(MID($S$48,_xlfn.SEQUENCE($U$48),4),$T$48))))</f>
        <v>0</v>
      </c>
      <c r="X48">
        <f>IF(OR($Q$48="",$S$48="",$T$48="",$U$48&lt;=0,$V$48&lt;=0),"",$W$48/($U$48+$V$48-$W$48))</f>
        <v>0</v>
      </c>
      <c r="Y48">
        <f>'Hybrid Questions'!$D$45</f>
        <v>0</v>
      </c>
      <c r="Z48">
        <f>IFERROR(INDEX(Responses!$1:$1,1,CHOOSE(LEN(TRIM($Y$48)),CODE(TRIM($Y$48))-64,(CODE(LEFT(TRIM($Y$48),1))-64)*26+(CODE(RIGHT(TRIM($Y$48),1))-64),(CODE(LEFT(TRIM($Y$48),1))-64)*676+(CODE(MID(TRIM($Y$48),2,1))-64)*26+(CODE(RIGHT(TRIM($Y$48),1))-64))),"")</f>
        <v>0</v>
      </c>
      <c r="AA48">
        <f>LOWER(TRIM(LEFT('Hybrid Questions'!$C$45,200)))</f>
        <v>0</v>
      </c>
      <c r="AB48">
        <f>LOWER(TRIM(LEFT($Z$48,200)))</f>
        <v>0</v>
      </c>
      <c r="AC48">
        <f>MAX(LEN($AA$48)-3,0)</f>
        <v>0</v>
      </c>
      <c r="AD48">
        <f>MAX(LEN($AB$48)-3,0)</f>
        <v>0</v>
      </c>
      <c r="AE48" cm="1">
        <f t="array" ref="AE48">IF(OR($AC$48&lt;=0,$AD$48&lt;=0),0,SUMPRODUCT(--ISNUMBER(SEARCH(MID($AA$48,_xlfn.SEQUENCE($AC$48),4),$AB$48))))</f>
        <v>0</v>
      </c>
      <c r="AF48">
        <f>IF(OR($Y$48="",$AA$48="",$AB$48="",$AC$48&lt;=0,$AD$48&lt;=0),"",$AE$48/($AC$48+$AD$48-$AE$48))</f>
        <v>0</v>
      </c>
    </row>
    <row r="49" spans="1:32">
      <c r="A49">
        <f>'Open Questions'!$A$46</f>
        <v>0</v>
      </c>
      <c r="B49">
        <f>IFERROR(INDEX(Responses!$1:$1,1,CHOOSE(LEN(TRIM($A$49)),CODE(TRIM($A$49))-64,(CODE(LEFT(TRIM($A$49),1))-64)*26+(CODE(RIGHT(TRIM($A$49),1))-64),(CODE(LEFT(TRIM($A$49),1))-64)*676+(CODE(MID(TRIM($A$49),2,1))-64)*26+(CODE(RIGHT(TRIM($A$49),1))-64))),"")</f>
        <v>0</v>
      </c>
      <c r="C49">
        <f>LOWER(TRIM(LEFT('Open Questions'!$C$46,200)))</f>
        <v>0</v>
      </c>
      <c r="D49">
        <f>LOWER(TRIM(LEFT($B$49,200)))</f>
        <v>0</v>
      </c>
      <c r="E49">
        <f>MAX(LEN($C$49)-3,0)</f>
        <v>0</v>
      </c>
      <c r="F49">
        <f>MAX(LEN($D$49)-3,0)</f>
        <v>0</v>
      </c>
      <c r="G49" cm="1">
        <f t="array" ref="G49">IF(OR($E$49&lt;=0,$F$49&lt;=0),0,SUMPRODUCT(--ISNUMBER(SEARCH(MID($C$49,_xlfn.SEQUENCE($E$49),4),$D$49))))</f>
        <v>0</v>
      </c>
      <c r="H49">
        <f>IF(OR($A$49="",$C$49="",$D$49="",$E$49&lt;=0,$F$49&lt;=0),"",$G$49/($E$49+$F$49-$G$49))</f>
        <v>0</v>
      </c>
      <c r="I49">
        <f>'Multiple Choice Questions'!$A$46</f>
        <v>0</v>
      </c>
      <c r="J49">
        <f>IFERROR(INDEX(Responses!$1:$1,1,CHOOSE(LEN(TRIM($I$49)),CODE(TRIM($I$49))-64,(CODE(LEFT(TRIM($I$49),1))-64)*26+(CODE(RIGHT(TRIM($I$49),1))-64),(CODE(LEFT(TRIM($I$49),1))-64)*676+(CODE(MID(TRIM($I$49),2,1))-64)*26+(CODE(RIGHT(TRIM($I$49),1))-64))),"")</f>
        <v>0</v>
      </c>
      <c r="K49">
        <f>LOWER(TRIM(LEFT('Multiple Choice Questions'!$C$46,200)))</f>
        <v>0</v>
      </c>
      <c r="L49">
        <f>LOWER(TRIM(LEFT($J$49,200)))</f>
        <v>0</v>
      </c>
      <c r="M49">
        <f>MAX(LEN($K$49)-3,0)</f>
        <v>0</v>
      </c>
      <c r="N49">
        <f>MAX(LEN($L$49)-3,0)</f>
        <v>0</v>
      </c>
      <c r="O49" cm="1">
        <f t="array" ref="O49">IF(OR($M$49&lt;=0,$N$49&lt;=0),0,SUMPRODUCT(--ISNUMBER(SEARCH(MID($K$49,_xlfn.SEQUENCE($M$49),4),$L$49))))</f>
        <v>0</v>
      </c>
      <c r="P49">
        <f>IF(OR($I$49="",$K$49="",$L$49="",$M$49&lt;=0,$N$49&lt;=0),"",$O$49/($M$49+$N$49-$O$49))</f>
        <v>0</v>
      </c>
      <c r="Q49">
        <f>'Hybrid Questions'!$A$46</f>
        <v>0</v>
      </c>
      <c r="R49">
        <f>IFERROR(INDEX(Responses!$1:$1,1,CHOOSE(LEN(TRIM($Q$49)),CODE(TRIM($Q$49))-64,(CODE(LEFT(TRIM($Q$49),1))-64)*26+(CODE(RIGHT(TRIM($Q$49),1))-64),(CODE(LEFT(TRIM($Q$49),1))-64)*676+(CODE(MID(TRIM($Q$49),2,1))-64)*26+(CODE(RIGHT(TRIM($Q$49),1))-64))),"")</f>
        <v>0</v>
      </c>
      <c r="S49">
        <f>LOWER(TRIM(LEFT('Hybrid Questions'!$C$46,200)))</f>
        <v>0</v>
      </c>
      <c r="T49">
        <f>LOWER(TRIM(LEFT($R$49,200)))</f>
        <v>0</v>
      </c>
      <c r="U49">
        <f>MAX(LEN($S$49)-3,0)</f>
        <v>0</v>
      </c>
      <c r="V49">
        <f>MAX(LEN($T$49)-3,0)</f>
        <v>0</v>
      </c>
      <c r="W49" cm="1">
        <f t="array" ref="W49">IF(OR($U$49&lt;=0,$V$49&lt;=0),0,SUMPRODUCT(--ISNUMBER(SEARCH(MID($S$49,_xlfn.SEQUENCE($U$49),4),$T$49))))</f>
        <v>0</v>
      </c>
      <c r="X49">
        <f>IF(OR($Q$49="",$S$49="",$T$49="",$U$49&lt;=0,$V$49&lt;=0),"",$W$49/($U$49+$V$49-$W$49))</f>
        <v>0</v>
      </c>
      <c r="Y49">
        <f>'Hybrid Questions'!$D$46</f>
        <v>0</v>
      </c>
      <c r="Z49">
        <f>IFERROR(INDEX(Responses!$1:$1,1,CHOOSE(LEN(TRIM($Y$49)),CODE(TRIM($Y$49))-64,(CODE(LEFT(TRIM($Y$49),1))-64)*26+(CODE(RIGHT(TRIM($Y$49),1))-64),(CODE(LEFT(TRIM($Y$49),1))-64)*676+(CODE(MID(TRIM($Y$49),2,1))-64)*26+(CODE(RIGHT(TRIM($Y$49),1))-64))),"")</f>
        <v>0</v>
      </c>
      <c r="AA49">
        <f>LOWER(TRIM(LEFT('Hybrid Questions'!$C$46,200)))</f>
        <v>0</v>
      </c>
      <c r="AB49">
        <f>LOWER(TRIM(LEFT($Z$49,200)))</f>
        <v>0</v>
      </c>
      <c r="AC49">
        <f>MAX(LEN($AA$49)-3,0)</f>
        <v>0</v>
      </c>
      <c r="AD49">
        <f>MAX(LEN($AB$49)-3,0)</f>
        <v>0</v>
      </c>
      <c r="AE49" cm="1">
        <f t="array" ref="AE49">IF(OR($AC$49&lt;=0,$AD$49&lt;=0),0,SUMPRODUCT(--ISNUMBER(SEARCH(MID($AA$49,_xlfn.SEQUENCE($AC$49),4),$AB$49))))</f>
        <v>0</v>
      </c>
      <c r="AF49">
        <f>IF(OR($Y$49="",$AA$49="",$AB$49="",$AC$49&lt;=0,$AD$49&lt;=0),"",$AE$49/($AC$49+$AD$49-$AE$49))</f>
        <v>0</v>
      </c>
    </row>
    <row r="50" spans="1:32">
      <c r="A50">
        <f>'Open Questions'!$A$47</f>
        <v>0</v>
      </c>
      <c r="B50">
        <f>IFERROR(INDEX(Responses!$1:$1,1,CHOOSE(LEN(TRIM($A$50)),CODE(TRIM($A$50))-64,(CODE(LEFT(TRIM($A$50),1))-64)*26+(CODE(RIGHT(TRIM($A$50),1))-64),(CODE(LEFT(TRIM($A$50),1))-64)*676+(CODE(MID(TRIM($A$50),2,1))-64)*26+(CODE(RIGHT(TRIM($A$50),1))-64))),"")</f>
        <v>0</v>
      </c>
      <c r="C50">
        <f>LOWER(TRIM(LEFT('Open Questions'!$C$47,200)))</f>
        <v>0</v>
      </c>
      <c r="D50">
        <f>LOWER(TRIM(LEFT($B$50,200)))</f>
        <v>0</v>
      </c>
      <c r="E50">
        <f>MAX(LEN($C$50)-3,0)</f>
        <v>0</v>
      </c>
      <c r="F50">
        <f>MAX(LEN($D$50)-3,0)</f>
        <v>0</v>
      </c>
      <c r="G50" cm="1">
        <f t="array" ref="G50">IF(OR($E$50&lt;=0,$F$50&lt;=0),0,SUMPRODUCT(--ISNUMBER(SEARCH(MID($C$50,_xlfn.SEQUENCE($E$50),4),$D$50))))</f>
        <v>0</v>
      </c>
      <c r="H50">
        <f>IF(OR($A$50="",$C$50="",$D$50="",$E$50&lt;=0,$F$50&lt;=0),"",$G$50/($E$50+$F$50-$G$50))</f>
        <v>0</v>
      </c>
      <c r="I50">
        <f>'Multiple Choice Questions'!$A$47</f>
        <v>0</v>
      </c>
      <c r="J50">
        <f>IFERROR(INDEX(Responses!$1:$1,1,CHOOSE(LEN(TRIM($I$50)),CODE(TRIM($I$50))-64,(CODE(LEFT(TRIM($I$50),1))-64)*26+(CODE(RIGHT(TRIM($I$50),1))-64),(CODE(LEFT(TRIM($I$50),1))-64)*676+(CODE(MID(TRIM($I$50),2,1))-64)*26+(CODE(RIGHT(TRIM($I$50),1))-64))),"")</f>
        <v>0</v>
      </c>
      <c r="K50">
        <f>LOWER(TRIM(LEFT('Multiple Choice Questions'!$C$47,200)))</f>
        <v>0</v>
      </c>
      <c r="L50">
        <f>LOWER(TRIM(LEFT($J$50,200)))</f>
        <v>0</v>
      </c>
      <c r="M50">
        <f>MAX(LEN($K$50)-3,0)</f>
        <v>0</v>
      </c>
      <c r="N50">
        <f>MAX(LEN($L$50)-3,0)</f>
        <v>0</v>
      </c>
      <c r="O50" cm="1">
        <f t="array" ref="O50">IF(OR($M$50&lt;=0,$N$50&lt;=0),0,SUMPRODUCT(--ISNUMBER(SEARCH(MID($K$50,_xlfn.SEQUENCE($M$50),4),$L$50))))</f>
        <v>0</v>
      </c>
      <c r="P50">
        <f>IF(OR($I$50="",$K$50="",$L$50="",$M$50&lt;=0,$N$50&lt;=0),"",$O$50/($M$50+$N$50-$O$50))</f>
        <v>0</v>
      </c>
      <c r="Q50">
        <f>'Hybrid Questions'!$A$47</f>
        <v>0</v>
      </c>
      <c r="R50">
        <f>IFERROR(INDEX(Responses!$1:$1,1,CHOOSE(LEN(TRIM($Q$50)),CODE(TRIM($Q$50))-64,(CODE(LEFT(TRIM($Q$50),1))-64)*26+(CODE(RIGHT(TRIM($Q$50),1))-64),(CODE(LEFT(TRIM($Q$50),1))-64)*676+(CODE(MID(TRIM($Q$50),2,1))-64)*26+(CODE(RIGHT(TRIM($Q$50),1))-64))),"")</f>
        <v>0</v>
      </c>
      <c r="S50">
        <f>LOWER(TRIM(LEFT('Hybrid Questions'!$C$47,200)))</f>
        <v>0</v>
      </c>
      <c r="T50">
        <f>LOWER(TRIM(LEFT($R$50,200)))</f>
        <v>0</v>
      </c>
      <c r="U50">
        <f>MAX(LEN($S$50)-3,0)</f>
        <v>0</v>
      </c>
      <c r="V50">
        <f>MAX(LEN($T$50)-3,0)</f>
        <v>0</v>
      </c>
      <c r="W50" cm="1">
        <f t="array" ref="W50">IF(OR($U$50&lt;=0,$V$50&lt;=0),0,SUMPRODUCT(--ISNUMBER(SEARCH(MID($S$50,_xlfn.SEQUENCE($U$50),4),$T$50))))</f>
        <v>0</v>
      </c>
      <c r="X50">
        <f>IF(OR($Q$50="",$S$50="",$T$50="",$U$50&lt;=0,$V$50&lt;=0),"",$W$50/($U$50+$V$50-$W$50))</f>
        <v>0</v>
      </c>
      <c r="Y50">
        <f>'Hybrid Questions'!$D$47</f>
        <v>0</v>
      </c>
      <c r="Z50">
        <f>IFERROR(INDEX(Responses!$1:$1,1,CHOOSE(LEN(TRIM($Y$50)),CODE(TRIM($Y$50))-64,(CODE(LEFT(TRIM($Y$50),1))-64)*26+(CODE(RIGHT(TRIM($Y$50),1))-64),(CODE(LEFT(TRIM($Y$50),1))-64)*676+(CODE(MID(TRIM($Y$50),2,1))-64)*26+(CODE(RIGHT(TRIM($Y$50),1))-64))),"")</f>
        <v>0</v>
      </c>
      <c r="AA50">
        <f>LOWER(TRIM(LEFT('Hybrid Questions'!$C$47,200)))</f>
        <v>0</v>
      </c>
      <c r="AB50">
        <f>LOWER(TRIM(LEFT($Z$50,200)))</f>
        <v>0</v>
      </c>
      <c r="AC50">
        <f>MAX(LEN($AA$50)-3,0)</f>
        <v>0</v>
      </c>
      <c r="AD50">
        <f>MAX(LEN($AB$50)-3,0)</f>
        <v>0</v>
      </c>
      <c r="AE50" cm="1">
        <f t="array" ref="AE50">IF(OR($AC$50&lt;=0,$AD$50&lt;=0),0,SUMPRODUCT(--ISNUMBER(SEARCH(MID($AA$50,_xlfn.SEQUENCE($AC$50),4),$AB$50))))</f>
        <v>0</v>
      </c>
      <c r="AF50">
        <f>IF(OR($Y$50="",$AA$50="",$AB$50="",$AC$50&lt;=0,$AD$50&lt;=0),"",$AE$50/($AC$50+$AD$50-$AE$50))</f>
        <v>0</v>
      </c>
    </row>
    <row r="51" spans="1:32">
      <c r="A51">
        <f>'Open Questions'!$A$48</f>
        <v>0</v>
      </c>
      <c r="B51">
        <f>IFERROR(INDEX(Responses!$1:$1,1,CHOOSE(LEN(TRIM($A$51)),CODE(TRIM($A$51))-64,(CODE(LEFT(TRIM($A$51),1))-64)*26+(CODE(RIGHT(TRIM($A$51),1))-64),(CODE(LEFT(TRIM($A$51),1))-64)*676+(CODE(MID(TRIM($A$51),2,1))-64)*26+(CODE(RIGHT(TRIM($A$51),1))-64))),"")</f>
        <v>0</v>
      </c>
      <c r="C51">
        <f>LOWER(TRIM(LEFT('Open Questions'!$C$48,200)))</f>
        <v>0</v>
      </c>
      <c r="D51">
        <f>LOWER(TRIM(LEFT($B$51,200)))</f>
        <v>0</v>
      </c>
      <c r="E51">
        <f>MAX(LEN($C$51)-3,0)</f>
        <v>0</v>
      </c>
      <c r="F51">
        <f>MAX(LEN($D$51)-3,0)</f>
        <v>0</v>
      </c>
      <c r="G51" cm="1">
        <f t="array" ref="G51">IF(OR($E$51&lt;=0,$F$51&lt;=0),0,SUMPRODUCT(--ISNUMBER(SEARCH(MID($C$51,_xlfn.SEQUENCE($E$51),4),$D$51))))</f>
        <v>0</v>
      </c>
      <c r="H51">
        <f>IF(OR($A$51="",$C$51="",$D$51="",$E$51&lt;=0,$F$51&lt;=0),"",$G$51/($E$51+$F$51-$G$51))</f>
        <v>0</v>
      </c>
      <c r="I51">
        <f>'Multiple Choice Questions'!$A$48</f>
        <v>0</v>
      </c>
      <c r="J51">
        <f>IFERROR(INDEX(Responses!$1:$1,1,CHOOSE(LEN(TRIM($I$51)),CODE(TRIM($I$51))-64,(CODE(LEFT(TRIM($I$51),1))-64)*26+(CODE(RIGHT(TRIM($I$51),1))-64),(CODE(LEFT(TRIM($I$51),1))-64)*676+(CODE(MID(TRIM($I$51),2,1))-64)*26+(CODE(RIGHT(TRIM($I$51),1))-64))),"")</f>
        <v>0</v>
      </c>
      <c r="K51">
        <f>LOWER(TRIM(LEFT('Multiple Choice Questions'!$C$48,200)))</f>
        <v>0</v>
      </c>
      <c r="L51">
        <f>LOWER(TRIM(LEFT($J$51,200)))</f>
        <v>0</v>
      </c>
      <c r="M51">
        <f>MAX(LEN($K$51)-3,0)</f>
        <v>0</v>
      </c>
      <c r="N51">
        <f>MAX(LEN($L$51)-3,0)</f>
        <v>0</v>
      </c>
      <c r="O51" cm="1">
        <f t="array" ref="O51">IF(OR($M$51&lt;=0,$N$51&lt;=0),0,SUMPRODUCT(--ISNUMBER(SEARCH(MID($K$51,_xlfn.SEQUENCE($M$51),4),$L$51))))</f>
        <v>0</v>
      </c>
      <c r="P51">
        <f>IF(OR($I$51="",$K$51="",$L$51="",$M$51&lt;=0,$N$51&lt;=0),"",$O$51/($M$51+$N$51-$O$51))</f>
        <v>0</v>
      </c>
      <c r="Q51">
        <f>'Hybrid Questions'!$A$48</f>
        <v>0</v>
      </c>
      <c r="R51">
        <f>IFERROR(INDEX(Responses!$1:$1,1,CHOOSE(LEN(TRIM($Q$51)),CODE(TRIM($Q$51))-64,(CODE(LEFT(TRIM($Q$51),1))-64)*26+(CODE(RIGHT(TRIM($Q$51),1))-64),(CODE(LEFT(TRIM($Q$51),1))-64)*676+(CODE(MID(TRIM($Q$51),2,1))-64)*26+(CODE(RIGHT(TRIM($Q$51),1))-64))),"")</f>
        <v>0</v>
      </c>
      <c r="S51">
        <f>LOWER(TRIM(LEFT('Hybrid Questions'!$C$48,200)))</f>
        <v>0</v>
      </c>
      <c r="T51">
        <f>LOWER(TRIM(LEFT($R$51,200)))</f>
        <v>0</v>
      </c>
      <c r="U51">
        <f>MAX(LEN($S$51)-3,0)</f>
        <v>0</v>
      </c>
      <c r="V51">
        <f>MAX(LEN($T$51)-3,0)</f>
        <v>0</v>
      </c>
      <c r="W51" cm="1">
        <f t="array" ref="W51">IF(OR($U$51&lt;=0,$V$51&lt;=0),0,SUMPRODUCT(--ISNUMBER(SEARCH(MID($S$51,_xlfn.SEQUENCE($U$51),4),$T$51))))</f>
        <v>0</v>
      </c>
      <c r="X51">
        <f>IF(OR($Q$51="",$S$51="",$T$51="",$U$51&lt;=0,$V$51&lt;=0),"",$W$51/($U$51+$V$51-$W$51))</f>
        <v>0</v>
      </c>
      <c r="Y51">
        <f>'Hybrid Questions'!$D$48</f>
        <v>0</v>
      </c>
      <c r="Z51">
        <f>IFERROR(INDEX(Responses!$1:$1,1,CHOOSE(LEN(TRIM($Y$51)),CODE(TRIM($Y$51))-64,(CODE(LEFT(TRIM($Y$51),1))-64)*26+(CODE(RIGHT(TRIM($Y$51),1))-64),(CODE(LEFT(TRIM($Y$51),1))-64)*676+(CODE(MID(TRIM($Y$51),2,1))-64)*26+(CODE(RIGHT(TRIM($Y$51),1))-64))),"")</f>
        <v>0</v>
      </c>
      <c r="AA51">
        <f>LOWER(TRIM(LEFT('Hybrid Questions'!$C$48,200)))</f>
        <v>0</v>
      </c>
      <c r="AB51">
        <f>LOWER(TRIM(LEFT($Z$51,200)))</f>
        <v>0</v>
      </c>
      <c r="AC51">
        <f>MAX(LEN($AA$51)-3,0)</f>
        <v>0</v>
      </c>
      <c r="AD51">
        <f>MAX(LEN($AB$51)-3,0)</f>
        <v>0</v>
      </c>
      <c r="AE51" cm="1">
        <f t="array" ref="AE51">IF(OR($AC$51&lt;=0,$AD$51&lt;=0),0,SUMPRODUCT(--ISNUMBER(SEARCH(MID($AA$51,_xlfn.SEQUENCE($AC$51),4),$AB$51))))</f>
        <v>0</v>
      </c>
      <c r="AF51">
        <f>IF(OR($Y$51="",$AA$51="",$AB$51="",$AC$51&lt;=0,$AD$51&lt;=0),"",$AE$51/($AC$51+$AD$51-$AE$51))</f>
        <v>0</v>
      </c>
    </row>
    <row r="52" spans="1:32">
      <c r="A52">
        <f>'Open Questions'!$A$49</f>
        <v>0</v>
      </c>
      <c r="B52">
        <f>IFERROR(INDEX(Responses!$1:$1,1,CHOOSE(LEN(TRIM($A$52)),CODE(TRIM($A$52))-64,(CODE(LEFT(TRIM($A$52),1))-64)*26+(CODE(RIGHT(TRIM($A$52),1))-64),(CODE(LEFT(TRIM($A$52),1))-64)*676+(CODE(MID(TRIM($A$52),2,1))-64)*26+(CODE(RIGHT(TRIM($A$52),1))-64))),"")</f>
        <v>0</v>
      </c>
      <c r="C52">
        <f>LOWER(TRIM(LEFT('Open Questions'!$C$49,200)))</f>
        <v>0</v>
      </c>
      <c r="D52">
        <f>LOWER(TRIM(LEFT($B$52,200)))</f>
        <v>0</v>
      </c>
      <c r="E52">
        <f>MAX(LEN($C$52)-3,0)</f>
        <v>0</v>
      </c>
      <c r="F52">
        <f>MAX(LEN($D$52)-3,0)</f>
        <v>0</v>
      </c>
      <c r="G52" cm="1">
        <f t="array" ref="G52">IF(OR($E$52&lt;=0,$F$52&lt;=0),0,SUMPRODUCT(--ISNUMBER(SEARCH(MID($C$52,_xlfn.SEQUENCE($E$52),4),$D$52))))</f>
        <v>0</v>
      </c>
      <c r="H52">
        <f>IF(OR($A$52="",$C$52="",$D$52="",$E$52&lt;=0,$F$52&lt;=0),"",$G$52/($E$52+$F$52-$G$52))</f>
        <v>0</v>
      </c>
      <c r="I52">
        <f>'Multiple Choice Questions'!$A$49</f>
        <v>0</v>
      </c>
      <c r="J52">
        <f>IFERROR(INDEX(Responses!$1:$1,1,CHOOSE(LEN(TRIM($I$52)),CODE(TRIM($I$52))-64,(CODE(LEFT(TRIM($I$52),1))-64)*26+(CODE(RIGHT(TRIM($I$52),1))-64),(CODE(LEFT(TRIM($I$52),1))-64)*676+(CODE(MID(TRIM($I$52),2,1))-64)*26+(CODE(RIGHT(TRIM($I$52),1))-64))),"")</f>
        <v>0</v>
      </c>
      <c r="K52">
        <f>LOWER(TRIM(LEFT('Multiple Choice Questions'!$C$49,200)))</f>
        <v>0</v>
      </c>
      <c r="L52">
        <f>LOWER(TRIM(LEFT($J$52,200)))</f>
        <v>0</v>
      </c>
      <c r="M52">
        <f>MAX(LEN($K$52)-3,0)</f>
        <v>0</v>
      </c>
      <c r="N52">
        <f>MAX(LEN($L$52)-3,0)</f>
        <v>0</v>
      </c>
      <c r="O52" cm="1">
        <f t="array" ref="O52">IF(OR($M$52&lt;=0,$N$52&lt;=0),0,SUMPRODUCT(--ISNUMBER(SEARCH(MID($K$52,_xlfn.SEQUENCE($M$52),4),$L$52))))</f>
        <v>0</v>
      </c>
      <c r="P52">
        <f>IF(OR($I$52="",$K$52="",$L$52="",$M$52&lt;=0,$N$52&lt;=0),"",$O$52/($M$52+$N$52-$O$52))</f>
        <v>0</v>
      </c>
      <c r="Q52">
        <f>'Hybrid Questions'!$A$49</f>
        <v>0</v>
      </c>
      <c r="R52">
        <f>IFERROR(INDEX(Responses!$1:$1,1,CHOOSE(LEN(TRIM($Q$52)),CODE(TRIM($Q$52))-64,(CODE(LEFT(TRIM($Q$52),1))-64)*26+(CODE(RIGHT(TRIM($Q$52),1))-64),(CODE(LEFT(TRIM($Q$52),1))-64)*676+(CODE(MID(TRIM($Q$52),2,1))-64)*26+(CODE(RIGHT(TRIM($Q$52),1))-64))),"")</f>
        <v>0</v>
      </c>
      <c r="S52">
        <f>LOWER(TRIM(LEFT('Hybrid Questions'!$C$49,200)))</f>
        <v>0</v>
      </c>
      <c r="T52">
        <f>LOWER(TRIM(LEFT($R$52,200)))</f>
        <v>0</v>
      </c>
      <c r="U52">
        <f>MAX(LEN($S$52)-3,0)</f>
        <v>0</v>
      </c>
      <c r="V52">
        <f>MAX(LEN($T$52)-3,0)</f>
        <v>0</v>
      </c>
      <c r="W52" cm="1">
        <f t="array" ref="W52">IF(OR($U$52&lt;=0,$V$52&lt;=0),0,SUMPRODUCT(--ISNUMBER(SEARCH(MID($S$52,_xlfn.SEQUENCE($U$52),4),$T$52))))</f>
        <v>0</v>
      </c>
      <c r="X52">
        <f>IF(OR($Q$52="",$S$52="",$T$52="",$U$52&lt;=0,$V$52&lt;=0),"",$W$52/($U$52+$V$52-$W$52))</f>
        <v>0</v>
      </c>
      <c r="Y52">
        <f>'Hybrid Questions'!$D$49</f>
        <v>0</v>
      </c>
      <c r="Z52">
        <f>IFERROR(INDEX(Responses!$1:$1,1,CHOOSE(LEN(TRIM($Y$52)),CODE(TRIM($Y$52))-64,(CODE(LEFT(TRIM($Y$52),1))-64)*26+(CODE(RIGHT(TRIM($Y$52),1))-64),(CODE(LEFT(TRIM($Y$52),1))-64)*676+(CODE(MID(TRIM($Y$52),2,1))-64)*26+(CODE(RIGHT(TRIM($Y$52),1))-64))),"")</f>
        <v>0</v>
      </c>
      <c r="AA52">
        <f>LOWER(TRIM(LEFT('Hybrid Questions'!$C$49,200)))</f>
        <v>0</v>
      </c>
      <c r="AB52">
        <f>LOWER(TRIM(LEFT($Z$52,200)))</f>
        <v>0</v>
      </c>
      <c r="AC52">
        <f>MAX(LEN($AA$52)-3,0)</f>
        <v>0</v>
      </c>
      <c r="AD52">
        <f>MAX(LEN($AB$52)-3,0)</f>
        <v>0</v>
      </c>
      <c r="AE52" cm="1">
        <f t="array" ref="AE52">IF(OR($AC$52&lt;=0,$AD$52&lt;=0),0,SUMPRODUCT(--ISNUMBER(SEARCH(MID($AA$52,_xlfn.SEQUENCE($AC$52),4),$AB$52))))</f>
        <v>0</v>
      </c>
      <c r="AF52">
        <f>IF(OR($Y$52="",$AA$52="",$AB$52="",$AC$52&lt;=0,$AD$52&lt;=0),"",$AE$52/($AC$52+$AD$52-$AE$52))</f>
        <v>0</v>
      </c>
    </row>
    <row r="53" spans="1:32">
      <c r="A53">
        <f>'Open Questions'!$A$50</f>
        <v>0</v>
      </c>
      <c r="B53">
        <f>IFERROR(INDEX(Responses!$1:$1,1,CHOOSE(LEN(TRIM($A$53)),CODE(TRIM($A$53))-64,(CODE(LEFT(TRIM($A$53),1))-64)*26+(CODE(RIGHT(TRIM($A$53),1))-64),(CODE(LEFT(TRIM($A$53),1))-64)*676+(CODE(MID(TRIM($A$53),2,1))-64)*26+(CODE(RIGHT(TRIM($A$53),1))-64))),"")</f>
        <v>0</v>
      </c>
      <c r="C53">
        <f>LOWER(TRIM(LEFT('Open Questions'!$C$50,200)))</f>
        <v>0</v>
      </c>
      <c r="D53">
        <f>LOWER(TRIM(LEFT($B$53,200)))</f>
        <v>0</v>
      </c>
      <c r="E53">
        <f>MAX(LEN($C$53)-3,0)</f>
        <v>0</v>
      </c>
      <c r="F53">
        <f>MAX(LEN($D$53)-3,0)</f>
        <v>0</v>
      </c>
      <c r="G53" cm="1">
        <f t="array" ref="G53">IF(OR($E$53&lt;=0,$F$53&lt;=0),0,SUMPRODUCT(--ISNUMBER(SEARCH(MID($C$53,_xlfn.SEQUENCE($E$53),4),$D$53))))</f>
        <v>0</v>
      </c>
      <c r="H53">
        <f>IF(OR($A$53="",$C$53="",$D$53="",$E$53&lt;=0,$F$53&lt;=0),"",$G$53/($E$53+$F$53-$G$53))</f>
        <v>0</v>
      </c>
      <c r="I53">
        <f>'Multiple Choice Questions'!$A$50</f>
        <v>0</v>
      </c>
      <c r="J53">
        <f>IFERROR(INDEX(Responses!$1:$1,1,CHOOSE(LEN(TRIM($I$53)),CODE(TRIM($I$53))-64,(CODE(LEFT(TRIM($I$53),1))-64)*26+(CODE(RIGHT(TRIM($I$53),1))-64),(CODE(LEFT(TRIM($I$53),1))-64)*676+(CODE(MID(TRIM($I$53),2,1))-64)*26+(CODE(RIGHT(TRIM($I$53),1))-64))),"")</f>
        <v>0</v>
      </c>
      <c r="K53">
        <f>LOWER(TRIM(LEFT('Multiple Choice Questions'!$C$50,200)))</f>
        <v>0</v>
      </c>
      <c r="L53">
        <f>LOWER(TRIM(LEFT($J$53,200)))</f>
        <v>0</v>
      </c>
      <c r="M53">
        <f>MAX(LEN($K$53)-3,0)</f>
        <v>0</v>
      </c>
      <c r="N53">
        <f>MAX(LEN($L$53)-3,0)</f>
        <v>0</v>
      </c>
      <c r="O53" cm="1">
        <f t="array" ref="O53">IF(OR($M$53&lt;=0,$N$53&lt;=0),0,SUMPRODUCT(--ISNUMBER(SEARCH(MID($K$53,_xlfn.SEQUENCE($M$53),4),$L$53))))</f>
        <v>0</v>
      </c>
      <c r="P53">
        <f>IF(OR($I$53="",$K$53="",$L$53="",$M$53&lt;=0,$N$53&lt;=0),"",$O$53/($M$53+$N$53-$O$53))</f>
        <v>0</v>
      </c>
      <c r="Q53">
        <f>'Hybrid Questions'!$A$50</f>
        <v>0</v>
      </c>
      <c r="R53">
        <f>IFERROR(INDEX(Responses!$1:$1,1,CHOOSE(LEN(TRIM($Q$53)),CODE(TRIM($Q$53))-64,(CODE(LEFT(TRIM($Q$53),1))-64)*26+(CODE(RIGHT(TRIM($Q$53),1))-64),(CODE(LEFT(TRIM($Q$53),1))-64)*676+(CODE(MID(TRIM($Q$53),2,1))-64)*26+(CODE(RIGHT(TRIM($Q$53),1))-64))),"")</f>
        <v>0</v>
      </c>
      <c r="S53">
        <f>LOWER(TRIM(LEFT('Hybrid Questions'!$C$50,200)))</f>
        <v>0</v>
      </c>
      <c r="T53">
        <f>LOWER(TRIM(LEFT($R$53,200)))</f>
        <v>0</v>
      </c>
      <c r="U53">
        <f>MAX(LEN($S$53)-3,0)</f>
        <v>0</v>
      </c>
      <c r="V53">
        <f>MAX(LEN($T$53)-3,0)</f>
        <v>0</v>
      </c>
      <c r="W53" cm="1">
        <f t="array" ref="W53">IF(OR($U$53&lt;=0,$V$53&lt;=0),0,SUMPRODUCT(--ISNUMBER(SEARCH(MID($S$53,_xlfn.SEQUENCE($U$53),4),$T$53))))</f>
        <v>0</v>
      </c>
      <c r="X53">
        <f>IF(OR($Q$53="",$S$53="",$T$53="",$U$53&lt;=0,$V$53&lt;=0),"",$W$53/($U$53+$V$53-$W$53))</f>
        <v>0</v>
      </c>
      <c r="Y53">
        <f>'Hybrid Questions'!$D$50</f>
        <v>0</v>
      </c>
      <c r="Z53">
        <f>IFERROR(INDEX(Responses!$1:$1,1,CHOOSE(LEN(TRIM($Y$53)),CODE(TRIM($Y$53))-64,(CODE(LEFT(TRIM($Y$53),1))-64)*26+(CODE(RIGHT(TRIM($Y$53),1))-64),(CODE(LEFT(TRIM($Y$53),1))-64)*676+(CODE(MID(TRIM($Y$53),2,1))-64)*26+(CODE(RIGHT(TRIM($Y$53),1))-64))),"")</f>
        <v>0</v>
      </c>
      <c r="AA53">
        <f>LOWER(TRIM(LEFT('Hybrid Questions'!$C$50,200)))</f>
        <v>0</v>
      </c>
      <c r="AB53">
        <f>LOWER(TRIM(LEFT($Z$53,200)))</f>
        <v>0</v>
      </c>
      <c r="AC53">
        <f>MAX(LEN($AA$53)-3,0)</f>
        <v>0</v>
      </c>
      <c r="AD53">
        <f>MAX(LEN($AB$53)-3,0)</f>
        <v>0</v>
      </c>
      <c r="AE53" cm="1">
        <f t="array" ref="AE53">IF(OR($AC$53&lt;=0,$AD$53&lt;=0),0,SUMPRODUCT(--ISNUMBER(SEARCH(MID($AA$53,_xlfn.SEQUENCE($AC$53),4),$AB$53))))</f>
        <v>0</v>
      </c>
      <c r="AF53">
        <f>IF(OR($Y$53="",$AA$53="",$AB$53="",$AC$53&lt;=0,$AD$53&lt;=0),"",$AE$53/($AC$53+$AD$53-$AE$53))</f>
        <v>0</v>
      </c>
    </row>
    <row r="54" spans="1:32">
      <c r="A54">
        <f>'Open Questions'!$A$51</f>
        <v>0</v>
      </c>
      <c r="B54">
        <f>IFERROR(INDEX(Responses!$1:$1,1,CHOOSE(LEN(TRIM($A$54)),CODE(TRIM($A$54))-64,(CODE(LEFT(TRIM($A$54),1))-64)*26+(CODE(RIGHT(TRIM($A$54),1))-64),(CODE(LEFT(TRIM($A$54),1))-64)*676+(CODE(MID(TRIM($A$54),2,1))-64)*26+(CODE(RIGHT(TRIM($A$54),1))-64))),"")</f>
        <v>0</v>
      </c>
      <c r="C54">
        <f>LOWER(TRIM(LEFT('Open Questions'!$C$51,200)))</f>
        <v>0</v>
      </c>
      <c r="D54">
        <f>LOWER(TRIM(LEFT($B$54,200)))</f>
        <v>0</v>
      </c>
      <c r="E54">
        <f>MAX(LEN($C$54)-3,0)</f>
        <v>0</v>
      </c>
      <c r="F54">
        <f>MAX(LEN($D$54)-3,0)</f>
        <v>0</v>
      </c>
      <c r="G54" cm="1">
        <f t="array" ref="G54">IF(OR($E$54&lt;=0,$F$54&lt;=0),0,SUMPRODUCT(--ISNUMBER(SEARCH(MID($C$54,_xlfn.SEQUENCE($E$54),4),$D$54))))</f>
        <v>0</v>
      </c>
      <c r="H54">
        <f>IF(OR($A$54="",$C$54="",$D$54="",$E$54&lt;=0,$F$54&lt;=0),"",$G$54/($E$54+$F$54-$G$54))</f>
        <v>0</v>
      </c>
      <c r="I54">
        <f>'Multiple Choice Questions'!$A$51</f>
        <v>0</v>
      </c>
      <c r="J54">
        <f>IFERROR(INDEX(Responses!$1:$1,1,CHOOSE(LEN(TRIM($I$54)),CODE(TRIM($I$54))-64,(CODE(LEFT(TRIM($I$54),1))-64)*26+(CODE(RIGHT(TRIM($I$54),1))-64),(CODE(LEFT(TRIM($I$54),1))-64)*676+(CODE(MID(TRIM($I$54),2,1))-64)*26+(CODE(RIGHT(TRIM($I$54),1))-64))),"")</f>
        <v>0</v>
      </c>
      <c r="K54">
        <f>LOWER(TRIM(LEFT('Multiple Choice Questions'!$C$51,200)))</f>
        <v>0</v>
      </c>
      <c r="L54">
        <f>LOWER(TRIM(LEFT($J$54,200)))</f>
        <v>0</v>
      </c>
      <c r="M54">
        <f>MAX(LEN($K$54)-3,0)</f>
        <v>0</v>
      </c>
      <c r="N54">
        <f>MAX(LEN($L$54)-3,0)</f>
        <v>0</v>
      </c>
      <c r="O54" cm="1">
        <f t="array" ref="O54">IF(OR($M$54&lt;=0,$N$54&lt;=0),0,SUMPRODUCT(--ISNUMBER(SEARCH(MID($K$54,_xlfn.SEQUENCE($M$54),4),$L$54))))</f>
        <v>0</v>
      </c>
      <c r="P54">
        <f>IF(OR($I$54="",$K$54="",$L$54="",$M$54&lt;=0,$N$54&lt;=0),"",$O$54/($M$54+$N$54-$O$54))</f>
        <v>0</v>
      </c>
      <c r="Q54">
        <f>'Hybrid Questions'!$A$51</f>
        <v>0</v>
      </c>
      <c r="R54">
        <f>IFERROR(INDEX(Responses!$1:$1,1,CHOOSE(LEN(TRIM($Q$54)),CODE(TRIM($Q$54))-64,(CODE(LEFT(TRIM($Q$54),1))-64)*26+(CODE(RIGHT(TRIM($Q$54),1))-64),(CODE(LEFT(TRIM($Q$54),1))-64)*676+(CODE(MID(TRIM($Q$54),2,1))-64)*26+(CODE(RIGHT(TRIM($Q$54),1))-64))),"")</f>
        <v>0</v>
      </c>
      <c r="S54">
        <f>LOWER(TRIM(LEFT('Hybrid Questions'!$C$51,200)))</f>
        <v>0</v>
      </c>
      <c r="T54">
        <f>LOWER(TRIM(LEFT($R$54,200)))</f>
        <v>0</v>
      </c>
      <c r="U54">
        <f>MAX(LEN($S$54)-3,0)</f>
        <v>0</v>
      </c>
      <c r="V54">
        <f>MAX(LEN($T$54)-3,0)</f>
        <v>0</v>
      </c>
      <c r="W54" cm="1">
        <f t="array" ref="W54">IF(OR($U$54&lt;=0,$V$54&lt;=0),0,SUMPRODUCT(--ISNUMBER(SEARCH(MID($S$54,_xlfn.SEQUENCE($U$54),4),$T$54))))</f>
        <v>0</v>
      </c>
      <c r="X54">
        <f>IF(OR($Q$54="",$S$54="",$T$54="",$U$54&lt;=0,$V$54&lt;=0),"",$W$54/($U$54+$V$54-$W$54))</f>
        <v>0</v>
      </c>
      <c r="Y54">
        <f>'Hybrid Questions'!$D$51</f>
        <v>0</v>
      </c>
      <c r="Z54">
        <f>IFERROR(INDEX(Responses!$1:$1,1,CHOOSE(LEN(TRIM($Y$54)),CODE(TRIM($Y$54))-64,(CODE(LEFT(TRIM($Y$54),1))-64)*26+(CODE(RIGHT(TRIM($Y$54),1))-64),(CODE(LEFT(TRIM($Y$54),1))-64)*676+(CODE(MID(TRIM($Y$54),2,1))-64)*26+(CODE(RIGHT(TRIM($Y$54),1))-64))),"")</f>
        <v>0</v>
      </c>
      <c r="AA54">
        <f>LOWER(TRIM(LEFT('Hybrid Questions'!$C$51,200)))</f>
        <v>0</v>
      </c>
      <c r="AB54">
        <f>LOWER(TRIM(LEFT($Z$54,200)))</f>
        <v>0</v>
      </c>
      <c r="AC54">
        <f>MAX(LEN($AA$54)-3,0)</f>
        <v>0</v>
      </c>
      <c r="AD54">
        <f>MAX(LEN($AB$54)-3,0)</f>
        <v>0</v>
      </c>
      <c r="AE54" cm="1">
        <f t="array" ref="AE54">IF(OR($AC$54&lt;=0,$AD$54&lt;=0),0,SUMPRODUCT(--ISNUMBER(SEARCH(MID($AA$54,_xlfn.SEQUENCE($AC$54),4),$AB$54))))</f>
        <v>0</v>
      </c>
      <c r="AF54">
        <f>IF(OR($Y$54="",$AA$54="",$AB$54="",$AC$54&lt;=0,$AD$54&lt;=0),"",$AE$54/($AC$54+$AD$54-$AE$54))</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Guide</vt:lpstr>
      <vt:lpstr>Active issues</vt:lpstr>
      <vt:lpstr>Responses</vt:lpstr>
      <vt:lpstr>Demographics</vt:lpstr>
      <vt:lpstr>Open Questions</vt:lpstr>
      <vt:lpstr>Multiple Choice Questions</vt:lpstr>
      <vt:lpstr>Hybrid Questions</vt:lpstr>
      <vt:lpstr>Issues</vt:lpstr>
      <vt:lpstr>_helpers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2026-05-18T15:57:56Z</dcterms:created>
  <dcterms:modified xsi:type="dcterms:W3CDTF">2026-05-18T15:57:56Z</dcterms:modified>
</cp:coreProperties>
</file>